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iya\Desktop\cvajat\ajatconstruction\diagrams\"/>
    </mc:Choice>
  </mc:AlternateContent>
  <xr:revisionPtr revIDLastSave="0" documentId="13_ncr:1_{E7D01773-A5CD-41B5-AACA-02D8D53692D5}" xr6:coauthVersionLast="47" xr6:coauthVersionMax="47" xr10:uidLastSave="{00000000-0000-0000-0000-000000000000}"/>
  <bookViews>
    <workbookView xWindow="-110" yWindow="-110" windowWidth="19420" windowHeight="11020" firstSheet="4" activeTab="5" xr2:uid="{184ED339-BC3C-4D17-B73F-4E4E4C962741}"/>
  </bookViews>
  <sheets>
    <sheet name="Sheet1" sheetId="1" r:id="rId1"/>
    <sheet name="master" sheetId="2" r:id="rId2"/>
    <sheet name="hasil sprint 0-6" sheetId="9" r:id="rId3"/>
    <sheet name="Sheet3" sheetId="3" r:id="rId4"/>
    <sheet name="Sheet5" sheetId="5" r:id="rId5"/>
    <sheet name="Sheet6" sheetId="6" r:id="rId6"/>
    <sheet name="Sheet2" sheetId="7" r:id="rId7"/>
    <sheet name="Sheet4" sheetId="8" r:id="rId8"/>
    <sheet name="Sheet7" sheetId="10" r:id="rId9"/>
    <sheet name="Sheet8" sheetId="11" r:id="rId10"/>
    <sheet name="Sheet9" sheetId="12" r:id="rId11"/>
    <sheet name="Sheet11" sheetId="14" r:id="rId12"/>
    <sheet name="Sheet12" sheetId="15" r:id="rId13"/>
    <sheet name="Sheet13" sheetId="16" r:id="rId14"/>
  </sheets>
  <definedNames>
    <definedName name="_Hlk214034626" localSheetId="3">Sheet3!$A$157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9" l="1"/>
  <c r="H8" i="9"/>
  <c r="G8" i="9"/>
  <c r="I7" i="9"/>
  <c r="H7" i="9"/>
  <c r="G7" i="9"/>
  <c r="I6" i="9"/>
  <c r="H6" i="9"/>
  <c r="G6" i="9"/>
  <c r="I5" i="9"/>
  <c r="H5" i="9"/>
  <c r="G5" i="9"/>
  <c r="I4" i="9"/>
  <c r="H4" i="9"/>
  <c r="G4" i="9"/>
  <c r="E16" i="15"/>
  <c r="E15" i="15"/>
  <c r="E11" i="15"/>
  <c r="E12" i="15"/>
  <c r="E13" i="15"/>
  <c r="E14" i="15"/>
  <c r="E10" i="15"/>
  <c r="I3" i="9"/>
  <c r="H3" i="9"/>
  <c r="G3" i="9"/>
  <c r="I2" i="9"/>
  <c r="H2" i="9"/>
  <c r="G2" i="9"/>
  <c r="F9" i="9"/>
  <c r="F8" i="9"/>
  <c r="F7" i="9"/>
  <c r="F6" i="9"/>
  <c r="F5" i="9"/>
  <c r="F4" i="9"/>
  <c r="F3" i="9"/>
  <c r="F2" i="9"/>
  <c r="E9" i="9"/>
  <c r="E8" i="9"/>
  <c r="E7" i="9"/>
  <c r="E6" i="9"/>
  <c r="E5" i="9"/>
  <c r="E4" i="9"/>
  <c r="E3" i="9"/>
  <c r="E2" i="9"/>
  <c r="J67" i="2"/>
  <c r="J68" i="2"/>
  <c r="J69" i="2"/>
  <c r="J70" i="2"/>
  <c r="J71" i="2"/>
  <c r="J72" i="2"/>
  <c r="J73" i="2"/>
  <c r="J74" i="2"/>
  <c r="J75" i="2"/>
  <c r="J76" i="2"/>
  <c r="J77" i="2"/>
  <c r="J78" i="2"/>
  <c r="J79" i="2"/>
  <c r="J80" i="2"/>
  <c r="J81" i="2"/>
  <c r="J82" i="2"/>
  <c r="J66" i="2"/>
  <c r="E59" i="2"/>
  <c r="G54" i="2"/>
  <c r="G56" i="2"/>
  <c r="G55" i="2"/>
  <c r="F59" i="2"/>
  <c r="G58" i="2" s="1"/>
  <c r="G50" i="2"/>
  <c r="G49" i="2"/>
  <c r="F52" i="2"/>
  <c r="G48" i="2" s="1"/>
  <c r="G45" i="2"/>
  <c r="G41" i="2"/>
  <c r="F46" i="2"/>
  <c r="G44" i="2" s="1"/>
  <c r="G36" i="2"/>
  <c r="G32" i="2"/>
  <c r="G28" i="2"/>
  <c r="F37" i="2"/>
  <c r="G35" i="2" s="1"/>
  <c r="F24" i="2"/>
  <c r="G19" i="2" s="1"/>
  <c r="F17" i="2"/>
  <c r="G16" i="2"/>
  <c r="G15" i="2"/>
  <c r="G14" i="2"/>
  <c r="G13" i="2"/>
  <c r="G12" i="2"/>
  <c r="G11" i="2"/>
  <c r="G10" i="2"/>
  <c r="G7" i="2"/>
  <c r="G6" i="2"/>
  <c r="G5" i="2"/>
  <c r="G4" i="2"/>
  <c r="G3" i="2"/>
  <c r="G2" i="2"/>
  <c r="F60" i="1"/>
  <c r="G23" i="2" l="1"/>
  <c r="G20" i="2"/>
  <c r="G29" i="2"/>
  <c r="G33" i="2"/>
  <c r="G42" i="2"/>
  <c r="F61" i="2"/>
  <c r="G21" i="2"/>
  <c r="G26" i="2"/>
  <c r="G30" i="2"/>
  <c r="G34" i="2"/>
  <c r="G39" i="2"/>
  <c r="G43" i="2"/>
  <c r="G51" i="2"/>
  <c r="G22" i="2"/>
  <c r="G27" i="2"/>
  <c r="G31" i="2"/>
  <c r="G40" i="2"/>
  <c r="G57" i="2"/>
  <c r="G53" i="2"/>
  <c r="G38" i="2"/>
  <c r="G47" i="2" l="1"/>
  <c r="F63" i="2"/>
  <c r="G60" i="2"/>
  <c r="G9" i="2"/>
  <c r="G62" i="2" s="1"/>
  <c r="G25" i="2"/>
  <c r="G18" i="2"/>
</calcChain>
</file>

<file path=xl/sharedStrings.xml><?xml version="1.0" encoding="utf-8"?>
<sst xmlns="http://schemas.openxmlformats.org/spreadsheetml/2006/main" count="3782" uniqueCount="1271">
  <si>
    <t xml:space="preserve">NO </t>
  </si>
  <si>
    <t xml:space="preserve"> SPRINT </t>
  </si>
  <si>
    <t xml:space="preserve"> ACTIVITY </t>
  </si>
  <si>
    <t xml:space="preserve"> START DATE </t>
  </si>
  <si>
    <t xml:space="preserve"> DUE DATE </t>
  </si>
  <si>
    <t xml:space="preserve"> DURATION (Days) </t>
  </si>
  <si>
    <t xml:space="preserve"> BOBOT (%) </t>
  </si>
  <si>
    <t xml:space="preserve"> STATUS </t>
  </si>
  <si>
    <t xml:space="preserve"> M1 </t>
  </si>
  <si>
    <t xml:space="preserve"> M2 </t>
  </si>
  <si>
    <t xml:space="preserve"> M3 </t>
  </si>
  <si>
    <t xml:space="preserve"> M4 </t>
  </si>
  <si>
    <t xml:space="preserve"> M5 </t>
  </si>
  <si>
    <t xml:space="preserve"> M6 </t>
  </si>
  <si>
    <t xml:space="preserve"> M7 </t>
  </si>
  <si>
    <t xml:space="preserve"> M8 </t>
  </si>
  <si>
    <t xml:space="preserve"> M9 </t>
  </si>
  <si>
    <t xml:space="preserve"> M10 </t>
  </si>
  <si>
    <t xml:space="preserve"> M11 </t>
  </si>
  <si>
    <t xml:space="preserve"> M12 </t>
  </si>
  <si>
    <t xml:space="preserve"> M13 </t>
  </si>
  <si>
    <t xml:space="preserve"> M14 </t>
  </si>
  <si>
    <t xml:space="preserve"> M15 </t>
  </si>
  <si>
    <t xml:space="preserve"> M16 </t>
  </si>
  <si>
    <t xml:space="preserve"> M17 </t>
  </si>
  <si>
    <t xml:space="preserve"> M18</t>
  </si>
  <si>
    <t xml:space="preserve"> Sprint 0 </t>
  </si>
  <si>
    <t xml:space="preserve"> Identifikasi Kebutuhan Sistem (Wawancara, Observasi, Analisis Masalah) </t>
  </si>
  <si>
    <t xml:space="preserve"> 06/11/2023 </t>
  </si>
  <si>
    <t xml:space="preserve"> 10/11/2023 </t>
  </si>
  <si>
    <t xml:space="preserve"> 1.45 </t>
  </si>
  <si>
    <t xml:space="preserve"> Done </t>
  </si>
  <si>
    <t xml:space="preserve"> </t>
  </si>
  <si>
    <t xml:space="preserve"> Mencari Studi Pustaka sebagai referensi </t>
  </si>
  <si>
    <t xml:space="preserve"> 13/11/2023 </t>
  </si>
  <si>
    <t xml:space="preserve"> 24/04/2024 </t>
  </si>
  <si>
    <t xml:space="preserve"> 30.43 </t>
  </si>
  <si>
    <t xml:space="preserve"> 3.04 </t>
  </si>
  <si>
    <t xml:space="preserve"> 6.15 </t>
  </si>
  <si>
    <t xml:space="preserve"> Perancangan Alur Sistem (Flowchart, UML) </t>
  </si>
  <si>
    <t xml:space="preserve"> 25/04/2024 </t>
  </si>
  <si>
    <t xml:space="preserve"> 29/05/2024 </t>
  </si>
  <si>
    <t xml:space="preserve"> 5.80 </t>
  </si>
  <si>
    <t xml:space="preserve"> 2.90 </t>
  </si>
  <si>
    <t xml:space="preserve"> Perancangan Database (Normalisasi, ERD, LRS, Spesifikasi Database) </t>
  </si>
  <si>
    <t xml:space="preserve"> 30/05/2024 </t>
  </si>
  <si>
    <t xml:space="preserve"> 12/07/2024 </t>
  </si>
  <si>
    <t xml:space="preserve"> 8.70 </t>
  </si>
  <si>
    <t xml:space="preserve"> Perancangan UI </t>
  </si>
  <si>
    <t xml:space="preserve"> 15/07/2024 </t>
  </si>
  <si>
    <t xml:space="preserve"> 23/08/2024 </t>
  </si>
  <si>
    <t xml:space="preserve"> Perancangan Product Backlog </t>
  </si>
  <si>
    <t xml:space="preserve"> 26/08/2024 </t>
  </si>
  <si>
    <t xml:space="preserve"> 02/09/2024 </t>
  </si>
  <si>
    <t xml:space="preserve"> 1.74 </t>
  </si>
  <si>
    <t xml:space="preserve"> 0.87 </t>
  </si>
  <si>
    <t xml:space="preserve"> Sprint 1 </t>
  </si>
  <si>
    <t xml:space="preserve"> Pembuatan Database, Tabel Akses, User, dan Level </t>
  </si>
  <si>
    <t xml:space="preserve"> 03/09/2024 </t>
  </si>
  <si>
    <t xml:space="preserve"> 0.29 </t>
  </si>
  <si>
    <t xml:space="preserve"> Pembuatan UI Login </t>
  </si>
  <si>
    <t xml:space="preserve"> 04/09/2024 </t>
  </si>
  <si>
    <t xml:space="preserve"> 10/09/2024 </t>
  </si>
  <si>
    <t xml:space="preserve"> Implementasi autentikasi </t>
  </si>
  <si>
    <t xml:space="preserve"> 11/09/2024 </t>
  </si>
  <si>
    <t xml:space="preserve"> 18/09/2024 </t>
  </si>
  <si>
    <t xml:space="preserve"> Pembuatan Menu logout </t>
  </si>
  <si>
    <t xml:space="preserve"> 19/09/2024 </t>
  </si>
  <si>
    <t xml:space="preserve"> Pembuatan tampilan dashboard </t>
  </si>
  <si>
    <t xml:space="preserve"> 20/09/2024 </t>
  </si>
  <si>
    <t xml:space="preserve"> 26/09/2024 </t>
  </si>
  <si>
    <t xml:space="preserve"> Blackbox Testing Sprint 1 </t>
  </si>
  <si>
    <t xml:space="preserve"> 27/09/2024 </t>
  </si>
  <si>
    <t xml:space="preserve"> 30/09/2024 </t>
  </si>
  <si>
    <t xml:space="preserve"> 0.58 </t>
  </si>
  <si>
    <t xml:space="preserve"> UAT, Review &amp; Retrospective </t>
  </si>
  <si>
    <t xml:space="preserve"> 01/10/2024 </t>
  </si>
  <si>
    <t xml:space="preserve"> 03/10/2024 </t>
  </si>
  <si>
    <t xml:space="preserve"> Sprint 2 </t>
  </si>
  <si>
    <t xml:space="preserve"> Pembuatan Tabel Database Customer </t>
  </si>
  <si>
    <t xml:space="preserve"> Pembuatan UI Halaman Customer </t>
  </si>
  <si>
    <t xml:space="preserve"> 04/10/2024 </t>
  </si>
  <si>
    <t xml:space="preserve"> 10/10/2024 </t>
  </si>
  <si>
    <t xml:space="preserve"> Implementasi Backend (CRUD) Modul Customer </t>
  </si>
  <si>
    <t xml:space="preserve"> 11/10/2024 </t>
  </si>
  <si>
    <t xml:space="preserve"> 17/10/2024 </t>
  </si>
  <si>
    <t xml:space="preserve"> Pembuatan UI Halaman User </t>
  </si>
  <si>
    <t xml:space="preserve"> 18/10/2024 </t>
  </si>
  <si>
    <t xml:space="preserve"> 24/10/2024 </t>
  </si>
  <si>
    <t xml:space="preserve"> Implementasi Backend (CRUD) Modul User </t>
  </si>
  <si>
    <t xml:space="preserve"> 25/10/2024 </t>
  </si>
  <si>
    <t xml:space="preserve"> 31/10/2024 </t>
  </si>
  <si>
    <t xml:space="preserve"> Sprint 3 </t>
  </si>
  <si>
    <t xml:space="preserve"> Pembuatan Tabel Database Project </t>
  </si>
  <si>
    <t xml:space="preserve"> 01/11/2024 </t>
  </si>
  <si>
    <t xml:space="preserve"> Pembuatan UI Halaman Project </t>
  </si>
  <si>
    <t xml:space="preserve"> 04/11/2024 </t>
  </si>
  <si>
    <t xml:space="preserve"> 08/11/2024 </t>
  </si>
  <si>
    <t xml:space="preserve"> Implementasi Backend (CRUD) Modul Project </t>
  </si>
  <si>
    <t xml:space="preserve"> 11/11/2024 </t>
  </si>
  <si>
    <t xml:space="preserve"> 15/11/2024 </t>
  </si>
  <si>
    <t xml:space="preserve"> Pembuatan UI Upload &amp; Parsing File MS Project </t>
  </si>
  <si>
    <t xml:space="preserve"> 18/11/2024 </t>
  </si>
  <si>
    <t xml:space="preserve"> 22/11/2024 </t>
  </si>
  <si>
    <t xml:space="preserve"> Implementasi Backend Parsing File MS Project </t>
  </si>
  <si>
    <t xml:space="preserve"> 25/11/2024 </t>
  </si>
  <si>
    <t xml:space="preserve"> 29/11/2024 </t>
  </si>
  <si>
    <t xml:space="preserve"> Blackbox Testing Sprint 3 </t>
  </si>
  <si>
    <t xml:space="preserve"> 02/12/2024 </t>
  </si>
  <si>
    <t xml:space="preserve"> 06/12/2024 </t>
  </si>
  <si>
    <t xml:space="preserve"> 09/12/2024 </t>
  </si>
  <si>
    <t xml:space="preserve"> 13/12/2024 </t>
  </si>
  <si>
    <t xml:space="preserve"> Sprint 4 </t>
  </si>
  <si>
    <t xml:space="preserve"> Pembuatan Tabel Database EVM (PV, EV, AC) </t>
  </si>
  <si>
    <t xml:space="preserve"> 16/12/2024 </t>
  </si>
  <si>
    <t xml:space="preserve"> 20/12/2024 </t>
  </si>
  <si>
    <t xml:space="preserve"> Implementasi Perhitungan PV (Planned Value) </t>
  </si>
  <si>
    <t xml:space="preserve"> 23/12/2024 </t>
  </si>
  <si>
    <t xml:space="preserve"> 27/12/2024 </t>
  </si>
  <si>
    <t xml:space="preserve"> Implementasi Perhitungan EV (Earned Value) </t>
  </si>
  <si>
    <t xml:space="preserve"> 30/12/2024 </t>
  </si>
  <si>
    <t xml:space="preserve"> 03/01/2025 </t>
  </si>
  <si>
    <t xml:space="preserve"> Implementasi Perhitungan AC (Actual Cost) </t>
  </si>
  <si>
    <t xml:space="preserve"> 06/01/2025 </t>
  </si>
  <si>
    <t xml:space="preserve"> 10/01/2025 </t>
  </si>
  <si>
    <t xml:space="preserve"> Implementasi Perhitungan SV, CV, SPI, CPI </t>
  </si>
  <si>
    <t xml:space="preserve"> 13/01/2025 </t>
  </si>
  <si>
    <t xml:space="preserve"> 17/01/2025 </t>
  </si>
  <si>
    <t xml:space="preserve"> Pembuatan UI Dashboard EVM </t>
  </si>
  <si>
    <t xml:space="preserve"> 20/01/2025 </t>
  </si>
  <si>
    <t xml:space="preserve"> 24/01/2025 </t>
  </si>
  <si>
    <t xml:space="preserve"> Blackbox Testing Sprint 4 </t>
  </si>
  <si>
    <t xml:space="preserve"> 27/01/2025 </t>
  </si>
  <si>
    <t xml:space="preserve"> 31/01/2025 </t>
  </si>
  <si>
    <t xml:space="preserve"> Sprint 5 </t>
  </si>
  <si>
    <t xml:space="preserve"> Implementasi Real-time Update Progress </t>
  </si>
  <si>
    <t xml:space="preserve"> 03/02/2025 </t>
  </si>
  <si>
    <t xml:space="preserve"> 07/02/2025 </t>
  </si>
  <si>
    <t xml:space="preserve"> Pembuatan Grafik Kurva S </t>
  </si>
  <si>
    <t xml:space="preserve"> 10/02/2025 </t>
  </si>
  <si>
    <t xml:space="preserve"> 14/02/2025 </t>
  </si>
  <si>
    <t xml:space="preserve"> Implementasi Alert &amp; Notifikasi </t>
  </si>
  <si>
    <t xml:space="preserve"> 17/02/2025 </t>
  </si>
  <si>
    <t xml:space="preserve"> 21/02/2025 </t>
  </si>
  <si>
    <t xml:space="preserve"> Pembuatan Report Generator </t>
  </si>
  <si>
    <t xml:space="preserve"> 24/02/2025 </t>
  </si>
  <si>
    <t xml:space="preserve"> 28/02/2025 </t>
  </si>
  <si>
    <t xml:space="preserve"> Blackbox Testing Sprint 5 </t>
  </si>
  <si>
    <t xml:space="preserve"> 03/03/2025 </t>
  </si>
  <si>
    <t xml:space="preserve"> 07/03/2025 </t>
  </si>
  <si>
    <t xml:space="preserve"> Sprint 6 </t>
  </si>
  <si>
    <t xml:space="preserve"> Integration Testing Seluruh Modul </t>
  </si>
  <si>
    <t xml:space="preserve"> 10/03/2025 </t>
  </si>
  <si>
    <t xml:space="preserve"> 14/03/2025 </t>
  </si>
  <si>
    <t xml:space="preserve"> User Acceptance Testing (UAT) Lengkap </t>
  </si>
  <si>
    <t xml:space="preserve"> 17/03/2025 </t>
  </si>
  <si>
    <t xml:space="preserve"> 21/03/2025 </t>
  </si>
  <si>
    <t xml:space="preserve"> Perbaikan Bug &amp; Enhancement </t>
  </si>
  <si>
    <t xml:space="preserve"> 24/03/2025 </t>
  </si>
  <si>
    <t xml:space="preserve"> 28/03/2025 </t>
  </si>
  <si>
    <t xml:space="preserve"> Deployment ke Server Production </t>
  </si>
  <si>
    <t xml:space="preserve"> 31/03/2025 </t>
  </si>
  <si>
    <t xml:space="preserve"> 04/04/2025 </t>
  </si>
  <si>
    <t xml:space="preserve"> Dokumentasi Sistem &amp; User Manual </t>
  </si>
  <si>
    <t xml:space="preserve"> 07/04/2025 </t>
  </si>
  <si>
    <t xml:space="preserve"> 11/04/2025 </t>
  </si>
  <si>
    <t xml:space="preserve"> Penyusunan Laporan </t>
  </si>
  <si>
    <t xml:space="preserve"> Penyusunan Bab 1 - Pendahuluan </t>
  </si>
  <si>
    <t xml:space="preserve"> 14/04/2025 </t>
  </si>
  <si>
    <t xml:space="preserve"> 18/04/2025 </t>
  </si>
  <si>
    <t xml:space="preserve"> 1.16 </t>
  </si>
  <si>
    <t xml:space="preserve"> Penyusunan Bab 2 - Landasan Teori </t>
  </si>
  <si>
    <t xml:space="preserve"> 21/04/2025 </t>
  </si>
  <si>
    <t xml:space="preserve"> 25/04/2025 </t>
  </si>
  <si>
    <t xml:space="preserve"> Penyusunan Bab 3 - Metodologi </t>
  </si>
  <si>
    <t xml:space="preserve"> 28/04/2025 </t>
  </si>
  <si>
    <t xml:space="preserve"> 02/05/2025 </t>
  </si>
  <si>
    <t xml:space="preserve"> 1.16</t>
  </si>
  <si>
    <t xml:space="preserve"> Penyusunan Bab 4 - Hasil &amp; Pembahasan </t>
  </si>
  <si>
    <t xml:space="preserve"> 05/05/2025 </t>
  </si>
  <si>
    <t xml:space="preserve"> 09/05/2025 </t>
  </si>
  <si>
    <t xml:space="preserve"> Penyusunan Bab 5 - Kesimpulan &amp; Saran </t>
  </si>
  <si>
    <t xml:space="preserve"> 12/05/2025 </t>
  </si>
  <si>
    <t xml:space="preserve"> 16/05/2025 </t>
  </si>
  <si>
    <t xml:space="preserve"> Revisi &amp; Finalisasi Laporan </t>
  </si>
  <si>
    <t xml:space="preserve"> 19/05/2025 </t>
  </si>
  <si>
    <t xml:space="preserve"> 23/05/2025 </t>
  </si>
  <si>
    <t xml:space="preserve">MONTH </t>
  </si>
  <si>
    <t xml:space="preserve"> PLAN (%) </t>
  </si>
  <si>
    <t xml:space="preserve"> ACTUAL (%) </t>
  </si>
  <si>
    <t xml:space="preserve"> CUMULATIVE PLAN (%) </t>
  </si>
  <si>
    <t xml:space="preserve"> CUMULATIVE ACTUAL (%)</t>
  </si>
  <si>
    <t xml:space="preserve">M1  </t>
  </si>
  <si>
    <t xml:space="preserve"> 1.45   </t>
  </si>
  <si>
    <t xml:space="preserve"> 1.45</t>
  </si>
  <si>
    <t xml:space="preserve">M2  </t>
  </si>
  <si>
    <t xml:space="preserve"> 4.49   </t>
  </si>
  <si>
    <t xml:space="preserve"> 4.49</t>
  </si>
  <si>
    <t xml:space="preserve">M3  </t>
  </si>
  <si>
    <t xml:space="preserve"> 7.53   </t>
  </si>
  <si>
    <t xml:space="preserve"> 7.53</t>
  </si>
  <si>
    <t xml:space="preserve">M4  </t>
  </si>
  <si>
    <t xml:space="preserve"> 10.57  </t>
  </si>
  <si>
    <t xml:space="preserve"> 10.57</t>
  </si>
  <si>
    <t xml:space="preserve">M5  </t>
  </si>
  <si>
    <t xml:space="preserve"> 13.61  </t>
  </si>
  <si>
    <t xml:space="preserve"> 13.61</t>
  </si>
  <si>
    <t xml:space="preserve">M6  </t>
  </si>
  <si>
    <t xml:space="preserve"> 5.94 </t>
  </si>
  <si>
    <t xml:space="preserve"> 19.55  </t>
  </si>
  <si>
    <t xml:space="preserve"> 19.55</t>
  </si>
  <si>
    <t xml:space="preserve">M7  </t>
  </si>
  <si>
    <t xml:space="preserve"> 25.49  </t>
  </si>
  <si>
    <t xml:space="preserve"> 25.49</t>
  </si>
  <si>
    <t xml:space="preserve">M8  </t>
  </si>
  <si>
    <t xml:space="preserve"> 28.39  </t>
  </si>
  <si>
    <t xml:space="preserve"> 28.39</t>
  </si>
  <si>
    <t xml:space="preserve">M9  </t>
  </si>
  <si>
    <t xml:space="preserve"> 34.19  </t>
  </si>
  <si>
    <t xml:space="preserve"> 34.19</t>
  </si>
  <si>
    <t xml:space="preserve">M10 </t>
  </si>
  <si>
    <t xml:space="preserve"> 6.67 </t>
  </si>
  <si>
    <t xml:space="preserve"> 40.86  </t>
  </si>
  <si>
    <t xml:space="preserve"> 40.86</t>
  </si>
  <si>
    <t xml:space="preserve">M11 </t>
  </si>
  <si>
    <t xml:space="preserve"> 5.51 </t>
  </si>
  <si>
    <t xml:space="preserve"> 46.37  </t>
  </si>
  <si>
    <t xml:space="preserve"> 46.37</t>
  </si>
  <si>
    <t xml:space="preserve">M12 </t>
  </si>
  <si>
    <t xml:space="preserve"> 6.38 </t>
  </si>
  <si>
    <t xml:space="preserve"> 52.75  </t>
  </si>
  <si>
    <t xml:space="preserve"> 52.75</t>
  </si>
  <si>
    <t xml:space="preserve">M13 </t>
  </si>
  <si>
    <t xml:space="preserve"> 7.25 </t>
  </si>
  <si>
    <t xml:space="preserve"> 60.00  </t>
  </si>
  <si>
    <t xml:space="preserve">M14 </t>
  </si>
  <si>
    <t xml:space="preserve"> 67.25  </t>
  </si>
  <si>
    <t xml:space="preserve">M15 </t>
  </si>
  <si>
    <t xml:space="preserve"> 73.05  </t>
  </si>
  <si>
    <t xml:space="preserve">M16 </t>
  </si>
  <si>
    <t xml:space="preserve"> 78.85  </t>
  </si>
  <si>
    <t xml:space="preserve">M17 </t>
  </si>
  <si>
    <t xml:space="preserve"> 5.77 </t>
  </si>
  <si>
    <t xml:space="preserve"> 84.62  </t>
  </si>
  <si>
    <t xml:space="preserve">M18 </t>
  </si>
  <si>
    <t xml:space="preserve"> 100.00 </t>
  </si>
  <si>
    <t xml:space="preserve"> 60.00</t>
  </si>
  <si>
    <t xml:space="preserve"> 67.25</t>
  </si>
  <si>
    <t xml:space="preserve"> 73.05</t>
  </si>
  <si>
    <t xml:space="preserve"> 78.85</t>
  </si>
  <si>
    <t xml:space="preserve"> 84.62</t>
  </si>
  <si>
    <t xml:space="preserve"> 15.38 </t>
  </si>
  <si>
    <t xml:space="preserve"> 100.00</t>
  </si>
  <si>
    <t xml:space="preserve">SPRINT </t>
  </si>
  <si>
    <t xml:space="preserve"> JUMLAH TASK </t>
  </si>
  <si>
    <t xml:space="preserve"> SELESAI</t>
  </si>
  <si>
    <t xml:space="preserve">Sprint 0 </t>
  </si>
  <si>
    <t xml:space="preserve"> 56.82 </t>
  </si>
  <si>
    <t xml:space="preserve">Sprint 1 </t>
  </si>
  <si>
    <t xml:space="preserve"> 6.09 </t>
  </si>
  <si>
    <t xml:space="preserve">Sprint 2 </t>
  </si>
  <si>
    <t xml:space="preserve"> 7.09 </t>
  </si>
  <si>
    <t xml:space="preserve">Sprint 3 </t>
  </si>
  <si>
    <t xml:space="preserve"> 10.15 </t>
  </si>
  <si>
    <t xml:space="preserve">Sprint 4 </t>
  </si>
  <si>
    <t xml:space="preserve">Sprint 5 </t>
  </si>
  <si>
    <t xml:space="preserve">Sprint 6 </t>
  </si>
  <si>
    <t xml:space="preserve">Laporan </t>
  </si>
  <si>
    <t xml:space="preserve"> 6.96 </t>
  </si>
  <si>
    <t xml:space="preserve">TOTAL </t>
  </si>
  <si>
    <t xml:space="preserve">METRIK </t>
  </si>
  <si>
    <t xml:space="preserve"> NILAI </t>
  </si>
  <si>
    <t xml:space="preserve"> KETERANGAN</t>
  </si>
  <si>
    <t xml:space="preserve">PV (Planned Value) </t>
  </si>
  <si>
    <t xml:space="preserve"> Total rencana biaya/pekerjaan</t>
  </si>
  <si>
    <t xml:space="preserve">EV (Earned Value) </t>
  </si>
  <si>
    <t xml:space="preserve"> Total pekerjaan yang diselesaikan</t>
  </si>
  <si>
    <t xml:space="preserve">AC (Actual Cost) </t>
  </si>
  <si>
    <t xml:space="preserve"> Total biaya aktual yang dikeluarkan</t>
  </si>
  <si>
    <t xml:space="preserve">SV (Schedule Variance) </t>
  </si>
  <si>
    <t xml:space="preserve"> EV - PV = Tepat Waktu</t>
  </si>
  <si>
    <t xml:space="preserve">CV (Cost Variance) </t>
  </si>
  <si>
    <t xml:space="preserve"> EV - AC = Sesuai Budget</t>
  </si>
  <si>
    <t xml:space="preserve">SPI (Schedule Performance Index) </t>
  </si>
  <si>
    <t xml:space="preserve"> 1.00 </t>
  </si>
  <si>
    <t xml:space="preserve"> Kinerja jadwal sempurna</t>
  </si>
  <si>
    <t xml:space="preserve">CPI (Cost Performance Index) </t>
  </si>
  <si>
    <t xml:space="preserve"> Kinerja biaya sempurna</t>
  </si>
  <si>
    <t>Total</t>
  </si>
  <si>
    <t>START DATE</t>
  </si>
  <si>
    <t>END DATE</t>
  </si>
  <si>
    <t xml:space="preserve"> DURATION (days) </t>
  </si>
  <si>
    <t xml:space="preserve"> WEIGHT (%) </t>
  </si>
  <si>
    <t>To do</t>
  </si>
  <si>
    <t>TOTAL DURATION SPRINT-0</t>
  </si>
  <si>
    <t>CONTRIBUTE SPRINT-0</t>
  </si>
  <si>
    <t>TOTAL DURATION SPRINT-1</t>
  </si>
  <si>
    <t>CONTRIBUTE SPRINT-1</t>
  </si>
  <si>
    <t xml:space="preserve"> Pembuatan Tabel Database Client</t>
  </si>
  <si>
    <t xml:space="preserve"> Implementasi Backend (CRUD) Modul Client </t>
  </si>
  <si>
    <t>TOTAL DURATION SPRINT-2</t>
  </si>
  <si>
    <t>CONTRIBUTE SPRINT-2</t>
  </si>
  <si>
    <t xml:space="preserve"> Pembuatan UI Task dan sub Task</t>
  </si>
  <si>
    <t xml:space="preserve"> Implementasi Backend (CRUD) Modul Task </t>
  </si>
  <si>
    <t xml:space="preserve"> Pembuatan UI Halaman Inventories </t>
  </si>
  <si>
    <t xml:space="preserve"> Implementasi Backend (CRUD) Modul Inventories</t>
  </si>
  <si>
    <t xml:space="preserve"> Pembuatan UI Halaman Work Report</t>
  </si>
  <si>
    <t xml:space="preserve"> Implementasi Backend (CRUD) Modul Work Report</t>
  </si>
  <si>
    <t>TOTAL DURATION SPRINT-3</t>
  </si>
  <si>
    <t>CONTRIBUTE SPRINT-3</t>
  </si>
  <si>
    <t>TOTAL DURATION SPRINT-4</t>
  </si>
  <si>
    <t>CONTRIBUTE SPRINT-4</t>
  </si>
  <si>
    <t>TOTAL DURATION SPRINT-5</t>
  </si>
  <si>
    <t>CONTRIBUTE SPRINT-5</t>
  </si>
  <si>
    <t>TOTAL DURATION SPRINT-6</t>
  </si>
  <si>
    <t>CONTRIBUTE SPRINT-6</t>
  </si>
  <si>
    <t>TOTAL DURATION SPRINT 0-6</t>
  </si>
  <si>
    <t>TOTAL WEIGHT SPRINT 0-6</t>
  </si>
  <si>
    <t>MONTH(30 days)</t>
  </si>
  <si>
    <t>No</t>
  </si>
  <si>
    <t>Month</t>
  </si>
  <si>
    <t>Start Date</t>
  </si>
  <si>
    <t>End Date</t>
  </si>
  <si>
    <t>Days</t>
  </si>
  <si>
    <t>Plan (%)</t>
  </si>
  <si>
    <t>M1</t>
  </si>
  <si>
    <t>M2</t>
  </si>
  <si>
    <t>M3</t>
  </si>
  <si>
    <t>M4</t>
  </si>
  <si>
    <t>M5</t>
  </si>
  <si>
    <t>M6</t>
  </si>
  <si>
    <t>M7</t>
  </si>
  <si>
    <t>M8</t>
  </si>
  <si>
    <t>M9</t>
  </si>
  <si>
    <t>M10</t>
  </si>
  <si>
    <t>M11</t>
  </si>
  <si>
    <t>M12</t>
  </si>
  <si>
    <t>M13</t>
  </si>
  <si>
    <t>M14</t>
  </si>
  <si>
    <t>M15</t>
  </si>
  <si>
    <t>M16</t>
  </si>
  <si>
    <t>M17</t>
  </si>
  <si>
    <t>Nama Field</t>
  </si>
  <si>
    <t>Tipe Data</t>
  </si>
  <si>
    <t>Lebar</t>
  </si>
  <si>
    <t>Keterangan</t>
  </si>
  <si>
    <t>id</t>
  </si>
  <si>
    <t>bigint</t>
  </si>
  <si>
    <t>-</t>
  </si>
  <si>
    <t>Primary Key sebagai identitas unik setiap user. Auto increment.</t>
  </si>
  <si>
    <t>name</t>
  </si>
  <si>
    <t>varchar</t>
  </si>
  <si>
    <t>Nama lengkap pengguna yang digunakan untuk identifikasi di aplikasi. Tidak boleh kosong.</t>
  </si>
  <si>
    <t>email</t>
  </si>
  <si>
    <t>Alamat email pengguna sebagai identitas login. Harus unik dan tidak boleh kosong.</t>
  </si>
  <si>
    <t>email_verified_at</t>
  </si>
  <si>
    <t>timestamp</t>
  </si>
  <si>
    <t>password</t>
  </si>
  <si>
    <t>Menyimpan password yang sudah di-hash. Tidak disimpan dalam bentuk teks asli. Wajib diisi.</t>
  </si>
  <si>
    <t>avatar</t>
  </si>
  <si>
    <t>Menyimpan nama file atau path gambar profil pengguna. Boleh kosong.</t>
  </si>
  <si>
    <t>phone</t>
  </si>
  <si>
    <t>Nomor telepon pengguna. Tidak wajib diisi.</t>
  </si>
  <si>
    <t>job_title</t>
  </si>
  <si>
    <t>Jabatan atau posisi pekerjaan user di dalam organisasi/proyek. Tidak wajib diisi.</t>
  </si>
  <si>
    <t>address</t>
  </si>
  <si>
    <t>Alamat tempat tinggal pengguna. Bersifat opsional.</t>
  </si>
  <si>
    <r>
      <t xml:space="preserve">Menyimpan waktu verifikasi email. Nilai </t>
    </r>
    <r>
      <rPr>
        <i/>
        <sz val="12"/>
        <color rgb="FF000000"/>
        <rFont val="Times New Roman"/>
        <family val="1"/>
      </rPr>
      <t>NULL</t>
    </r>
    <r>
      <rPr>
        <sz val="12"/>
        <color rgb="FF000000"/>
        <rFont val="Times New Roman"/>
        <family val="1"/>
      </rPr>
      <t xml:space="preserve"> berarti email belum diverifikasi.</t>
    </r>
  </si>
  <si>
    <t>Id</t>
  </si>
  <si>
    <t>1.</t>
  </si>
  <si>
    <t>2.</t>
  </si>
  <si>
    <t>3.</t>
  </si>
  <si>
    <t>4.</t>
  </si>
  <si>
    <t>5.</t>
  </si>
  <si>
    <t>6.</t>
  </si>
  <si>
    <t>7.</t>
  </si>
  <si>
    <t>8.</t>
  </si>
  <si>
    <t>9.</t>
  </si>
  <si>
    <t>Guard_name</t>
  </si>
  <si>
    <t>Menentukan guard atau mekanisme autentikasi yang digunakan untuk role tersebut. Secara umum nilainya adalah web atau api. Guard memastikan bahwa role hanya berlaku pada konteks autentikasi tertentu. Wajib diisi.</t>
  </si>
  <si>
    <r>
      <t>Primary key</t>
    </r>
    <r>
      <rPr>
        <sz val="12"/>
        <color rgb="FF000000"/>
        <rFont val="Times New Roman"/>
        <family val="1"/>
      </rPr>
      <t xml:space="preserve"> dari tabel </t>
    </r>
    <r>
      <rPr>
        <i/>
        <sz val="12"/>
        <color rgb="FF000000"/>
        <rFont val="Times New Roman"/>
        <family val="1"/>
      </rPr>
      <t>roles</t>
    </r>
    <r>
      <rPr>
        <sz val="12"/>
        <color rgb="FF000000"/>
        <rFont val="Times New Roman"/>
        <family val="1"/>
      </rPr>
      <t xml:space="preserve"> yang berfungsi sebagai identitas unik setiap peran (role) dalam sistem. Nilai id bersifat auto-increment sehingga setiap role baru akan mendapatkan nomor identitas yang berbeda secara otomatis. Field ini digunakan sebagai acuan relasi pada tabel pivot seperti </t>
    </r>
    <r>
      <rPr>
        <b/>
        <sz val="12"/>
        <color rgb="FF000000"/>
        <rFont val="Times New Roman"/>
        <family val="1"/>
      </rPr>
      <t>role_has_permissions</t>
    </r>
    <r>
      <rPr>
        <sz val="12"/>
        <color rgb="FF000000"/>
        <rFont val="Times New Roman"/>
        <family val="1"/>
      </rPr>
      <t xml:space="preserve"> dan </t>
    </r>
    <r>
      <rPr>
        <b/>
        <sz val="12"/>
        <color rgb="FF000000"/>
        <rFont val="Times New Roman"/>
        <family val="1"/>
      </rPr>
      <t>model_has_roles.</t>
    </r>
  </si>
  <si>
    <r>
      <t xml:space="preserve">Menyimpan nama peran (role) dalam sistem, seperti </t>
    </r>
    <r>
      <rPr>
        <i/>
        <sz val="12"/>
        <color rgb="FF000000"/>
        <rFont val="Times New Roman"/>
        <family val="1"/>
      </rPr>
      <t>admin</t>
    </r>
    <r>
      <rPr>
        <sz val="12"/>
        <color rgb="FF000000"/>
        <rFont val="Times New Roman"/>
        <family val="1"/>
      </rPr>
      <t xml:space="preserve">, </t>
    </r>
    <r>
      <rPr>
        <i/>
        <sz val="12"/>
        <color rgb="FF000000"/>
        <rFont val="Times New Roman"/>
        <family val="1"/>
      </rPr>
      <t>project_manager</t>
    </r>
    <r>
      <rPr>
        <sz val="12"/>
        <color rgb="FF000000"/>
        <rFont val="Times New Roman"/>
        <family val="1"/>
      </rPr>
      <t xml:space="preserve">, atau </t>
    </r>
    <r>
      <rPr>
        <i/>
        <sz val="12"/>
        <color rgb="FF000000"/>
        <rFont val="Times New Roman"/>
        <family val="1"/>
      </rPr>
      <t>team_member</t>
    </r>
    <r>
      <rPr>
        <sz val="12"/>
        <color rgb="FF000000"/>
        <rFont val="Times New Roman"/>
        <family val="1"/>
      </rPr>
      <t>. Field ini berfungsi sebagai identitas utama role dan bersifat unik. Role digunakan untuk mengelompokkan hak akses pada pengguna. Wajib diisi.</t>
    </r>
  </si>
  <si>
    <t>Name</t>
  </si>
  <si>
    <t>Menentukan guard atau konteks autentikasi tempat permission diterapkan. Guard memastikan bahwa permission tidak bercampur antara jenis autentikasi yang berbeda. Wajib diisi.</t>
  </si>
  <si>
    <r>
      <t>Primary key</t>
    </r>
    <r>
      <rPr>
        <sz val="12"/>
        <color rgb="FF000000"/>
        <rFont val="Aptos Narrow"/>
        <family val="2"/>
      </rPr>
      <t xml:space="preserve"> dari tabel </t>
    </r>
    <r>
      <rPr>
        <i/>
        <sz val="12"/>
        <color rgb="FF000000"/>
        <rFont val="Aptos Narrow"/>
        <family val="2"/>
      </rPr>
      <t>permissions</t>
    </r>
    <r>
      <rPr>
        <sz val="12"/>
        <color rgb="FF000000"/>
        <rFont val="Aptos Narrow"/>
        <family val="2"/>
      </rPr>
      <t xml:space="preserve"> yang menjadi identitas unik untuk setiap hak akses (permission).Nilai id bersifat auto-increment dan  digunakan sebagai referensi utama dalam relasi many-to-many melalui tabel pivot </t>
    </r>
    <r>
      <rPr>
        <b/>
        <sz val="12"/>
        <color rgb="FF000000"/>
        <rFont val="Aptos Narrow"/>
        <family val="2"/>
      </rPr>
      <t>role_has_permissions</t>
    </r>
    <r>
      <rPr>
        <sz val="12"/>
        <color rgb="FF000000"/>
        <rFont val="Aptos Narrow"/>
        <family val="2"/>
      </rPr>
      <t xml:space="preserve"> dan </t>
    </r>
    <r>
      <rPr>
        <b/>
        <sz val="12"/>
        <color rgb="FF000000"/>
        <rFont val="Aptos Narrow"/>
        <family val="2"/>
      </rPr>
      <t>model_has_permissions</t>
    </r>
    <r>
      <rPr>
        <sz val="12"/>
        <color rgb="FF000000"/>
        <rFont val="Aptos Narrow"/>
        <family val="2"/>
      </rPr>
      <t>.</t>
    </r>
  </si>
  <si>
    <r>
      <t xml:space="preserve">Menyimpan nama </t>
    </r>
    <r>
      <rPr>
        <i/>
        <sz val="12"/>
        <color rgb="FF000000"/>
        <rFont val="Aptos Narrow"/>
        <family val="2"/>
      </rPr>
      <t>permission</t>
    </r>
    <r>
      <rPr>
        <sz val="12"/>
        <color rgb="FF000000"/>
        <rFont val="Aptos Narrow"/>
        <family val="2"/>
      </rPr>
      <t xml:space="preserve"> atau hak akses spesifik, seperti </t>
    </r>
    <r>
      <rPr>
        <i/>
        <sz val="12"/>
        <color rgb="FF000000"/>
        <rFont val="Aptos Narrow"/>
        <family val="2"/>
      </rPr>
      <t>create project</t>
    </r>
    <r>
      <rPr>
        <sz val="12"/>
        <color rgb="FF000000"/>
        <rFont val="Aptos Narrow"/>
        <family val="2"/>
      </rPr>
      <t xml:space="preserve">, </t>
    </r>
    <r>
      <rPr>
        <i/>
        <sz val="12"/>
        <color rgb="FF000000"/>
        <rFont val="Aptos Narrow"/>
        <family val="2"/>
      </rPr>
      <t>edit task</t>
    </r>
    <r>
      <rPr>
        <sz val="12"/>
        <color rgb="FF000000"/>
        <rFont val="Aptos Narrow"/>
        <family val="2"/>
      </rPr>
      <t xml:space="preserve">, </t>
    </r>
    <r>
      <rPr>
        <i/>
        <sz val="12"/>
        <color rgb="FF000000"/>
        <rFont val="Aptos Narrow"/>
        <family val="2"/>
      </rPr>
      <t>view report</t>
    </r>
    <r>
      <rPr>
        <sz val="12"/>
        <color rgb="FF000000"/>
        <rFont val="Aptos Narrow"/>
        <family val="2"/>
      </rPr>
      <t xml:space="preserve">, atau </t>
    </r>
    <r>
      <rPr>
        <i/>
        <sz val="12"/>
        <color rgb="FF000000"/>
        <rFont val="Aptos Narrow"/>
        <family val="2"/>
      </rPr>
      <t>delete user</t>
    </r>
    <r>
      <rPr>
        <sz val="12"/>
        <color rgb="FF000000"/>
        <rFont val="Aptos Narrow"/>
        <family val="2"/>
      </rPr>
      <t>. Permission merepresentasikan aksi yang diperbolehkan pada sistem. Field ini harus unik dan wajib diisi.</t>
    </r>
  </si>
  <si>
    <t>Primary key perusahaan pemilik (owner company). Bersifat auto-increment</t>
  </si>
  <si>
    <t>Nama resmi perusahaan pemilik yang dicatat dalam sistem. Wajib</t>
  </si>
  <si>
    <t>Logo</t>
  </si>
  <si>
    <t>Varchar</t>
  </si>
  <si>
    <t>Menyimpan nama file atau path dari logo perusahaan. Opsional</t>
  </si>
  <si>
    <t>Address</t>
  </si>
  <si>
    <t>Alamat lengkap perusahaan pemilik. Isian ini membantu identifikasi lokasi fisik perusahaan. Opsional.</t>
  </si>
  <si>
    <t>Postal_code</t>
  </si>
  <si>
    <t>city</t>
  </si>
  <si>
    <t>Nama kota tempat perusahaan berada. Digunakan untuk kebutuhan administratif dan grouping data. Opsional.</t>
  </si>
  <si>
    <t>Alamat email resmi perusahaan. Digunakan untuk komunikasi terkait proyek atau notifikasi sistem. Opsional.</t>
  </si>
  <si>
    <t>Nomor telepon perusahaan. Dipakai untuk informasi kontak dan validasi data perusahaan. Opsional.</t>
  </si>
  <si>
    <t>web</t>
  </si>
  <si>
    <t>URL website resmi perusahaan. Opsional dan digunakan sebagai informasi tambahan profil perusahaan.</t>
  </si>
  <si>
    <t>City</t>
  </si>
  <si>
    <t>Email</t>
  </si>
  <si>
    <t>Phone</t>
  </si>
  <si>
    <t>Web</t>
  </si>
  <si>
    <t>int</t>
  </si>
  <si>
    <t>Int</t>
  </si>
  <si>
    <t xml:space="preserve">Kode pos area lokasi perusahaan untuk memudahkan proses kategorisasi wilayah atau pengiriman dokumen. Opsional. </t>
  </si>
  <si>
    <t>User_Id</t>
  </si>
  <si>
    <t>Client_company_Id</t>
  </si>
  <si>
    <r>
      <t xml:space="preserve">Foreign key yang merujuk pada </t>
    </r>
    <r>
      <rPr>
        <b/>
        <sz val="12"/>
        <color rgb="FF000000"/>
        <rFont val="Times New Roman"/>
        <family val="1"/>
      </rPr>
      <t>id</t>
    </r>
    <r>
      <rPr>
        <sz val="12"/>
        <color rgb="FF000000"/>
        <rFont val="Times New Roman"/>
        <family val="1"/>
      </rPr>
      <t xml:space="preserve"> di tabel users. Digunakan untuk menghubungkan pengguna dengan perusahaan klien. Mewakili pengguna yang diberi akses atau berkaitan dengan perusahaan klien tertentu.</t>
    </r>
  </si>
  <si>
    <r>
      <t xml:space="preserve">Foreign key yang merujuk pada </t>
    </r>
    <r>
      <rPr>
        <b/>
        <sz val="12"/>
        <color rgb="FF000000"/>
        <rFont val="Times New Roman"/>
        <family val="1"/>
      </rPr>
      <t>id</t>
    </r>
    <r>
      <rPr>
        <sz val="12"/>
        <color rgb="FF000000"/>
        <rFont val="Times New Roman"/>
        <family val="1"/>
      </rPr>
      <t xml:space="preserve"> di tabel client_companies. Menandai perusahaan klien yang terasosiasi dengan user tertentu. Berfungsi sebagai relasi many-to-many antara user dan perusahaan klien.</t>
    </r>
  </si>
  <si>
    <t>Kode pos area lokasi perusahaan. Memudahkan proses kategorisasi wilayah atau pengiriman dokumen. Opsional.</t>
  </si>
  <si>
    <r>
      <t xml:space="preserve">Primary key Perusahaan </t>
    </r>
    <r>
      <rPr>
        <i/>
        <sz val="12"/>
        <color rgb="FF000000"/>
        <rFont val="Times New Roman"/>
        <family val="1"/>
      </rPr>
      <t>Clients.</t>
    </r>
    <r>
      <rPr>
        <sz val="12"/>
        <color rgb="FF000000"/>
        <rFont val="Times New Roman"/>
        <family val="1"/>
      </rPr>
      <t xml:space="preserve"> Bersifat auto-increment</t>
    </r>
  </si>
  <si>
    <r>
      <t>Nama resmi perusahaan</t>
    </r>
    <r>
      <rPr>
        <i/>
        <sz val="12"/>
        <color rgb="FF000000"/>
        <rFont val="Times New Roman"/>
        <family val="1"/>
      </rPr>
      <t xml:space="preserve"> Client</t>
    </r>
    <r>
      <rPr>
        <sz val="12"/>
        <color rgb="FF000000"/>
        <rFont val="Times New Roman"/>
        <family val="1"/>
      </rPr>
      <t xml:space="preserve"> yang dicatat dalam sistem. Wajib</t>
    </r>
  </si>
  <si>
    <r>
      <t xml:space="preserve">Alamat lengkap Perusahaan </t>
    </r>
    <r>
      <rPr>
        <i/>
        <sz val="12"/>
        <color rgb="FF000000"/>
        <rFont val="Times New Roman"/>
        <family val="1"/>
      </rPr>
      <t>Clients</t>
    </r>
    <r>
      <rPr>
        <sz val="12"/>
        <color rgb="FF000000"/>
        <rFont val="Times New Roman"/>
        <family val="1"/>
      </rPr>
      <t>. Isian ini membantu identifikasi lokasi fisik perusahaan. Opsional.</t>
    </r>
  </si>
  <si>
    <t>Project_Id</t>
  </si>
  <si>
    <r>
      <t xml:space="preserve">Foreign key yang merujuk pada </t>
    </r>
    <r>
      <rPr>
        <b/>
        <sz val="12"/>
        <color rgb="FF000000"/>
        <rFont val="Times New Roman"/>
        <family val="1"/>
      </rPr>
      <t>id</t>
    </r>
    <r>
      <rPr>
        <sz val="12"/>
        <color rgb="FF000000"/>
        <rFont val="Times New Roman"/>
        <family val="1"/>
      </rPr>
      <t xml:space="preserve"> tabel users. Field ini menunjukkan pengguna yang diberi hak akses terhadap proyek tertentu. Digunakan untuk menentukan role pengguna dalam proyek (Project Manager, Team Member, Client).</t>
    </r>
  </si>
  <si>
    <r>
      <t xml:space="preserve">Foreign key yang merujuk pada </t>
    </r>
    <r>
      <rPr>
        <b/>
        <sz val="12"/>
        <color rgb="FF000000"/>
        <rFont val="Times New Roman"/>
        <family val="1"/>
      </rPr>
      <t>id</t>
    </r>
    <r>
      <rPr>
        <sz val="12"/>
        <color rgb="FF000000"/>
        <rFont val="Times New Roman"/>
        <family val="1"/>
      </rPr>
      <t xml:space="preserve"> tabel projects. Field ini mewakili proyek yang diakses oleh pengguna. Bersama dengan user_id membentuk relasi </t>
    </r>
    <r>
      <rPr>
        <b/>
        <sz val="12"/>
        <color rgb="FF000000"/>
        <rFont val="Times New Roman"/>
        <family val="1"/>
      </rPr>
      <t>many-to-many</t>
    </r>
    <r>
      <rPr>
        <sz val="12"/>
        <color rgb="FF000000"/>
        <rFont val="Times New Roman"/>
        <family val="1"/>
      </rPr>
      <t xml:space="preserve"> antara pengguna dan proyek.</t>
    </r>
  </si>
  <si>
    <t>Primary key sebagai identitas unik setiap proyek dalam sistem.</t>
  </si>
  <si>
    <t>client_company_id</t>
  </si>
  <si>
    <t>Foreign key yang merujuk ke tabel client_companies. Menentukan perusahaan klien yang menjadi pemilik proyek.</t>
  </si>
  <si>
    <t>client_user_id</t>
  </si>
  <si>
    <t>Foreign key yang merujuk ke tabel users. Menunjukkan pengguna klien yang berwenang sebagai penanggung jawab atau perwakilan klien dalam proyek.</t>
  </si>
  <si>
    <t>code</t>
  </si>
  <si>
    <t>Kode unik proyek yang digunakan sebagai identitas administratif dan referensi dokumen.</t>
  </si>
  <si>
    <t>Nama resmi proyek yang dikelola dalam sistem.</t>
  </si>
  <si>
    <t>description</t>
  </si>
  <si>
    <t>Text</t>
  </si>
  <si>
    <t>Deskripsi proyek secara rinci, mencakup ruang lingkup, tujuan, dan ketentuan pelaksanaan.</t>
  </si>
  <si>
    <t>start_date</t>
  </si>
  <si>
    <t>date</t>
  </si>
  <si>
    <t>Tanggal resmi mulai pelaksanaan proyek berdasarkan perencanaan atau kontrak.</t>
  </si>
  <si>
    <t>end_date</t>
  </si>
  <si>
    <t>Tanggal rencana penyelesaian proyek. Digunakan untuk evaluasi jadwal dan perhitungan performa waktu.</t>
  </si>
  <si>
    <t>direct_cost_plan</t>
  </si>
  <si>
    <t>Total rencana biaya langsung (direct cost) yang didefinisikan pada fase perencanaan proyek.</t>
  </si>
  <si>
    <t>direct_cost_actual</t>
  </si>
  <si>
    <t>Total biaya langsung aktual yang telah dikeluarkan selama pelaksanaan proyek.</t>
  </si>
  <si>
    <t>overhead_site_rate</t>
  </si>
  <si>
    <t>Persentase biaya overhead lapangan yang ditetapkan untuk proyek.</t>
  </si>
  <si>
    <t>overhead_site_cost_plan</t>
  </si>
  <si>
    <t>Total rencana biaya overhead lapangan.</t>
  </si>
  <si>
    <t>overhead_site_cost_actual</t>
  </si>
  <si>
    <t>Total realisasi biaya overhead lapangan.</t>
  </si>
  <si>
    <t>administrative_rate</t>
  </si>
  <si>
    <t>Persentase biaya administrasi yang dialokasikan untuk proyek.</t>
  </si>
  <si>
    <t>administrative_cost_plan</t>
  </si>
  <si>
    <t>Total rencana biaya administrasi.</t>
  </si>
  <si>
    <t>administrative_cost_actua</t>
  </si>
  <si>
    <t>Total biaya administrasi aktual yang telah dikeluarkan.</t>
  </si>
  <si>
    <t>contingency_rate</t>
  </si>
  <si>
    <t>Persentase dana cadangan (contingency) yang dianggarkan untuk mengantisipasi risiko dalam proyek.</t>
  </si>
  <si>
    <t>contingency_cost_actual</t>
  </si>
  <si>
    <t>Total penggunaan biaya cadangan aktual.</t>
  </si>
  <si>
    <t>profit_rate</t>
  </si>
  <si>
    <t>Persentase keuntungan (profit) yang ditargetkan dalam proyek.</t>
  </si>
  <si>
    <t>profit_cost_plan</t>
  </si>
  <si>
    <t>Total rencana biaya keuntungan proyek.</t>
  </si>
  <si>
    <t>profit_cost_actual</t>
  </si>
  <si>
    <t>Total realisasi biaya keuntungan.</t>
  </si>
  <si>
    <t>tax_rate</t>
  </si>
  <si>
    <t>Persentase pajak yang diberlakukan pada proyek.</t>
  </si>
  <si>
    <t>tax_cost_plan</t>
  </si>
  <si>
    <t>Total rencana biaya pajak proyek.</t>
  </si>
  <si>
    <t>tax_cost_actua</t>
  </si>
  <si>
    <t>Total realisasi biaya pajak.</t>
  </si>
  <si>
    <t>budget_project_estimate</t>
  </si>
  <si>
    <t>Estimasi awal total anggaran proyek sebelum finalisasi perencanaan.</t>
  </si>
  <si>
    <t>budget_project_final_plan</t>
  </si>
  <si>
    <t>Total rencana anggaran final proyek yang telah ditetapkan.</t>
  </si>
  <si>
    <t>budget_project_grandtotal_plan</t>
  </si>
  <si>
    <t>Total keseluruhan rencana anggaran proyek, termasuk seluruh komponen biaya.</t>
  </si>
  <si>
    <t>budget_project_grandtotal_actual</t>
  </si>
  <si>
    <t>Total realisasi biaya keseluruhan yang telah dikeluarkan untuk proyek.</t>
  </si>
  <si>
    <t>budget_project_actual</t>
  </si>
  <si>
    <t>Anggaran aktual yang sedang berlaku berdasarkan perkembangan proyek.</t>
  </si>
  <si>
    <t>progress_project</t>
  </si>
  <si>
    <t>Persentase progres pekerjaan proyek berdasarkan realisasi kegiatan di lapangan. Digunakan untuk evaluasi performa dan perhitungan Earned Value Management (EVM).</t>
  </si>
  <si>
    <t>10.</t>
  </si>
  <si>
    <t>11.</t>
  </si>
  <si>
    <t>12.</t>
  </si>
  <si>
    <t>13.</t>
  </si>
  <si>
    <t>14.</t>
  </si>
  <si>
    <t>15.</t>
  </si>
  <si>
    <t>16.</t>
  </si>
  <si>
    <t>17.</t>
  </si>
  <si>
    <t>18.</t>
  </si>
  <si>
    <t>19.</t>
  </si>
  <si>
    <t>20.</t>
  </si>
  <si>
    <t>21.</t>
  </si>
  <si>
    <t>22.</t>
  </si>
  <si>
    <t>23.</t>
  </si>
  <si>
    <t>24.</t>
  </si>
  <si>
    <t>25.</t>
  </si>
  <si>
    <t>26.</t>
  </si>
  <si>
    <t>27.</t>
  </si>
  <si>
    <t>28.</t>
  </si>
  <si>
    <t>29.</t>
  </si>
  <si>
    <t>30.</t>
  </si>
  <si>
    <t>31.</t>
  </si>
  <si>
    <t>decimal</t>
  </si>
  <si>
    <t>Primary key yang menjadi identitas unik setiap kelompok tugas (task group) dalam sistem.</t>
  </si>
  <si>
    <t>project_id</t>
  </si>
  <si>
    <t>Foreign key yang terhubung ke tabel projects. Field ini menentukan proyek tempat kelompok tugas ini berada, sehingga setiap task group dipetakan secara eksplisit ke satu proyek.</t>
  </si>
  <si>
    <t>Nama kelompok tugas yang mendefinisikan kategori atau fase pekerjaan dalam proyek. Digunakan untuk mengorganisasi tugas-tugas secara sistematis.</t>
  </si>
  <si>
    <t>text</t>
  </si>
  <si>
    <t>Deskripsi rinci mengenai kelompok tugas, berisi penjelasan ruang lingkup, tujuan, atau ketentuan tambahan terkait kelompok pekerjaan tersebut.</t>
  </si>
  <si>
    <t>order_column</t>
  </si>
  <si>
    <t>Angka urutan yang menentukan posisi task group dalam tampilan atau struktur proyek. Nilai ini digunakan untuk menyusun kelompok tugas secara terurut dalam interface maupun logika aplikasi.</t>
  </si>
  <si>
    <t>Project_id</t>
  </si>
  <si>
    <t>Description</t>
  </si>
  <si>
    <t>Order_column</t>
  </si>
  <si>
    <t>Primary key sebagai identitas unik setiap tugas yang tercatat dalam sistem.</t>
  </si>
  <si>
    <t>Foreign key yang menghubungkan tugas dengan proyek asalnya. Setiap tugas selalu berada dalam satu proyek tertentu.</t>
  </si>
  <si>
    <t>group_id</t>
  </si>
  <si>
    <t>Bigint</t>
  </si>
  <si>
    <t>Foreign key yang merujuk ke tabel task_groups. Field ini menentukan kelompok tugas tempat sebuah task berada dalam struktur proyek.</t>
  </si>
  <si>
    <t>Created_by_user_id</t>
  </si>
  <si>
    <t>Foreign key yang merujuk ke tabel users. Field ini mencatat pengguna yang membuat atau mendaftarkan tugas tersebut ke dalam sistem.</t>
  </si>
  <si>
    <t>assigned_to_user_id</t>
  </si>
  <si>
    <t>Foreign key yang merujuk ke tabel users. Berfungsi untuk menetapkan pengguna yang bertanggung jawab melaksanakan tugas.</t>
  </si>
  <si>
    <t>assigned_at</t>
  </si>
  <si>
    <t>Waktu penetapan tugas kepada pengguna terkait. Digunakan untuk pelacakan distribusi pekerjaan.</t>
  </si>
  <si>
    <t>number</t>
  </si>
  <si>
    <t>Nomor urut atau kode identifikasi tugas dalam proyek. Digunakan untuk referensi administratif dan pemetaan internal.</t>
  </si>
  <si>
    <t>Angka urutan yang menentukan posisi tugas dalam tampilan atau daftar tugas. Memastikan tugas tersusun secara teratur.</t>
  </si>
  <si>
    <t>Nama tugas yang menggambarkan judul atau jenis pekerjaan yang harus diselesaikan.</t>
  </si>
  <si>
    <t>Uraian detail mengenai tugas, termasuk ruang lingkup, metode kerja, atau instruksi teknis lainnya.</t>
  </si>
  <si>
    <t>Tanggal rencana atau aktual dimulainya pengerjaan tugas.</t>
  </si>
  <si>
    <t>Tanggal rencana atau aktual penyelesaian tugas. Digunakan untuk evaluasi kinerja jadwal.</t>
  </si>
  <si>
    <t>budget_task_plan</t>
  </si>
  <si>
    <t>Total rencana anggaran yang dialokasikan untuk tugas pada tahap perencanaan proyek.</t>
  </si>
  <si>
    <t>budget_task_actual</t>
  </si>
  <si>
    <t>Nilai biaya aktual yang telah dikeluarkan untuk menyelesaikan tugas.</t>
  </si>
  <si>
    <t>weight_task</t>
  </si>
  <si>
    <t>Bobot persentase tugas terhadap keseluruhan proyek. Field ini digunakan dalam perhitungan Earned Value Management (EVM).</t>
  </si>
  <si>
    <t>Volume</t>
  </si>
  <si>
    <t>Volume pekerjaan yang dialokasikan untuk tugas (misalnya satuan m³, m², unit). Sangat relevan dalam proyek konstruksi berbasis kuantitas.</t>
  </si>
  <si>
    <t>unit_cost_task</t>
  </si>
  <si>
    <t>Harga satuan pekerjaan untuk tugas, yang digunakan dalam perhitungan total biaya berdasarkan volume.</t>
  </si>
  <si>
    <t>progress_task</t>
  </si>
  <si>
    <t>Persentase progres penyelesaian tugas berdasarkan laporan aktual pekerjaan di lapangan.</t>
  </si>
  <si>
    <t>is_completed</t>
  </si>
  <si>
    <r>
      <t xml:space="preserve">Status penyelesaian tugas. Bernilai </t>
    </r>
    <r>
      <rPr>
        <b/>
        <sz val="12"/>
        <color theme="1"/>
        <rFont val="Times New Roman"/>
        <family val="1"/>
      </rPr>
      <t>1</t>
    </r>
    <r>
      <rPr>
        <sz val="12"/>
        <color theme="1"/>
        <rFont val="Times New Roman"/>
        <family val="1"/>
      </rPr>
      <t xml:space="preserve"> jika tugas selesai, dan </t>
    </r>
    <r>
      <rPr>
        <b/>
        <sz val="12"/>
        <color theme="1"/>
        <rFont val="Times New Roman"/>
        <family val="1"/>
      </rPr>
      <t>0</t>
    </r>
    <r>
      <rPr>
        <sz val="12"/>
        <color theme="1"/>
        <rFont val="Times New Roman"/>
        <family val="1"/>
      </rPr>
      <t xml:space="preserve"> jika masih dalam proses.</t>
    </r>
  </si>
  <si>
    <t>tinyint</t>
  </si>
  <si>
    <r>
      <t xml:space="preserve">Foreign key yang merujuk ke tabel </t>
    </r>
    <r>
      <rPr>
        <b/>
        <sz val="12"/>
        <color theme="1"/>
        <rFont val="Times New Roman"/>
        <family val="1"/>
      </rPr>
      <t>inventories</t>
    </r>
    <r>
      <rPr>
        <sz val="12"/>
        <color theme="1"/>
        <rFont val="Times New Roman"/>
        <family val="1"/>
      </rPr>
      <t>. Menunjukkan item inventaris mana yang dialokasikan.</t>
    </r>
  </si>
  <si>
    <t>task_id</t>
  </si>
  <si>
    <r>
      <t xml:space="preserve">Foreign key yang merujuk ke tabel </t>
    </r>
    <r>
      <rPr>
        <i/>
        <sz val="12"/>
        <color theme="1"/>
        <rFont val="Times New Roman"/>
        <family val="1"/>
      </rPr>
      <t>tasks</t>
    </r>
    <r>
      <rPr>
        <sz val="12"/>
        <color theme="1"/>
        <rFont val="Times New Roman"/>
        <family val="1"/>
      </rPr>
      <t>. Menunjukkan alokasi inventaris dipakai untuk task yang mana.</t>
    </r>
  </si>
  <si>
    <t>Foreign key yang merujuk ke tabel users. Mengidentifikasi user yang melakukan proses alokasi inventaris.</t>
  </si>
  <si>
    <t>jumlah inventaris yang dialokasikan untuk task tertentu.</t>
  </si>
  <si>
    <t>Harga satuan inventaris pada saat dialokasikan ke task.</t>
  </si>
  <si>
    <t>notes</t>
  </si>
  <si>
    <t>Catatan tambahan terkait alokasi inventaris.</t>
  </si>
  <si>
    <t>Primary key Digunakan untuk mengidentifikasi setiap alokasi inventaris ke dalam suatu task secara unik. Auto-increment</t>
  </si>
  <si>
    <t>Inventory_id</t>
  </si>
  <si>
    <t>Task_id</t>
  </si>
  <si>
    <t>Allocated_by_user_id</t>
  </si>
  <si>
    <t>Quantity_allocated</t>
  </si>
  <si>
    <t>Cost_at_allocation</t>
  </si>
  <si>
    <t>Notes</t>
  </si>
  <si>
    <t>Decimal</t>
  </si>
  <si>
    <t>Primary key Digunakan untuk mengidentifikasi setiap item inventaris secara unik. Auto-increment</t>
  </si>
  <si>
    <t>Kode unik untuk setiap item inventaris. Berfungsi sebagai identitas material/peralatan, memudahkan proses pencarian dan pencatatan.</t>
  </si>
  <si>
    <t>Nama item inventaris.</t>
  </si>
  <si>
    <t>Penjelasan lebih detail mengenai inventaris. Optional</t>
  </si>
  <si>
    <t>Harga satuan item inventaris. Dipakai untuk perhitungan biaya aktual (Actual Cost) ketika inventaris dialokasikan ke task.</t>
  </si>
  <si>
    <t>Jumlah stok inventaris yang tersedia di gudang atau lokasi proyek.</t>
  </si>
  <si>
    <t>ID user yang membuat atau menambahkan item inventaris ke sistem. Yang memiliki aksess permissions</t>
  </si>
  <si>
    <t>Code</t>
  </si>
  <si>
    <t>Unit_cost</t>
  </si>
  <si>
    <t>Quantity_on_hand</t>
  </si>
  <si>
    <t>Primary key Identitas unik untuk setiap relasi dependensi antar task. Auto-increment</t>
  </si>
  <si>
    <t>Foreign key Referensi ke task yang memiliki ketergantungan (dependent task).</t>
  </si>
  <si>
    <t>depends_on_task_id</t>
  </si>
  <si>
    <t>Task yang menjadi prasyarat (preceding task).</t>
  </si>
  <si>
    <t>relation_type_id</t>
  </si>
  <si>
    <t>Menentukan jenis hubungan dependensi antar task. Mengarah ke tabel lables, misalnya task_relation_types.</t>
  </si>
  <si>
    <t>lag_days</t>
  </si>
  <si>
    <t>Default:0</t>
  </si>
  <si>
    <t>Jumlah jeda (delay) dalam hari antar dua task yang saling bergantung. Default bernilai 0.</t>
  </si>
  <si>
    <t>Primary key Identitas unik setiap laporan pekerjaan harian (daily work report). Auto-increment</t>
  </si>
  <si>
    <t>Foreign key Referensi ke task yang dilaporkan progresnya. Menghubungkan laporan harian dengan pekerjaan spesifik dalam proyek. Relasi ke tasks.id.</t>
  </si>
  <si>
    <t>user_id</t>
  </si>
  <si>
    <r>
      <t xml:space="preserve">User yang membuat laporan (biasanya </t>
    </r>
    <r>
      <rPr>
        <i/>
        <sz val="12"/>
        <color theme="1"/>
        <rFont val="Times New Roman"/>
        <family val="1"/>
      </rPr>
      <t>Team Member</t>
    </r>
    <r>
      <rPr>
        <sz val="12"/>
        <color theme="1"/>
        <rFont val="Times New Roman"/>
        <family val="1"/>
      </rPr>
      <t xml:space="preserve"> lapangan). Digunakan untuk tracking tanggung jawab dan validasi oleh Project Manager. Relasi ke users.id.</t>
    </r>
  </si>
  <si>
    <t>Judul atau nama laporan.</t>
  </si>
  <si>
    <t>report_date</t>
  </si>
  <si>
    <t>Tanggal laporan pekerjaan. Digunakan untuk time-series tracking progres dan biaya harian.</t>
  </si>
  <si>
    <t>progress</t>
  </si>
  <si>
    <t>Prosentase progres pekerjaan pada hari laporan (0–100).</t>
  </si>
  <si>
    <t>work_done</t>
  </si>
  <si>
    <t>Volume pekerjaan yang diselesaikan pada hari itu</t>
  </si>
  <si>
    <t>unit_id</t>
  </si>
  <si>
    <t>Foreign key refrensi ke table labels dengan type_inventory_label. Satuan yang digunakan untuk kolom work_done.</t>
  </si>
  <si>
    <t>actual_cost</t>
  </si>
  <si>
    <t>Total biaya aktual harian yang terjadi untuk pekerjaan terkait.</t>
  </si>
  <si>
    <t>actual_unit_cost</t>
  </si>
  <si>
    <t>Biaya aktual per satuan volume pekerjaan.</t>
  </si>
  <si>
    <t>labor_details</t>
  </si>
  <si>
    <t>json</t>
  </si>
  <si>
    <t>Detail biaya tenaga kerja harian.</t>
  </si>
  <si>
    <t>material_details</t>
  </si>
  <si>
    <t>Rincian penggunaan material harian.</t>
  </si>
  <si>
    <t>equipment_details</t>
  </si>
  <si>
    <t>Rincian penggunaan peralatan.</t>
  </si>
  <si>
    <t>remarks</t>
  </si>
  <si>
    <t>Catatan tambahan dari pelapor. digunakan untuk mencatat kendala lapangan, kondisi material, kendala tenaga kerja, atau evaluasi singkat.</t>
  </si>
  <si>
    <t>Weather</t>
  </si>
  <si>
    <t>Informasi cuaca pada tanggal laporan.</t>
  </si>
  <si>
    <t>decima</t>
  </si>
  <si>
    <t>Primary key Identitas unik untuk setiap lampiran (file attachment) yang diunggah dalam sistem. Auto-increment</t>
  </si>
  <si>
    <t>Foreign key Referensi ke proyek yang terkait dengan file. Menandai file sebagai lampiran pada level proyek (misal: dokumen kontrak, gambar desain, proposal). Relasi ke project.id</t>
  </si>
  <si>
    <t>Foregin key Referensi ke task terkait jika file diunggah pada level pekerjaan tertentu.</t>
  </si>
  <si>
    <t>Work_report_id</t>
  </si>
  <si>
    <r>
      <t>Foreign key Referensi ke laporan harian (</t>
    </r>
    <r>
      <rPr>
        <i/>
        <sz val="12"/>
        <color theme="1"/>
        <rFont val="Times New Roman"/>
        <family val="1"/>
      </rPr>
      <t>work report</t>
    </r>
    <r>
      <rPr>
        <sz val="12"/>
        <color theme="1"/>
        <rFont val="Times New Roman"/>
        <family val="1"/>
      </rPr>
      <t>) jika file diunggah sebagai bukti pekerjaan harian.</t>
    </r>
  </si>
  <si>
    <t>User_id</t>
  </si>
  <si>
    <t>User yang mengunggah file. Untuk tracking siapa yang bertanggung jawab atas file.</t>
  </si>
  <si>
    <t>Nama file yang disimpan sebagai metadata, bukan nama di sistem file.</t>
  </si>
  <si>
    <t>path</t>
  </si>
  <si>
    <t>Lokasi file dalam sistem penyimpanan (storage path).</t>
  </si>
  <si>
    <t>thumb</t>
  </si>
  <si>
    <t>Lokasi thumbnail atau versi kecil gambar (jika ada).</t>
  </si>
  <si>
    <t>disk</t>
  </si>
  <si>
    <t>Varchar default:'public</t>
  </si>
  <si>
    <t>Jenis disk penyimpanan yang digunakan berdasarkan konfigurasi Laravel.</t>
  </si>
  <si>
    <t>mime_type</t>
  </si>
  <si>
    <t>Jenis konten file berdasarkan standar MIME.</t>
  </si>
  <si>
    <t>file_type</t>
  </si>
  <si>
    <t>Kategori file yang ditentukan oleh sistem, bukan MIME type.</t>
  </si>
  <si>
    <t>size</t>
  </si>
  <si>
    <t>Ukuran file dalam byte.</t>
  </si>
  <si>
    <t>is_main</t>
  </si>
  <si>
    <t xml:space="preserve">Penanda apakah file merupakan lampiran utama (cover) untuk proyek atau task. 0 = bukan file utama. 1 = file utama </t>
  </si>
  <si>
    <t>Primary key Identitas unik setiap komentar yang dibuat dalam sistem. Auto-increment</t>
  </si>
  <si>
    <t>Foreign_key Referensi ke pengguna yang menuliskan komentar. Relasi ke users.id.</t>
  </si>
  <si>
    <t>Foreign key Referensi ke task yang menjadi konteks komentar. Relasi ke tasks.id.</t>
  </si>
  <si>
    <t xml:space="preserve"> Isi komentar yang dituliskan oleh pengguna.</t>
  </si>
  <si>
    <t>Berisi catatan, instruksi, klarifikasi, feedback, atau komunikasi internal terkait task.</t>
  </si>
  <si>
    <t>Content</t>
  </si>
  <si>
    <t>Primary key Menjadi identitas unik setiap catatan perhitungan EVM yang tersimpan dalam sistem pada tanggal tertentu. Auto-increment</t>
  </si>
  <si>
    <t>Date</t>
  </si>
  <si>
    <t>budget_at_completion</t>
  </si>
  <si>
    <t>planned_value</t>
  </si>
  <si>
    <t>earned_value</t>
  </si>
  <si>
    <t>schedule_variance</t>
  </si>
  <si>
    <t>cost_variance</t>
  </si>
  <si>
    <t>schedule_performance_index</t>
  </si>
  <si>
    <t>cost_performance_index</t>
  </si>
  <si>
    <t>estimate_at_completion</t>
  </si>
  <si>
    <t>estimate_to_complete</t>
  </si>
  <si>
    <t>variance_at_completion</t>
  </si>
  <si>
    <r>
      <t>Selisih antara BAC dan EAC (</t>
    </r>
    <r>
      <rPr>
        <i/>
        <sz val="12"/>
        <color theme="1"/>
        <rFont val="Times New Roman"/>
        <family val="1"/>
      </rPr>
      <t>VAC = BAC − EAC</t>
    </r>
    <r>
      <rPr>
        <sz val="12"/>
        <color theme="1"/>
        <rFont val="Times New Roman"/>
        <family val="1"/>
      </rPr>
      <t>).</t>
    </r>
  </si>
  <si>
    <t>tcpi_bac</t>
  </si>
  <si>
    <t xml:space="preserve">tcpi_eac </t>
  </si>
  <si>
    <t>Foreign key yang menghubungkan catatan EVM dengan proyek tertentu. Memastikan setiap data EVM terkait langsung dengan satu proyek yang sedang dianalisis.</t>
  </si>
  <si>
    <t>Tanggal perhitungan atau pelaporan EVM dilakukan. Digunakan untuk memantau perkembangan performa proyek secara periodik.</t>
  </si>
  <si>
    <r>
      <t>Total anggaran proyek ketika pekerjaan selesai (</t>
    </r>
    <r>
      <rPr>
        <i/>
        <sz val="12"/>
        <color theme="1"/>
        <rFont val="Times New Roman"/>
        <family val="1"/>
      </rPr>
      <t>Budget at Completion / BAC</t>
    </r>
    <r>
      <rPr>
        <sz val="12"/>
        <color theme="1"/>
        <rFont val="Times New Roman"/>
        <family val="1"/>
      </rPr>
      <t>).Nilai ini menjadi baseline perbandingan dengan estimasi biaya dan varians akhir.</t>
    </r>
  </si>
  <si>
    <r>
      <t>Nilai pekerjaan yang benar-benar telah diselesaikan hingga tanggal laporan (</t>
    </r>
    <r>
      <rPr>
        <i/>
        <sz val="12"/>
        <color theme="1"/>
        <rFont val="Times New Roman"/>
        <family val="1"/>
      </rPr>
      <t>Earned Value / EV</t>
    </r>
    <r>
      <rPr>
        <sz val="12"/>
        <color theme="1"/>
        <rFont val="Times New Roman"/>
        <family val="1"/>
      </rPr>
      <t>). Mengukur progress fisik dalam bentuk nilai anggaran.</t>
    </r>
  </si>
  <si>
    <r>
      <t>Nilai rencana kerja yang seharusnya telah dicapai sampai tanggal laporan (</t>
    </r>
    <r>
      <rPr>
        <i/>
        <sz val="12"/>
        <color theme="1"/>
        <rFont val="Times New Roman"/>
        <family val="1"/>
      </rPr>
      <t>Planned Value / PV</t>
    </r>
    <r>
      <rPr>
        <sz val="12"/>
        <color theme="1"/>
        <rFont val="Times New Roman"/>
        <family val="1"/>
      </rPr>
      <t>).Menggambarkan jadwal rencana berdasarkan baseline proyek.</t>
    </r>
  </si>
  <si>
    <r>
      <t>Total biaya aktual yang telah dikeluarkan hingga tanggal laporan (</t>
    </r>
    <r>
      <rPr>
        <i/>
        <sz val="12"/>
        <color theme="1"/>
        <rFont val="Times New Roman"/>
        <family val="1"/>
      </rPr>
      <t>Actual Cost / AC</t>
    </r>
    <r>
      <rPr>
        <sz val="12"/>
        <color theme="1"/>
        <rFont val="Times New Roman"/>
        <family val="1"/>
      </rPr>
      <t>).Mencerminkan realisasi pengeluaran proyek.</t>
    </r>
  </si>
  <si>
    <r>
      <t>Indikator selisih antara EV dan PV (</t>
    </r>
    <r>
      <rPr>
        <i/>
        <sz val="12"/>
        <color theme="1"/>
        <rFont val="Times New Roman"/>
        <family val="1"/>
      </rPr>
      <t>Schedule Variance / SV = EV − PV</t>
    </r>
    <r>
      <rPr>
        <sz val="12"/>
        <color theme="1"/>
        <rFont val="Times New Roman"/>
        <family val="1"/>
      </rPr>
      <t>).Menunjukkan apakah proyek mengalami percepatan atau keterlambatan.</t>
    </r>
  </si>
  <si>
    <r>
      <t>Indikator selisih antara EV dan AC (</t>
    </r>
    <r>
      <rPr>
        <i/>
        <sz val="12"/>
        <color theme="1"/>
        <rFont val="Times New Roman"/>
        <family val="1"/>
      </rPr>
      <t>Cost Variance / CV = EV − AC</t>
    </r>
    <r>
      <rPr>
        <sz val="12"/>
        <color theme="1"/>
        <rFont val="Times New Roman"/>
        <family val="1"/>
      </rPr>
      <t>).Menilai apakah proyek mengalami pemborosan atau efisiensi biaya.</t>
    </r>
  </si>
  <si>
    <r>
      <t>Rasio kinerja jadwal proyek (</t>
    </r>
    <r>
      <rPr>
        <i/>
        <sz val="12"/>
        <color theme="1"/>
        <rFont val="Times New Roman"/>
        <family val="1"/>
      </rPr>
      <t>SPI = EV ÷ PV</t>
    </r>
    <r>
      <rPr>
        <sz val="12"/>
        <color theme="1"/>
        <rFont val="Times New Roman"/>
        <family val="1"/>
      </rPr>
      <t>).Mengukur tingkat produktivitas pelaksanaan dibandingkan rencana.</t>
    </r>
  </si>
  <si>
    <r>
      <t>Rasio kinerja biaya proyek (</t>
    </r>
    <r>
      <rPr>
        <i/>
        <sz val="12"/>
        <color theme="1"/>
        <rFont val="Times New Roman"/>
        <family val="1"/>
      </rPr>
      <t>CPI = EV ÷ AC</t>
    </r>
    <r>
      <rPr>
        <sz val="12"/>
        <color theme="1"/>
        <rFont val="Times New Roman"/>
        <family val="1"/>
      </rPr>
      <t>).Menilai efisiensi penggunaan anggaran.</t>
    </r>
  </si>
  <si>
    <r>
      <t>Estimasi total biaya penyelesaian proyek berdasarkan kinerja aktual (</t>
    </r>
    <r>
      <rPr>
        <i/>
        <sz val="12"/>
        <color theme="1"/>
        <rFont val="Times New Roman"/>
        <family val="1"/>
      </rPr>
      <t>EAC</t>
    </r>
    <r>
      <rPr>
        <sz val="12"/>
        <color theme="1"/>
        <rFont val="Times New Roman"/>
        <family val="1"/>
      </rPr>
      <t>).Menggambarkan perkiraan biaya akhir proyek.</t>
    </r>
  </si>
  <si>
    <r>
      <t>Biaya tambahan yang dibutuhkan untuk menyelesaikan sisa pekerjaan (</t>
    </r>
    <r>
      <rPr>
        <i/>
        <sz val="12"/>
        <color theme="1"/>
        <rFont val="Times New Roman"/>
        <family val="1"/>
      </rPr>
      <t>ETC = EAC − AC</t>
    </r>
    <r>
      <rPr>
        <sz val="12"/>
        <color theme="1"/>
        <rFont val="Times New Roman"/>
        <family val="1"/>
      </rPr>
      <t>).Digunakan untuk melihat kebutuhan biaya lanjutan.</t>
    </r>
  </si>
  <si>
    <r>
      <t>To Complete Performance Index</t>
    </r>
    <r>
      <rPr>
        <sz val="12"/>
        <color theme="1"/>
        <rFont val="Times New Roman"/>
        <family val="1"/>
      </rPr>
      <t xml:space="preserve"> berbasis BAC (</t>
    </r>
    <r>
      <rPr>
        <i/>
        <sz val="12"/>
        <color theme="1"/>
        <rFont val="Times New Roman"/>
        <family val="1"/>
      </rPr>
      <t>TCPI = (BAC − EV) ÷ (BAC − AC)</t>
    </r>
    <r>
      <rPr>
        <sz val="12"/>
        <color theme="1"/>
        <rFont val="Times New Roman"/>
        <family val="1"/>
      </rPr>
      <t>).</t>
    </r>
    <r>
      <rPr>
        <i/>
        <sz val="12"/>
        <color theme="1"/>
        <rFont val="Times New Roman"/>
        <family val="1"/>
      </rPr>
      <t xml:space="preserve"> </t>
    </r>
    <r>
      <rPr>
        <sz val="12"/>
        <color theme="1"/>
        <rFont val="Times New Roman"/>
        <family val="1"/>
      </rPr>
      <t>Mendefinisikan tingkat performa biaya yang harus dicapai agar proyek dapat kembali sesuai anggaran awal.</t>
    </r>
  </si>
  <si>
    <r>
      <t>TCPI berbasis EAC (</t>
    </r>
    <r>
      <rPr>
        <i/>
        <sz val="12"/>
        <color theme="1"/>
        <rFont val="Times New Roman"/>
        <family val="1"/>
      </rPr>
      <t>TCPI = (BAC − EV) ÷ (Mendefinisikan tingkat performa biaya yang harus dicapai agar proyek dapat kembali sesuai anggaran awal.EAC − AC)</t>
    </r>
    <r>
      <rPr>
        <sz val="12"/>
        <color theme="1"/>
        <rFont val="Times New Roman"/>
        <family val="1"/>
      </rPr>
      <t>). Menilai kebutuhan kinerja biaya agar proyek dapat sesuai estimasi baru.</t>
    </r>
  </si>
  <si>
    <t>Catatan tambahan terkait analisis EVM. Dapat berupa penjelasan penyebab varians, kondisi lapangan, rekomendasi tindakan, atau observasi manajerial lainnya.</t>
  </si>
  <si>
    <t>Char</t>
  </si>
  <si>
    <t>Primary key. UUID v4. Identitas unik untuk setiap notifikasi. Tidak auto-increment.</t>
  </si>
  <si>
    <t>type</t>
  </si>
  <si>
    <t>Menyimpan nama class notifikasi</t>
  </si>
  <si>
    <t>notifiable_type</t>
  </si>
  <si>
    <t>Jenis model penerima notifikasi (polymorphic).</t>
  </si>
  <si>
    <t>notifiable_id</t>
  </si>
  <si>
    <t>ID dari entity penerima notifikasi, biasanya users.id.</t>
  </si>
  <si>
    <t>data</t>
  </si>
  <si>
    <t>payload notifikasi dalam format JSON (judul, pesan, link, metadata lain).</t>
  </si>
  <si>
    <t>Read_at</t>
  </si>
  <si>
    <t>Waktu kapan notifikasi dibaca. NULL berarti belum dibaca.</t>
  </si>
  <si>
    <t>Primary key. Identitas unik untuk setiap label. Auto-increment.</t>
  </si>
  <si>
    <t>Nama label yang ditampilkan ke pengguna.</t>
  </si>
  <si>
    <t>slug</t>
  </si>
  <si>
    <t>Identitas unik berbasis teks untuk label (kebab-case). Digunakan untuk query, URL, atau filter.</t>
  </si>
  <si>
    <t>Jenis atau kategori label. Misal: task, project, inventory, priority. Berguna untuk pemisahan label berdasarkan modul.</t>
  </si>
  <si>
    <t>color</t>
  </si>
  <si>
    <t>(Opsional) Warna label dalam format HEX/RGB/Mantine.V7</t>
  </si>
  <si>
    <t>icon</t>
  </si>
  <si>
    <t>(Opsional) Nama icon. Misal dari Tabler/react-icon Menambah identitas visual.</t>
  </si>
  <si>
    <t>:</t>
  </si>
  <si>
    <t>Aktor</t>
  </si>
  <si>
    <t>Tujuan</t>
  </si>
  <si>
    <t>Hasil</t>
  </si>
  <si>
    <t>Project Manager.</t>
  </si>
  <si>
    <t>Mengelola data proyek seperti penambahan, pembaruan, dan penghapusan.</t>
  </si>
  <si>
    <t>Data proyek diperbarui di database dan tampil di halaman proyek.</t>
  </si>
  <si>
    <t>Method</t>
  </si>
  <si>
    <t>Endpoint</t>
  </si>
  <si>
    <t>Response</t>
  </si>
  <si>
    <t>GET</t>
  </si>
  <si>
    <t>/login</t>
  </si>
  <si>
    <t>N/A</t>
  </si>
  <si>
    <t>POST</t>
  </si>
  <si>
    <t>/logout</t>
  </si>
  <si>
    <t>/password/forgot</t>
  </si>
  <si>
    <t>/password/new/{token}</t>
  </si>
  <si>
    <t>/password/new</t>
  </si>
  <si>
    <t>Request Body</t>
  </si>
  <si>
    <t>email (string), password (string), _token (CSRF token)</t>
  </si>
  <si>
    <t>N/A (requires auth session)</t>
  </si>
  <si>
    <t>Mencoba autentikasi pengguna</t>
  </si>
  <si>
    <t>Keluar dari pengguna yang diautentikasi</t>
  </si>
  <si>
    <t>Menampilkan formulir masuk</t>
  </si>
  <si>
    <t>Menampilkan formulir lupa kata sandi</t>
  </si>
  <si>
    <t>Mengirim tautan pengaturan ulang kata sandi</t>
  </si>
  <si>
    <t>Menampilkan formulir kata sandi baru</t>
  </si>
  <si>
    <t>Menyimpan kata sandi baru</t>
  </si>
  <si>
    <t>Tampilan formulir login HTML</t>
  </si>
  <si>
    <t>Dialihkan ke dasbor jika berhasil, kembali ke login dengan kesalahan jika gagal</t>
  </si>
  <si>
    <t>Dialihkan ke beranda</t>
  </si>
  <si>
    <t>Tampilan formulir lupa kata sandi HTML</t>
  </si>
  <si>
    <t>Pesan berhasil atau kesalahan</t>
  </si>
  <si>
    <t>Formulir kata sandi baru HTML</t>
  </si>
  <si>
    <t>Dialihkan ke login jika berhasil</t>
  </si>
  <si>
    <t>Done</t>
  </si>
  <si>
    <t>Sprint</t>
  </si>
  <si>
    <t>Status</t>
  </si>
  <si>
    <t>Sprint 0</t>
  </si>
  <si>
    <t>Sprint 1</t>
  </si>
  <si>
    <t>Sprint 2</t>
  </si>
  <si>
    <t>Sprint 3</t>
  </si>
  <si>
    <t>Sprint 4</t>
  </si>
  <si>
    <t>Sprint 5</t>
  </si>
  <si>
    <t>Sprint 6</t>
  </si>
  <si>
    <t>Weight (%)</t>
  </si>
  <si>
    <t>TOTAL</t>
  </si>
  <si>
    <t>Total story sprint</t>
  </si>
  <si>
    <t>SV</t>
  </si>
  <si>
    <t>PV</t>
  </si>
  <si>
    <t>EV</t>
  </si>
  <si>
    <t>Jumlah Field</t>
  </si>
  <si>
    <t>keterangan</t>
  </si>
  <si>
    <t>Nama tabel</t>
  </si>
  <si>
    <t>Client_companies</t>
  </si>
  <si>
    <t>owner_companies</t>
  </si>
  <si>
    <t>Users</t>
  </si>
  <si>
    <t>Menyimpan data perusahaan klient</t>
  </si>
  <si>
    <t>Menyimpan data perusahaaan pemilik proyek</t>
  </si>
  <si>
    <t>menyimpan data user</t>
  </si>
  <si>
    <t>Deskripsi</t>
  </si>
  <si>
    <t>Request</t>
  </si>
  <si>
    <t>Body</t>
  </si>
  <si>
    <t>Query: ?search=, ?status=, ?with_trashed=</t>
  </si>
  <si>
    <t>{data: [...], pagination: {...}}</t>
  </si>
  <si>
    <t>Headers: Authorization: Bearer {token}</t>
  </si>
  <si>
    <t>{name, address, phone, email, contact_person, website}</t>
  </si>
  <si>
    <t>{message, data: {...}}</t>
  </si>
  <si>
    <t>PUT</t>
  </si>
  <si>
    <t>Update client company</t>
  </si>
  <si>
    <t>DELETE</t>
  </si>
  <si>
    <t>Soft delete client company</t>
  </si>
  <si>
    <t>{message}</t>
  </si>
  <si>
    <t>Permanent delete client company</t>
  </si>
  <si>
    <t>Restore deleted client company</t>
  </si>
  <si>
    <t>/clients/companies</t>
  </si>
  <si>
    <t>/clients/companies/{companyId}</t>
  </si>
  <si>
    <t>/clients/companies/{companyId}/force-delete</t>
  </si>
  <si>
    <t>/clients/companies/{companyId}/restore</t>
  </si>
  <si>
    <t>Mendapatkan list client companies</t>
  </si>
  <si>
    <t>Membuat client company baru</t>
  </si>
  <si>
    <t>{name, address, phone, email, website}</t>
  </si>
  <si>
    <t>Get list client users</t>
  </si>
  <si>
    <t>Query: ?search=, ?company_id=, ?with_trashed=</t>
  </si>
  <si>
    <t>Create new client user</t>
  </si>
  <si>
    <t>{name, email, password, client_company_id, phone}</t>
  </si>
  <si>
    <t>Update client user</t>
  </si>
  <si>
    <t>{name, email, password?, client_company_id, phone}</t>
  </si>
  <si>
    <t>Soft delete client user</t>
  </si>
  <si>
    <t>Permanent delete client user</t>
  </si>
  <si>
    <t>Restore deleted client user</t>
  </si>
  <si>
    <t>/clients/users</t>
  </si>
  <si>
    <t>/clients/users/{userId}</t>
  </si>
  <si>
    <t>/clients/users/{userId}/force-delete</t>
  </si>
  <si>
    <t>/clients/users/{userId}/restore</t>
  </si>
  <si>
    <t>Get list owner companies</t>
  </si>
  <si>
    <t>Query: ?search=, ?with_trashed=</t>
  </si>
  <si>
    <t>Create new owner company</t>
  </si>
  <si>
    <t>Update owner company</t>
  </si>
  <si>
    <t>Soft delete owner company</t>
  </si>
  <si>
    <t>Permanent delete owner company</t>
  </si>
  <si>
    <t>Restore deleted owner company</t>
  </si>
  <si>
    <t>/owners/companies</t>
  </si>
  <si>
    <t>/owners/companies/{companyId}</t>
  </si>
  <si>
    <t>/owners/companies/{companyId}/force-delete</t>
  </si>
  <si>
    <t>/owners/companies/{companyId}/restore</t>
  </si>
  <si>
    <t>{data: {user, profile}}</t>
  </si>
  <si>
    <t>{name, email, phone?, bio?, address?}</t>
  </si>
  <si>
    <t>/account/profile</t>
  </si>
  <si>
    <t>/email/verify</t>
  </si>
  <si>
    <t>Redirect to /otp/verify</t>
  </si>
  <si>
    <t>/email/verify/{id}/{hash}</t>
  </si>
  <si>
    <t>Headers: none (signed URL)</t>
  </si>
  <si>
    <t>Redirect to dashboard with success message</t>
  </si>
  <si>
    <t>/email/verification-notification</t>
  </si>
  <si>
    <t>{status: "verification-link-sent"}</t>
  </si>
  <si>
    <t>/otp/verify</t>
  </si>
  <si>
    <t>View with OTP form</t>
  </si>
  <si>
    <t>{otp_code}</t>
  </si>
  <si>
    <t>{message, redirect_to: "dashboard"}</t>
  </si>
  <si>
    <t>/otp/resend</t>
  </si>
  <si>
    <t>{message, status: "otp-sent"}</t>
  </si>
  <si>
    <t>Mendapatkan user profile</t>
  </si>
  <si>
    <t>Update user profile</t>
  </si>
  <si>
    <t>Menampilkan email verification noitification</t>
  </si>
  <si>
    <t>Verifikasi email lewat link yang telah dikirim ke email</t>
  </si>
  <si>
    <t>Mengirim ulang verification email</t>
  </si>
  <si>
    <t>Menampilkan OTP verification page</t>
  </si>
  <si>
    <t>Verifikasi OTP code</t>
  </si>
  <si>
    <t>Mengirim ulang OTP code</t>
  </si>
  <si>
    <t>Kriteria Penerimaan</t>
  </si>
  <si>
    <t>Tester</t>
  </si>
  <si>
    <t>Catatan</t>
  </si>
  <si>
    <t>Admin dapat mengelola client companies dengan mudah</t>
  </si>
  <si>
    <t>Stakeholder A</t>
  </si>
  <si>
    <t>✅ Accepted</t>
  </si>
  <si>
    <t>Admin dapat mengelola owner companies</t>
  </si>
  <si>
    <t>Stakeholder B</t>
  </si>
  <si>
    <t>User dapat mengubah profil sendiri</t>
  </si>
  <si>
    <t>Stakeholder C</t>
  </si>
  <si>
    <t>Response time &lt; 1 detik</t>
  </si>
  <si>
    <t>Upload foto profil berfungsi dengan baik</t>
  </si>
  <si>
    <t>Force delete dengan authorization</t>
  </si>
  <si>
    <t>Rating (1–5)</t>
  </si>
  <si>
    <t>User dapat melakukan aktivasi akun</t>
  </si>
  <si>
    <t>Aktivasi berhasil, disarankan notifikasi lebih jelas</t>
  </si>
  <si>
    <t>Antarmuka intuitif; soft delete sangat berguna</t>
  </si>
  <si>
    <t>Fitur lengkap dan stabil</t>
  </si>
  <si>
    <t>Disarankan preview foto yang lebih besar</t>
  </si>
  <si>
    <t>Fitur filter berfungsi dengan cepat</t>
  </si>
  <si>
    <t>Tambahkan fitur crop foto</t>
  </si>
  <si>
    <t>Soft delete, archive, dan restore berfungsi dengan baik</t>
  </si>
  <si>
    <t>Mekanisme keamanan kuat, hanya admin yang diizinkan</t>
  </si>
  <si>
    <r>
      <t xml:space="preserve">Data yang dihapus masuk ke </t>
    </r>
    <r>
      <rPr>
        <i/>
        <sz val="12"/>
        <color theme="1"/>
        <rFont val="Times New Roman"/>
        <family val="1"/>
      </rPr>
      <t>archive list</t>
    </r>
    <r>
      <rPr>
        <sz val="12"/>
        <color theme="1"/>
        <rFont val="Times New Roman"/>
        <family val="1"/>
      </rPr>
      <t xml:space="preserve"> dan dapat dipulihkan. Sangat membantu keamanan data</t>
    </r>
  </si>
  <si>
    <t>User dapat login dengan lancar</t>
  </si>
  <si>
    <t>UI user-friendly dan proses login cepat</t>
  </si>
  <si>
    <t>Sistem dapat membedakan akses per role (RBAC)</t>
  </si>
  <si>
    <t>RBAC berjalan baik dan konsisten</t>
  </si>
  <si>
    <t>Dashboard menampilkan informasi yang relevan</t>
  </si>
  <si>
    <t>–</t>
  </si>
  <si>
    <t>Admin dapat mengelola user dengan mudah</t>
  </si>
  <si>
    <t>Perlu fitur export user list (backlog Sprint 6)</t>
  </si>
  <si>
    <t>Logout berfungsi dengan aman</t>
  </si>
  <si>
    <t>Form input jelas; validasi berjalan baik</t>
  </si>
  <si>
    <t>Perlu auto-preview foto profil</t>
  </si>
  <si>
    <t>Data terarsip dengan baik; restore berfungsi</t>
  </si>
  <si>
    <t>Mekanisme authorization aman</t>
  </si>
  <si>
    <t>Admin dapat menambah user baru</t>
  </si>
  <si>
    <t>Admin dapat mengedit data user</t>
  </si>
  <si>
    <t>Force delete hanya untuk Admin</t>
  </si>
  <si>
    <t>Admin dapat melakukan soft delete, archive dan restore user</t>
  </si>
  <si>
    <t>Feedback</t>
  </si>
  <si>
    <t>Aktivasi akun sudah berjalan baik</t>
  </si>
  <si>
    <t>Stakeholder puas, alur jelas dan mudah dipahami</t>
  </si>
  <si>
    <t>Fitur Archive/Restore sangat membantu</t>
  </si>
  <si>
    <t>Dinyatakan efektif untuk kebutuhan administrasi</t>
  </si>
  <si>
    <t>🔍 Catatan Umum</t>
  </si>
  <si>
    <t>Mass import user (Excel) dianggap akan bermanfaat suatu hari nanti</t>
  </si>
  <si>
    <t>UI filter user cukup baik namun bisa dipoles lagi</t>
  </si>
  <si>
    <r>
      <t xml:space="preserve">Informasi </t>
    </r>
    <r>
      <rPr>
        <i/>
        <sz val="12"/>
        <color theme="1"/>
        <rFont val="Times New Roman"/>
        <family val="1"/>
      </rPr>
      <t>Last Login</t>
    </r>
    <r>
      <rPr>
        <sz val="12"/>
        <color theme="1"/>
        <rFont val="Times New Roman"/>
        <family val="1"/>
      </rPr>
      <t xml:space="preserve"> dianggap menarik untuk wacana pengembangan</t>
    </r>
  </si>
  <si>
    <t>Ditandai sebagai insight jangka panjang, bukan prioritas sprint</t>
  </si>
  <si>
    <t>Dicatat sebagai opsi pengembangan di masa mendatang, tidak mempengaruhi scope</t>
  </si>
  <si>
    <t>Masuk sebagai catatan UI/UX umum, bukan pekerjaan sprint</t>
  </si>
  <si>
    <t>Jenis Testing</t>
  </si>
  <si>
    <t>Total Test Case</t>
  </si>
  <si>
    <t>Passed</t>
  </si>
  <si>
    <t>Failed</t>
  </si>
  <si>
    <t>Pass Rate</t>
  </si>
  <si>
    <t>Blackbox Testing</t>
  </si>
  <si>
    <t>User Acceptance Testing (UAT)</t>
  </si>
  <si>
    <t>Kriteria DoD</t>
  </si>
  <si>
    <t>User baru menerima email aktivasi</t>
  </si>
  <si>
    <t>✅ Done</t>
  </si>
  <si>
    <t>Token aktivasi berlaku 24 jam dan aman</t>
  </si>
  <si>
    <t>User tidak bisa login sebelum aktivasi</t>
  </si>
  <si>
    <t>Manajemen user (update/reset) berjalan baik</t>
  </si>
  <si>
    <t>Soft delete → Archive → Restore berfungsi</t>
  </si>
  <si>
    <t>Seluruh fitur lulus UAT</t>
  </si>
  <si>
    <t>Patch bug prioritas diimplementasi</t>
  </si>
  <si>
    <t>Dokumentasi API diperbarui</t>
  </si>
  <si>
    <t>Code ter-push dan ter-review</t>
  </si>
  <si>
    <t>Deploy ke environment testing</t>
  </si>
  <si>
    <t>Aspek Evaluasi</t>
  </si>
  <si>
    <t>Ulasan</t>
  </si>
  <si>
    <t>Apa yang berjalan dengan baik?</t>
  </si>
  <si>
    <t>Apa yang dapat diperbaiki?</t>
  </si>
  <si>
    <t>Tantangan yang dihadapi</t>
  </si>
  <si>
    <t>Pembelajaran yang didapat</t>
  </si>
  <si>
    <t>e) Testing parallel dengan development lebih efisien dibanding testing di akhir sprint</t>
  </si>
  <si>
    <t>Feedback dari stakeholder</t>
  </si>
  <si>
    <t>a) Proses email aktivasi stabil dan berjalan sesuai skenario</t>
  </si>
  <si>
    <t>b) Fitur Archive/Restore sangat membantu adminsitrasi user</t>
  </si>
  <si>
    <t>c) Blackbox testing dapat berjalan lebih cepat karena modul modular</t>
  </si>
  <si>
    <t>d) Dokumentasi API lebih terstruktur dibanding Sprint 1</t>
  </si>
  <si>
    <t>e) Tidak ada blocker besar sepanjang sprint</t>
  </si>
  <si>
    <t>a) Estimasi fitur Archive lebih besar dari perkiraan (overrun 0.5 hari)</t>
  </si>
  <si>
    <t>b) UI filter user masih kurang intuitif bagi user non-teknis</t>
  </si>
  <si>
    <t>c) Alur reset password perlu penjelasan tambahan di dokumentasi</t>
  </si>
  <si>
    <t>d) Error handling email (SMTP delay) belum tertangani optimal</t>
  </si>
  <si>
    <t>e) Perlu konsistensi penamaan status user (active, inactive, archived)</t>
  </si>
  <si>
    <t>a) Sinkronisasi status user (email activation vs DB) memerlukan revisi struktur service</t>
  </si>
  <si>
    <t>b) SMTP provider mengalami delay sehingga perlu retry mechanism</t>
  </si>
  <si>
    <t>c) Perbedaan kebutuhan stakeholder terkait status Archived vs Inactive</t>
  </si>
  <si>
    <t>a) Fitur yang melibatkan email perlu buffer waktu testing lebih besar</t>
  </si>
  <si>
    <t>b) Penambahan Activity Log sangat mempermudah debugging user management</t>
  </si>
  <si>
    <t>c) Soft delete lebih aman dibanding hard delete dalam konteks audit</t>
  </si>
  <si>
    <t>d) Penulisan dokumentasi API paralel dengan coding mengurangi rework</t>
  </si>
  <si>
    <t>a)Stakeholder memberikan rating kepuasan Sprint 2 sebesar 4.6/5, menilai seluruh deliverable sesuai ekspektasi.</t>
  </si>
  <si>
    <t>b) Usulan penambahan kolom Last Login dicatat sebagai masukan keamanan jangka panjang, namun tidak dimasukkan ke backlog sprint agar fokus pengembangan tetap terjaga.</t>
  </si>
  <si>
    <t>c) Fitur mass import user (Excel) dinilai potensial untuk efisiensi di masa mendatang, tetapi ditandai sebagai wacana pengembangan, bukan prioritas sprint maupun backlog aktif.</t>
  </si>
  <si>
    <t>Duration</t>
  </si>
  <si>
    <t>/users</t>
  </si>
  <si>
    <t>Menampilkan daftar user</t>
  </si>
  <si>
    <t>HTML/JSON daftar user</t>
  </si>
  <si>
    <t>/users/create</t>
  </si>
  <si>
    <t>Menampilkan form tambah user</t>
  </si>
  <si>
    <t>HTML form</t>
  </si>
  <si>
    <t>Menyimpan user baru</t>
  </si>
  <si>
    <t>name, email, role, dll.</t>
  </si>
  <si>
    <t>{…}</t>
  </si>
  <si>
    <t>Redirect atau JSON sukses</t>
  </si>
  <si>
    <t>/users/{user}/edit</t>
  </si>
  <si>
    <t>Menampilkan form edit user</t>
  </si>
  <si>
    <t>userId</t>
  </si>
  <si>
    <t>HTML form edit</t>
  </si>
  <si>
    <t>PUT/PATCH</t>
  </si>
  <si>
    <t>/users/{user}</t>
  </si>
  <si>
    <t>Memperbarui data user</t>
  </si>
  <si>
    <t>Soft delete user (archive)</t>
  </si>
  <si>
    <t>/inventories</t>
  </si>
  <si>
    <t>Menampilkan daftar seluruh inventaris</t>
  </si>
  <si>
    <t>Daftar inventaris (JSON)</t>
  </si>
  <si>
    <t>Menambahkan inventaris baru</t>
  </si>
  <si>
    <t>{ name, category, unit, quantity, location, notes }</t>
  </si>
  <si>
    <t>Data inventaris baru / pesan berhasil</t>
  </si>
  <si>
    <t>/inventories/inventory/{inventory}</t>
  </si>
  <si>
    <t>Detail inventaris tertentu</t>
  </si>
  <si>
    <r>
      <t xml:space="preserve">Path param: </t>
    </r>
    <r>
      <rPr>
        <sz val="10"/>
        <color theme="1"/>
        <rFont val="Arial Unicode MS"/>
      </rPr>
      <t>{inventory}</t>
    </r>
  </si>
  <si>
    <t>Detail inventaris (JSON)</t>
  </si>
  <si>
    <t>/inventories/{inventory}</t>
  </si>
  <si>
    <t>Memperbarui inventaris</t>
  </si>
  <si>
    <t>Data yang diperbarui / pesan berhasil</t>
  </si>
  <si>
    <t>Menghapus inventaris (soft delete)</t>
  </si>
  <si>
    <t>Pesan berhasil</t>
  </si>
  <si>
    <t>/inventories/{inventory}/force-delete</t>
  </si>
  <si>
    <t>Menghapus inventaris permanen</t>
  </si>
  <si>
    <t>/inventories/{inventory}/restore</t>
  </si>
  <si>
    <t>Restore inventaris yang di-soft delete</t>
  </si>
  <si>
    <t>Header: Content-Type: application/jsonAuth: Bearer Token</t>
  </si>
  <si>
    <t>Path param: {inventory}</t>
  </si>
  <si>
    <t>Field yang diubah, contoh: { name, quantity, location }</t>
  </si>
  <si>
    <t>/{project}/tasks/{task}/work-reports</t>
  </si>
  <si>
    <t>Menampilkan semua laporan kerja pada task tertentu</t>
  </si>
  <si>
    <t>Daftar work report (JSON)</t>
  </si>
  <si>
    <t>Membuat laporan kerja baru</t>
  </si>
  <si>
    <t>{ date, progress, description, cost, issues }</t>
  </si>
  <si>
    <t>Data report baru / pesan berhasil</t>
  </si>
  <si>
    <t>/{project}/tasks/{task}/work-reports/{workReport}</t>
  </si>
  <si>
    <t>Memperbarui laporan kerja</t>
  </si>
  <si>
    <t>Field yang diperbarui (parsial atau penuh)</t>
  </si>
  <si>
    <t>Data ter-update / pesan berhasil</t>
  </si>
  <si>
    <t>PATCH</t>
  </si>
  <si>
    <t>/{project}/tasks/{task}/work-reports/{workReport}/details</t>
  </si>
  <si>
    <t>Update detail laporan (biasanya progress, deskripsi, cost)</t>
  </si>
  <si>
    <t>{ progress, description, cost, issues }</t>
  </si>
  <si>
    <t>Data ter-update</t>
  </si>
  <si>
    <t>/{project}/tasks/{task}/work-reports/{workReport}/approve</t>
  </si>
  <si>
    <t>Approve laporan kerja oleh Project Manager</t>
  </si>
  <si>
    <t>Status approval ter-update</t>
  </si>
  <si>
    <t>/{project}/tasks/{task}/work-reports/{workReport}/upload-photos</t>
  </si>
  <si>
    <t>Mengunggah foto laporan kerja</t>
  </si>
  <si>
    <t>URL file / pesan berhasil</t>
  </si>
  <si>
    <t>Menghapus (soft delete) laporan kerja</t>
  </si>
  <si>
    <t>/{project}/tasks/{task}/work-reports/{workReport}/attachments/{attachment}</t>
  </si>
  <si>
    <t>Menghapus lampiran tertentu (foto/file) dari laporan</t>
  </si>
  <si>
    <t>Path params: {project}, {task}</t>
  </si>
  <si>
    <t>Path params: {project}, {task}Header: Content-Type: application/json</t>
  </si>
  <si>
    <t>Path params: {project}, {task}, {workReport}</t>
  </si>
  <si>
    <t>{ approved_by } (opsional, tergantung sistem Anda)</t>
  </si>
  <si>
    <t>Path params: {project}, {task}, {workReport}Header: multipart/form-data</t>
  </si>
  <si>
    <t>photos[] (array file)</t>
  </si>
  <si>
    <t>Path params: {project}, {task}, {workReport}, {attachment}</t>
  </si>
  <si>
    <t>/{project}/evm-records</t>
  </si>
  <si>
    <t>Menampilkan seluruh catatan perhitungan EVM untuk proyek tertentu</t>
  </si>
  <si>
    <t>Daftar EVM Records (JSON berisi PV, EV, AC, SV, CV, SPI, CPI, EAC, ETC, dsb.)</t>
  </si>
  <si>
    <t>/evm-records/recalculate</t>
  </si>
  <si>
    <t>Melakukan perhitungan ulang EVM secara otomatis berdasarkan task dan progres aktual</t>
  </si>
  <si>
    <t>{ project_id }</t>
  </si>
  <si>
    <t>Hasil perhitungan EVM terbaru (JSON)</t>
  </si>
  <si>
    <t>Path params: {project}</t>
  </si>
  <si>
    <t>Header: Content-Type: application/json</t>
  </si>
  <si>
    <t>/{project}/tasks/{task}/comment</t>
  </si>
  <si>
    <t>Mengambil seluruh komentar pada sebuah task tertentu</t>
  </si>
  <si>
    <t>Daftar komentar (JSON), termasuk user, isi komentar, timestamp</t>
  </si>
  <si>
    <t>Menambahkan komentar baru pada task tertentu</t>
  </si>
  <si>
    <t xml:space="preserve">json { "comment": "string" } </t>
  </si>
  <si>
    <t>Data komentar yang berhasil disimpan (JSON)</t>
  </si>
  <si>
    <t>Fitur</t>
  </si>
  <si>
    <t>User Story</t>
  </si>
  <si>
    <t>Estimasi</t>
  </si>
  <si>
    <t>Perhitungan PV, EV, AC</t>
  </si>
  <si>
    <t>Sebagai Project Manager, saya ingin sistem dapat menghitung Planned Value (PV), Earned Value (EV), dan Actual Cost (AC), sehingga saya dapat mengetahui performa progres proyek secara numerik.</t>
  </si>
  <si>
    <t>Perhitungan CPI, SPI, CV, SV</t>
  </si>
  <si>
    <t>Sebagai Project Manager, saya ingin sistem dapat menghitung Cost Performance Index (CPI), Schedule Performance Index (SPI), Cost Variance (CV), dan Schedule Variance (SV) secara otomatis berdasarkan nilai EVM.</t>
  </si>
  <si>
    <t>Dashboard Monitoring EVM</t>
  </si>
  <si>
    <t>Sebagai pengguna, saya ingin melihat hasil perhitungan EVM melalui tampilan dashboard agar dapat memantau status proyek secara cepat dan mudah dipahami.</t>
  </si>
  <si>
    <t>Weight(%)</t>
  </si>
  <si>
    <t>Testing dan  UAT</t>
  </si>
  <si>
    <t>Memastikan semua fitur berfungsi dengan baik</t>
  </si>
  <si>
    <t>35 hari</t>
  </si>
  <si>
    <t>7 hari</t>
  </si>
  <si>
    <t>12 hari</t>
  </si>
  <si>
    <t>Kategori</t>
  </si>
  <si>
    <t>Fungsionalitas</t>
  </si>
  <si>
    <t>Validasi &amp; Akurasi</t>
  </si>
  <si>
    <t>UI &amp; UX</t>
  </si>
  <si>
    <t>Integrasi</t>
  </si>
  <si>
    <t>Testing</t>
  </si>
  <si>
    <t>Dokumentasi</t>
  </si>
  <si>
    <t>Deployment</t>
  </si>
  <si>
    <t>a) Hasil perhitungan diverifikasi menggunakan sampel studi kasus.
b) Toleransi maksimal kesalahan perhitungan ≤ 1%.</t>
  </si>
  <si>
    <t>a) CRUD Project berfungsi penuh, termasuk assignment client dan owner company. b) CRUD Task berjalan lengkap dengan fitur progress tracking. c) CRUD Subtask bekerja dan terhubung dengan parent task. d) Task Dependencies dapat diatur (Finish-to-Start, Start-to-Start, dsb.).</t>
  </si>
  <si>
    <t>a) API backend lengkap dan terdokumentasi untuk seluruh modul (Project, Task, Subtask, Dependencies).</t>
  </si>
  <si>
    <t>a) Semua fitur lulus pengujian blackbox testing tanpa error mayor.</t>
  </si>
  <si>
    <t>a) User Acceptance Test (UAT) telah dilakukan dan disetujui oleh stakeholder.</t>
  </si>
  <si>
    <t>a) Logika perhitungan EVM (PV, EV, AC, CPI, SPI, CV, SV) berjalan tanpa error.
b) Data dapat diambil dari database dan diproses secara otomatis.
c) Dashboard mampu menampilkan nilai EVM secara real-time.</t>
  </si>
  <si>
    <t>a) Dashboard responsif pada perangkat desktop dan tablet.
b) Indikator performa menggunakan skema warna yang mudah dipahami (Hijau/Kuning/Merah).</t>
  </si>
  <si>
    <t>a) Data progress proyek terhubung dengan modul Task dan Cost.
b) Seluruh nilai berhasil tersimpan secara otomatis ke tabel evm_records.</t>
  </si>
  <si>
    <t>a) Unit test minimal mencapai 80% coverage pada modul kalkulasi EVM.
b) Blackbox testing selesai dan diterima tanpa error kritikal.</t>
  </si>
  <si>
    <t>a) Dokumentasi API endpoint telah tersedia dan dapat diakses tim.
b) SOP pengisian progress EVM dicantumkan dalam wiki sistem.</t>
  </si>
  <si>
    <t>a) Fitur berhasil di-deploy pada staging environment.
b) Tidak terdapat bug blocker atau error yang menghentikan fungsi sistem.</t>
  </si>
  <si>
    <t>Teknis / Backend</t>
  </si>
  <si>
    <t>Kualitas dan Pengujian</t>
  </si>
  <si>
    <t>Validasi Pengguna</t>
  </si>
  <si>
    <t>Discussion task</t>
  </si>
  <si>
    <t>Sebagai pengguna, saya ingin dapat memberikan komentar, catatan, atau diskusi pada setiap task agar kolaborasi tim berjalan lebih efektif dan riwayat pembahasan dapat terdokumentasi.</t>
  </si>
  <si>
    <t>Test Case</t>
  </si>
  <si>
    <t>Input</t>
  </si>
  <si>
    <t>Expected Output</t>
  </si>
  <si>
    <t>Actual Output</t>
  </si>
  <si>
    <t>Project</t>
  </si>
  <si>
    <t>Create project</t>
  </si>
  <si>
    <t>Data valid</t>
  </si>
  <si>
    <t>Project tersimpan</t>
  </si>
  <si>
    <t>Edit project</t>
  </si>
  <si>
    <t>Data baru</t>
  </si>
  <si>
    <t>Project terupdate</t>
  </si>
  <si>
    <t>Delete project</t>
  </si>
  <si>
    <t>Klik delete</t>
  </si>
  <si>
    <t>Project terhapus</t>
  </si>
  <si>
    <t>Calculate statistics</t>
  </si>
  <si>
    <t>EVM metrics benar</t>
  </si>
  <si>
    <t>Task</t>
  </si>
  <si>
    <t>Create task</t>
  </si>
  <si>
    <t>Task tersimpan</t>
  </si>
  <si>
    <t>Update progress</t>
  </si>
  <si>
    <t>Progress: 50%</t>
  </si>
  <si>
    <t>EV terhitung otomatis</t>
  </si>
  <si>
    <t>Assign to engineer</t>
  </si>
  <si>
    <t>Select user</t>
  </si>
  <si>
    <t>Task assigned ke user</t>
  </si>
  <si>
    <t>Subtask</t>
  </si>
  <si>
    <t>Create subtask</t>
  </si>
  <si>
    <t>Subtask tersimpan</t>
  </si>
  <si>
    <t>Progress: 75%</t>
  </si>
  <si>
    <t>Progress parent task ikut diperbarui</t>
  </si>
  <si>
    <t>Dependencies</t>
  </si>
  <si>
    <t>Create FS dependency</t>
  </si>
  <si>
    <t>Task A → Task B</t>
  </si>
  <si>
    <t>Dependency berhasil dibuat</t>
  </si>
  <si>
    <t>Prevent circular dependency</t>
  </si>
  <si>
    <t>Task A ↔ Task B</t>
  </si>
  <si>
    <t>Sistem menolak relasi melingkar</t>
  </si>
  <si>
    <t>Auto recalc schedule</t>
  </si>
  <si>
    <t>Update durasi Task A</t>
  </si>
  <si>
    <t>Task B otomatis menyesuaikan jadwal</t>
  </si>
  <si>
    <t>Inventory</t>
  </si>
  <si>
    <t>Add inventory</t>
  </si>
  <si>
    <t>Inventory tersimpan</t>
  </si>
  <si>
    <t>Allocate inventory</t>
  </si>
  <si>
    <t>Quantity: 10</t>
  </si>
  <si>
    <t>Allocation sukses</t>
  </si>
  <si>
    <t>Prevent over-allocation</t>
  </si>
  <si>
    <t>Qty &gt; stock</t>
  </si>
  <si>
    <t>Error message muncul</t>
  </si>
  <si>
    <t>Work Report</t>
  </si>
  <si>
    <t>Submit work report</t>
  </si>
  <si>
    <t>Data + Foto</t>
  </si>
  <si>
    <t>Report tersimpan</t>
  </si>
  <si>
    <t>Auto update progress</t>
  </si>
  <si>
    <t>Laporan: 80%</t>
  </si>
  <si>
    <t>Task progress berubah menjadi 80%</t>
  </si>
  <si>
    <t>Pass</t>
  </si>
  <si>
    <t>Sesuai expected</t>
  </si>
  <si>
    <t>PM dapat membuat dan mengelola proyek</t>
  </si>
  <si>
    <t>Fitur lengkap dan intuitif</t>
  </si>
  <si>
    <t>Task management mudah digunakan</t>
  </si>
  <si>
    <t>Tampilan timeline mempermudah pemantauan progres</t>
  </si>
  <si>
    <t>Subtask breakdown memudahkan planning</t>
  </si>
  <si>
    <t>Fitur hierarki sangat membantu</t>
  </si>
  <si>
    <t>Task dependencies berfungsi dengan baik</t>
  </si>
  <si>
    <t>Perlu dokumentasi penggunaan hubungan antar task</t>
  </si>
  <si>
    <t>Inventory management terintegrasi</t>
  </si>
  <si>
    <t>Kontrol material menjadi lebih presisi</t>
  </si>
  <si>
    <t>Engineer dapat input work report dengan bukti foto</t>
  </si>
  <si>
    <t>Lampiran foto membantu verifikasi lapangan</t>
  </si>
  <si>
    <t>Progress tracking akurat dan sinkron dengan perhitungan EVM</t>
  </si>
  <si>
    <t>Perhitungan EV, SPI, dan CPI sesuai ekspektasi</t>
  </si>
  <si>
    <t>Accepted</t>
  </si>
  <si>
    <t>Prioritas</t>
  </si>
  <si>
    <t>Action</t>
  </si>
  <si>
    <t>Medium</t>
  </si>
  <si>
    <t>Low</t>
  </si>
  <si>
    <t>Catatan Umum</t>
  </si>
  <si>
    <t>Masuk backlog Sprint 4</t>
  </si>
  <si>
    <t>Inventories</t>
  </si>
  <si>
    <t>Modul Project dinilai sudah stabil dan mudah digunakan. Alur pembuatan, pembaruan, dan pengelolaan proyek berjalan konsisten tanpa kendala berarti.</t>
  </si>
  <si>
    <t>Pengelolaan Task berjalan baik dan fungsional. User merasa proses penugasan dan pelacakan progres cukup jelas dan mendukung workflow tim.</t>
  </si>
  <si>
    <t>Fitur Task Dependencies memberikan nilai tambah signifikan bagi perencanaan dan kontrol timeline. Visualisasi hubungan antar task membantu user memahami urutan pekerjaan dengan lebih baik.</t>
  </si>
  <si>
    <t>Modul Inventories dianggap bermanfaat untuk dokumentasi aset, dan pengguna merasa struktur datanya sudah cukup relevan dengan kebutuhan proyek.</t>
  </si>
  <si>
    <t>Mekanisme Inventory Allocation ke task memberikan kontrol yang lebih detail terhadap penggunaan material di lapangan. Stakeholder menilai fitur ini mendukung transparansi budget dan resource tracking.</t>
  </si>
  <si>
    <t>Fitur Work Report dengan dokumentasi foto memberikan kejelasan progres aktual di lapangan dan sangat membantu proses audit internal maupun evaluasi timeline.</t>
  </si>
  <si>
    <t>Fitur Discussion Team dalam task dinilai berguna, namun pengguna berharap adanya peningkatan agar komunikasi terasa lebih real-time dan terpusat.</t>
  </si>
  <si>
    <t>Sistem notifikasi diusulkan untuk ditingkatkan, terutama untuk pengingat deadline task dan perubahan status penting agar pengguna tidak bergantung pada pengecekan manual.</t>
  </si>
  <si>
    <t>Fitur Utama</t>
  </si>
  <si>
    <t>Sub-Fitur</t>
  </si>
  <si>
    <t>Calculate Statistics</t>
  </si>
  <si>
    <t>Update Progress</t>
  </si>
  <si>
    <t>Assign to Engineer</t>
  </si>
  <si>
    <t>Create FS Dependency</t>
  </si>
  <si>
    <t>Auto Recalculate Schedule</t>
  </si>
  <si>
    <t>Allocate Inventory</t>
  </si>
  <si>
    <t>Prevent Over-Allocation</t>
  </si>
  <si>
    <t>Submit Report</t>
  </si>
  <si>
    <t>Auto Update Progress</t>
  </si>
  <si>
    <t>CRUD Task</t>
  </si>
  <si>
    <t>Task Group</t>
  </si>
  <si>
    <t>Task dan Subtask</t>
  </si>
  <si>
    <t>CRUD Inventory</t>
  </si>
  <si>
    <t>CRUD Project</t>
  </si>
  <si>
    <t>Sistem mendukung pembuatan, pembaruan, penghapusan, dan pengelolaan data proyek.</t>
  </si>
  <si>
    <t>Sistem menghitung indikator proyek seperti PV, EV, AC, SPI, dan CPI secara otomatis berdasarkan progres proyek.</t>
  </si>
  <si>
    <t>CRUD Task Group</t>
  </si>
  <si>
    <t>Sistem memungkinkan pengelolaan daftar grup task sebagai kategori dalam proyek.</t>
  </si>
  <si>
    <t>Task dapat dibuat dengan atribut dasar seperti durasi, prioritas, status, dan user yang ditugaskan.</t>
  </si>
  <si>
    <t>Perubahan progres task langsung memengaruhi perhitungan EVM secara otomatis.</t>
  </si>
  <si>
    <t>Task dapat ditugaskan kepada pengguna tertentu dengan pilihan dari daftar user yang tersedia.</t>
  </si>
  <si>
    <t>CRUD Subtask</t>
  </si>
  <si>
    <t>Sistem mendukung pembuatan subtask dalam struktur hierarki sebagai bagian dari task utama.</t>
  </si>
  <si>
    <t>Parent Progress Sync</t>
  </si>
  <si>
    <t>Progres subtask secara otomatis memperbarui progres task induk.</t>
  </si>
  <si>
    <t>Sistem mendukung pembuatan hubungan antar task (Finish-to-Start) untuk kebutuhan alur kerja.</t>
  </si>
  <si>
    <t>Perubahan durasi atau jadwal task akan mengupdate jadwal task terkait secara otomatis.</t>
  </si>
  <si>
    <t>Sistem mencatat dan mengelola daftar inventaris material dan alat dengan kuantitas dan kategori detail.</t>
  </si>
  <si>
    <t>Material dapat dialokasikan ke task dan setiap aktivitas dicatat otomatis dalam log sistem.</t>
  </si>
  <si>
    <t>Sistem mencegah alokasi material melebihi stok yang tersedia.</t>
  </si>
  <si>
    <t>User dapat mengirim laporan pekerjaan beserta lampiran foto sebagai bukti kegiatan lapangan.</t>
  </si>
  <si>
    <t>Laporan pekerjaan otomatis memengaruhi progres task dan perhitungan Earned Value.</t>
  </si>
  <si>
    <t>Semua fitur inti (Project, Task, Subtask, Dependencies, Inventory, Work Report) berjalan sesuai kebutuhan tanpa error mayor.</t>
  </si>
  <si>
    <t>Perhitungan EVM (PV, EV, AC, SPI, CPI) otomatis dan akurat berdasarkan progres dan laporan pekerjaan.</t>
  </si>
  <si>
    <t>Integrasi antar modul (Task → Subtask → Progress → EVM → Dashboard) berjalan sinkron tanpa inkonsistensi data.</t>
  </si>
  <si>
    <t>Validasi input tersedia pada setiap form (prevent over-allocation, circular dependency, data invalid).</t>
  </si>
  <si>
    <t>Dokumentasi API dan alur penggunaan fitur tersedia dan dapat diakses oleh stakeholder.</t>
  </si>
  <si>
    <t>Sistem telah melalui pengujian Unit Test dan Blackbox Test dengan hasil sesuai ekspektasi.</t>
  </si>
  <si>
    <t>UAT disetujui oleh stakeholder tanpa permintaan perubahan kritikal.</t>
  </si>
  <si>
    <t>Deployment ke environment staging berhasil tanpa error blocker.</t>
  </si>
  <si>
    <t>Semua backlog minor dicatat untuk rencana sprint berikutnya.</t>
  </si>
  <si>
    <t>Tampilan fitur dapat digunakan tanpa hambatan pada perangkat desktop.</t>
  </si>
  <si>
    <t>a) Semua fitur inti berjalan stabil tanpa error mayor dan memenuhi DoD.
b) Perhitungan EVM otomatis menghasilkan nilai yang konsisten berdasarkan progres dan laporan pekerjaan.
c) Integrasi antar modul (Task → Progress → EVM → Dashboard) sudah berjalan sinkron tanpa inkonsistensi data.
d) Validasi input berjalan baik, termasuk pencegahan over-allocation dan circular dependency.
e) Deployment ke environment staging berjalan mulus tanpa blocker.</t>
  </si>
  <si>
    <t>a) Beberapa alur form masih bisa diperhalus untuk meningkatkan pengalaman pengguna.
b) Kalimat validasi masih terlalu teknis dan kurang ramah bagi user non-teknis.
c) Tampilan visual progress EVM masih perlu penyempurnaan agar lebih mudah dipahami pada pandangan pertama.
d) Dokumentasi API masih bisa diringkas agar lebih efisien bagi pengembang baru.
e) Walkthrough onboarding pengguna belum tersedia dan dapat menjadi peningkatan pada sprint selanjutnya.</t>
  </si>
  <si>
    <t>a) Sinkronisasi progres task terhadap perhitungan EVM memerlukan penyesuaian logic yang kompleks.
b) Validasi edge-case seperti circular dependency memerlukan beberapa iterasi testing sebelum stabil.
c) Alokasi inventory ke task perlu kontrol ketat agar tetap sinkron dengan stok utama.
d) Manajemen integrasi antar modul memerlukan koordinasi lintas tim selama development berlangsung.</t>
  </si>
  <si>
    <t>a) Implementasi validasi sejak awal sprint mengurangi rework dan mempercepat testing.
b) Pendekatan modular pada EVM lebih efektif dibanding implementasi full dalam satu tahap.
c) Dokumentasi paralel dengan development terbukti mempercepat debugging dan proses UAT.
d) Rapat sinkronisasi kecil namun rutin membantu menjaga alignment antar modul.</t>
  </si>
  <si>
    <t>a) Stakeholder puas karena fitur inti dan fungsi EVM berjalan sesuai harapan tanpa revisi kritikal.
b) Visualisasi progres dan indikator performa dianggap sudah baik, namun masih dapat dibuat lebih informatif.
c) Stakeholder mengusulkan penambahan fitur otomatisasi notifikasi deadline di sprint berikutnya.
d) Sistem dinilai sudah layak digunakan sebagai versi internal uji operasional.</t>
  </si>
  <si>
    <t>Realtime Update Progress</t>
  </si>
  <si>
    <t>Sebagai Project Manager, saya ingin melihat progres proyek secara real-time agar dapat memantau perkembangan tugas tanpa delay.</t>
  </si>
  <si>
    <t>Grafik Kurva S</t>
  </si>
  <si>
    <t>Sebagai Project Manager, saya ingin melihat grafik Kurva S proyek agar dapat memantau jadwal dan performa proyek secara visual.</t>
  </si>
  <si>
    <t>Alert dan Notifikasi</t>
  </si>
  <si>
    <t>Sebagai Team Member dan Project Manager, saya ingin menerima notifikasi agar dapat segera menindaklanjuti perubahan atau update penting.</t>
  </si>
  <si>
    <t>Sebagai QA dan Project Manager, saya ingin melakukan pengujian blackbox dan UAT pada Sprint 5 agar memastikan fitur berjalan sesuai kebutuhan pengguna.</t>
  </si>
  <si>
    <t>Testing dan UAT</t>
  </si>
  <si>
    <t>Settings Label Status Proyek</t>
  </si>
  <si>
    <t>Sebagai Project Manager, saya ingin mengatur label status proyek agar mudah memonitor progres proyek.</t>
  </si>
  <si>
    <t>Upload Lampiran (Attachments)</t>
  </si>
  <si>
    <t>Sebagai Team Member, saya ingin mengunggah lampiran terkait tugas agar dokumentasi proyek lengkap.</t>
  </si>
  <si>
    <t>Activity Logs</t>
  </si>
  <si>
    <t>Sebagai Project Manager, saya ingin melihat riwayat aktivitas sistem agar memantau perubahan dan tindakan pengguna.</t>
  </si>
  <si>
    <t>Blackbox Test + UAT Sprint 6</t>
  </si>
  <si>
    <t>Dokumentasi Sistem dan User Manual</t>
  </si>
  <si>
    <t>Sebagai pengguna dan tim proyek, saya ingin memiliki dokumentasi dan manual agar mudah memahami penggunaan sistem.</t>
  </si>
  <si>
    <t>Final Fixing dan Deployment</t>
  </si>
  <si>
    <t>Sebagai Project Manager, saya ingin melakukan perbaikan terakhir dan deployment agar sistem siap digunakan.</t>
  </si>
  <si>
    <t>Sebagai Administrator dan Project Manager, saya ingin melakukan pengujian blackbox dan UAT pada Sprint 6 agar fitur berjalan sesuai kebutuhan.</t>
  </si>
  <si>
    <t xml:space="preserve"> UAT, Review dan Retrospective </t>
  </si>
  <si>
    <t xml:space="preserve"> Pembuatan UI Halaman Client</t>
  </si>
  <si>
    <t xml:space="preserve"> Implementasi Alert dan Notifikasi </t>
  </si>
  <si>
    <t xml:space="preserve"> Perbaikan Bug dan Enhancement </t>
  </si>
  <si>
    <t xml:space="preserve"> Dokumentasi Sistem dan User Manual </t>
  </si>
  <si>
    <t>MONTH(30,44)</t>
  </si>
  <si>
    <t>Cumulative Plan (%)</t>
  </si>
  <si>
    <t>41 hari</t>
  </si>
  <si>
    <t>6 hari</t>
  </si>
  <si>
    <t>/labels</t>
  </si>
  <si>
    <t>Mengambil semua data label (termasuk pagination jika ada).</t>
  </si>
  <si>
    <t>{ data: [...], meta: {...} }</t>
  </si>
  <si>
    <t>/labels/create</t>
  </si>
  <si>
    <t>Mengambil data pendukung untuk form create (opsional, biasanya tidak dipakai API).</t>
  </si>
  <si>
    <t>{ form_options: {...} }</t>
  </si>
  <si>
    <t>Membuat label baru.</t>
  </si>
  <si>
    <t>{ name: string, color: string }</t>
  </si>
  <si>
    <t>{ message: "Label created", data: {...} }</t>
  </si>
  <si>
    <t>/labels/{label}/edit</t>
  </si>
  <si>
    <t>Mengambil data label utk ditampilkan di form edit.</t>
  </si>
  <si>
    <t>{ data: {...} }</t>
  </si>
  <si>
    <t>/labels/{label}</t>
  </si>
  <si>
    <t>Mengupdate label.</t>
  </si>
  <si>
    <t>{ message: "Label updated", data: {...} }</t>
  </si>
  <si>
    <t>Soft delete label (bergantung model menggunakan SoftDeletes).</t>
  </si>
  <si>
    <t>{ message: "Label deleted" }</t>
  </si>
  <si>
    <t>/labels/{label}/force-delete</t>
  </si>
  <si>
    <t>Menghapus permanen label dari database.</t>
  </si>
  <si>
    <t>{ message: "Label permanently deleted" }</t>
  </si>
  <si>
    <t>/labels/{labelId}/restore</t>
  </si>
  <si>
    <t>Restore label yang telah di-soft-delete.</t>
  </si>
  <si>
    <t>{ message: "Label restored", data: {...} }</t>
  </si>
  <si>
    <t>/{project}/tasks/{task}/attachments/upload</t>
  </si>
  <si>
    <t>Mengunggah attachment untuk task tertentu pada project.</t>
  </si>
  <si>
    <t>{ message: "Attachment uploaded", data: {...} }</t>
  </si>
  <si>
    <t>/{project}/tasks/{task}/attachments/{attachment}</t>
  </si>
  <si>
    <t>Menghapus attachment milik task tertentu.</t>
  </si>
  <si>
    <t>{ message: "Attachment deleted" }</t>
  </si>
  <si>
    <t>/{project}/attachments/{attachment}</t>
  </si>
  <si>
    <t>Menghapus attachment langsung pada project (tanpa konteks task).</t>
  </si>
  <si>
    <t>/{workReport}/upload-photos</t>
  </si>
  <si>
    <t>Mengunggah foto dokumentasi progress untuk Work Report tertentu.</t>
  </si>
  <si>
    <t>{ message: "Photos uploaded", data: [...] }</t>
  </si>
  <si>
    <t>/{workReport}/attachments/{attachment}</t>
  </si>
  <si>
    <t>Menghapus attachment milik Work Report tertentu.</t>
  </si>
  <si>
    <r>
      <t>FormData:</t>
    </r>
    <r>
      <rPr>
        <sz val="12"/>
        <color theme="1"/>
        <rFont val="Times New Roman"/>
        <family val="1"/>
      </rPr>
      <t>• file: file upload</t>
    </r>
  </si>
  <si>
    <r>
      <t>FormData:</t>
    </r>
    <r>
      <rPr>
        <sz val="12"/>
        <color theme="1"/>
        <rFont val="Times New Roman"/>
        <family val="1"/>
      </rPr>
      <t>• photos[]: array file foto</t>
    </r>
  </si>
  <si>
    <t>/activity</t>
  </si>
  <si>
    <t>Menampilkan daftar aktivitas (activity log) dalam sistem. Biasanya berisi aktivitas user seperti create, update, delete, login, perubahan data, dll.</t>
  </si>
  <si>
    <t>JSON berisi daftar aktivitas atau tampilan Inertia Page dengan props { activities: [...] }</t>
  </si>
  <si>
    <t>/notifications</t>
  </si>
  <si>
    <t>Mengambil daftar notifikasi milik user yang sedang login.</t>
  </si>
  <si>
    <t>/notifications/{notification}/read</t>
  </si>
  <si>
    <t>Status sukses, notifikasi yang sudah di-update</t>
  </si>
  <si>
    <t>/notifications/read/all</t>
  </si>
  <si>
    <t>Status sukses</t>
  </si>
  <si>
    <t>/notifications/{notification}</t>
  </si>
  <si>
    <t>Status sukses / 204 No Content</t>
  </si>
  <si>
    <t>/notifications/clear/all</t>
  </si>
  <si>
    <t>Menandai satu notifikasi sebagai sudah dibaca.</t>
  </si>
  <si>
    <t>Menandai semua notifikasi sebagai sudah dibaca.</t>
  </si>
  <si>
    <t>Menghapus satu notifikasi.</t>
  </si>
  <si>
    <t>Menghapus semua notifikasi.</t>
  </si>
  <si>
    <t>JSON daftar notifikasi atau Inertia props { notifications: [...] }</t>
  </si>
  <si>
    <t>JSON / Inertia props berisi daftar EVM Records</t>
  </si>
  <si>
    <t>{ project_id: number }</t>
  </si>
  <si>
    <t>Status sukses + hasil recalculation (CPI, SPI, PV, EV, AC, dsb)</t>
  </si>
  <si>
    <t>Mengambil daftar EVM Records untuk project tertentu.</t>
  </si>
  <si>
    <t>Melakukan proses rekalkulasi EVM (Earned Value Management) secara keseluruhan untuk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</si>
</sst>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i/>
      <sz val="12"/>
      <color rgb="FF000000"/>
      <name val="Times New Roman"/>
      <family val="1"/>
    </font>
    <font>
      <i/>
      <sz val="12"/>
      <color theme="1"/>
      <name val="Times New Roman"/>
      <family val="1"/>
    </font>
    <font>
      <b/>
      <sz val="12"/>
      <color rgb="FF000000"/>
      <name val="Aptos Narrow"/>
      <family val="2"/>
    </font>
    <font>
      <sz val="12"/>
      <color rgb="FF000000"/>
      <name val="Aptos Narrow"/>
      <family val="2"/>
    </font>
    <font>
      <i/>
      <sz val="12"/>
      <color rgb="FF000000"/>
      <name val="Aptos Narrow"/>
      <family val="2"/>
    </font>
    <font>
      <sz val="12"/>
      <name val="Times New Roman"/>
      <family val="1"/>
    </font>
    <font>
      <sz val="8"/>
      <name val="Aptos Narrow"/>
      <family val="2"/>
      <scheme val="minor"/>
    </font>
    <font>
      <sz val="10"/>
      <color theme="1"/>
      <name val="Arial Unicode MS"/>
    </font>
    <font>
      <b/>
      <sz val="11"/>
      <color theme="1"/>
      <name val="Aptos Narrow"/>
      <family val="2"/>
      <scheme val="minor"/>
    </font>
    <font>
      <sz val="11"/>
      <color rgb="FF000000"/>
      <name val="Aptos Narrow"/>
      <family val="2"/>
    </font>
    <font>
      <sz val="12"/>
      <color theme="1"/>
      <name val="Aptos Narrow"/>
      <family val="2"/>
      <scheme val="minor"/>
    </font>
  </fonts>
  <fills count="11">
    <fill>
      <patternFill patternType="none"/>
    </fill>
    <fill>
      <patternFill patternType="gray125"/>
    </fill>
    <fill>
      <patternFill patternType="solid">
        <fgColor rgb="FFA6A6A6"/>
        <bgColor indexed="64"/>
      </patternFill>
    </fill>
    <fill>
      <patternFill patternType="solid">
        <fgColor rgb="FFA6C9EC"/>
        <bgColor indexed="64"/>
      </patternFill>
    </fill>
    <fill>
      <patternFill patternType="solid">
        <fgColor rgb="FFE8E8E8"/>
        <bgColor indexed="64"/>
      </patternFill>
    </fill>
    <fill>
      <patternFill patternType="solid">
        <fgColor rgb="FFF2F2F2"/>
        <bgColor indexed="64"/>
      </patternFill>
    </fill>
    <fill>
      <patternFill patternType="solid">
        <fgColor rgb="FFD9D9D9"/>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4EA72E"/>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right style="thick">
        <color indexed="64"/>
      </right>
      <top/>
      <bottom style="thick">
        <color indexed="64"/>
      </bottom>
      <diagonal/>
    </border>
    <border>
      <left/>
      <right/>
      <top/>
      <bottom style="thick">
        <color indexed="64"/>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diagonal/>
    </border>
    <border>
      <left/>
      <right/>
      <top style="thick">
        <color indexed="64"/>
      </top>
      <bottom/>
      <diagonal/>
    </border>
    <border>
      <left style="thick">
        <color indexed="64"/>
      </left>
      <right/>
      <top/>
      <bottom style="thick">
        <color indexed="64"/>
      </bottom>
      <diagonal/>
    </border>
    <border>
      <left style="thick">
        <color indexed="64"/>
      </left>
      <right style="thick">
        <color indexed="64"/>
      </right>
      <top/>
      <bottom/>
      <diagonal/>
    </border>
    <border>
      <left/>
      <right style="thick">
        <color indexed="64"/>
      </right>
      <top/>
      <bottom/>
      <diagonal/>
    </border>
    <border>
      <left/>
      <right/>
      <top style="thick">
        <color indexed="64"/>
      </top>
      <bottom style="thick">
        <color indexed="64"/>
      </bottom>
      <diagonal/>
    </border>
  </borders>
  <cellStyleXfs count="1">
    <xf numFmtId="0" fontId="0" fillId="0" borderId="0"/>
  </cellStyleXfs>
  <cellXfs count="199">
    <xf numFmtId="0" fontId="0" fillId="0" borderId="0" xfId="0"/>
    <xf numFmtId="0" fontId="1" fillId="0" borderId="0" xfId="0" applyFont="1"/>
    <xf numFmtId="9" fontId="1" fillId="0" borderId="0" xfId="0" applyNumberFormat="1" applyFont="1"/>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xf>
    <xf numFmtId="9" fontId="1" fillId="0" borderId="0" xfId="0" applyNumberFormat="1" applyFont="1" applyAlignment="1">
      <alignment horizontal="center"/>
    </xf>
    <xf numFmtId="0" fontId="2" fillId="0" borderId="0" xfId="0" applyFont="1" applyAlignment="1">
      <alignment horizontal="center"/>
    </xf>
    <xf numFmtId="0" fontId="4" fillId="0" borderId="0" xfId="0" applyFont="1" applyAlignment="1">
      <alignment horizontal="center" vertical="center"/>
    </xf>
    <xf numFmtId="14" fontId="4" fillId="0" borderId="0" xfId="0" applyNumberFormat="1" applyFont="1" applyAlignment="1">
      <alignment horizontal="center" vertical="center" wrapText="1"/>
    </xf>
    <xf numFmtId="0" fontId="4" fillId="0" borderId="0" xfId="0" applyFont="1" applyAlignment="1">
      <alignment horizontal="center" vertical="center" wrapText="1"/>
    </xf>
    <xf numFmtId="10" fontId="4" fillId="0" borderId="0" xfId="0" applyNumberFormat="1" applyFont="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0" fontId="3" fillId="7" borderId="1"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1" fillId="0" borderId="0" xfId="0" applyFont="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5" fillId="0" borderId="4" xfId="0" applyFont="1" applyBorder="1" applyAlignment="1">
      <alignment vertical="top" wrapText="1"/>
    </xf>
    <xf numFmtId="0" fontId="4" fillId="0" borderId="4" xfId="0" applyFont="1" applyBorder="1" applyAlignment="1">
      <alignment vertical="top" wrapText="1"/>
    </xf>
    <xf numFmtId="0" fontId="4" fillId="0" borderId="4" xfId="0" applyFont="1" applyBorder="1" applyAlignment="1">
      <alignment horizontal="left" vertical="top" wrapText="1"/>
    </xf>
    <xf numFmtId="0" fontId="7" fillId="7" borderId="1"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9" fillId="0" borderId="4" xfId="0" applyFont="1" applyBorder="1" applyAlignment="1">
      <alignment horizontal="left" vertical="top" wrapText="1"/>
    </xf>
    <xf numFmtId="0" fontId="4" fillId="0" borderId="4" xfId="0" applyFont="1" applyBorder="1" applyAlignment="1">
      <alignment horizontal="justify" vertical="center" wrapText="1"/>
    </xf>
    <xf numFmtId="0" fontId="1" fillId="0" borderId="0" xfId="0" applyFont="1" applyAlignment="1">
      <alignment horizontal="justify" vertical="center"/>
    </xf>
    <xf numFmtId="0" fontId="3" fillId="7" borderId="5"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justify" vertical="center" wrapText="1"/>
    </xf>
    <xf numFmtId="0" fontId="1" fillId="0" borderId="5" xfId="0" applyFont="1" applyBorder="1" applyAlignment="1">
      <alignment horizontal="justify" vertical="center" wrapText="1"/>
    </xf>
    <xf numFmtId="0" fontId="1" fillId="0" borderId="5" xfId="0" applyFont="1" applyBorder="1" applyAlignment="1">
      <alignment horizontal="center" vertical="center"/>
    </xf>
    <xf numFmtId="0" fontId="4" fillId="0" borderId="5" xfId="0" applyFont="1" applyBorder="1" applyAlignment="1">
      <alignment horizontal="left" vertical="center" wrapText="1"/>
    </xf>
    <xf numFmtId="0" fontId="2" fillId="7"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6" fillId="0" borderId="5" xfId="0" applyFont="1" applyBorder="1" applyAlignment="1">
      <alignment horizontal="justify" vertical="center" wrapText="1"/>
    </xf>
    <xf numFmtId="0" fontId="2" fillId="7" borderId="5" xfId="0" applyFont="1" applyFill="1" applyBorder="1" applyAlignment="1">
      <alignment horizontal="justify" vertical="center" wrapText="1"/>
    </xf>
    <xf numFmtId="0" fontId="1" fillId="0" borderId="5" xfId="0" applyFont="1" applyBorder="1" applyAlignment="1">
      <alignment vertical="center" wrapText="1"/>
    </xf>
    <xf numFmtId="0" fontId="6" fillId="0" borderId="5" xfId="0" applyFont="1" applyBorder="1" applyAlignment="1">
      <alignment horizontal="center" vertical="center" wrapText="1"/>
    </xf>
    <xf numFmtId="0" fontId="1" fillId="0" borderId="0" xfId="0" applyFont="1" applyAlignment="1">
      <alignment horizontal="left" vertical="top"/>
    </xf>
    <xf numFmtId="0" fontId="0" fillId="0" borderId="0" xfId="0" applyAlignment="1">
      <alignment vertical="top"/>
    </xf>
    <xf numFmtId="0" fontId="1" fillId="0" borderId="0" xfId="0" applyFont="1" applyAlignment="1">
      <alignment horizontal="justify" vertical="top"/>
    </xf>
    <xf numFmtId="0" fontId="6" fillId="0" borderId="0" xfId="0" applyFont="1" applyAlignment="1">
      <alignment horizontal="justify" vertical="top"/>
    </xf>
    <xf numFmtId="0" fontId="10" fillId="0" borderId="0" xfId="0" applyFont="1"/>
    <xf numFmtId="0" fontId="10" fillId="7" borderId="5" xfId="0" applyFont="1" applyFill="1" applyBorder="1" applyAlignment="1">
      <alignment horizontal="center" vertical="center"/>
    </xf>
    <xf numFmtId="0" fontId="10" fillId="7" borderId="5" xfId="0" applyFont="1" applyFill="1" applyBorder="1" applyAlignment="1">
      <alignment horizontal="center"/>
    </xf>
    <xf numFmtId="0" fontId="10" fillId="0" borderId="5" xfId="0" applyFont="1" applyBorder="1" applyAlignment="1">
      <alignment horizontal="center" vertical="center"/>
    </xf>
    <xf numFmtId="0" fontId="10" fillId="0" borderId="5" xfId="0" applyFont="1" applyBorder="1"/>
    <xf numFmtId="0" fontId="10" fillId="0" borderId="5" xfId="0" applyFont="1" applyBorder="1" applyAlignment="1">
      <alignment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left" vertical="center"/>
    </xf>
    <xf numFmtId="14" fontId="4" fillId="0" borderId="8" xfId="0" applyNumberFormat="1" applyFont="1" applyBorder="1" applyAlignment="1">
      <alignment horizontal="center" vertical="center"/>
    </xf>
    <xf numFmtId="0" fontId="4" fillId="0" borderId="8" xfId="0" applyFont="1" applyBorder="1" applyAlignment="1">
      <alignment horizontal="center" vertical="center"/>
    </xf>
    <xf numFmtId="9" fontId="4" fillId="0" borderId="8" xfId="0" applyNumberFormat="1" applyFont="1" applyBorder="1" applyAlignment="1">
      <alignment horizontal="center" vertical="center"/>
    </xf>
    <xf numFmtId="0" fontId="4" fillId="3" borderId="8" xfId="0" applyFont="1" applyFill="1" applyBorder="1" applyAlignment="1">
      <alignment horizontal="center" vertical="center"/>
    </xf>
    <xf numFmtId="0" fontId="4" fillId="4" borderId="7" xfId="0" applyFont="1" applyFill="1" applyBorder="1" applyAlignment="1">
      <alignment horizontal="center" vertical="center"/>
    </xf>
    <xf numFmtId="14" fontId="3" fillId="4" borderId="8" xfId="0" applyNumberFormat="1" applyFont="1" applyFill="1" applyBorder="1" applyAlignment="1">
      <alignment horizontal="center" vertical="center"/>
    </xf>
    <xf numFmtId="0" fontId="3" fillId="4" borderId="8" xfId="0" applyFont="1" applyFill="1" applyBorder="1" applyAlignment="1">
      <alignment horizontal="center" vertical="center"/>
    </xf>
    <xf numFmtId="10" fontId="0" fillId="0" borderId="0" xfId="0" applyNumberFormat="1"/>
    <xf numFmtId="0" fontId="1" fillId="0" borderId="8" xfId="0" applyFont="1" applyBorder="1"/>
    <xf numFmtId="0" fontId="3" fillId="4" borderId="8" xfId="0" applyFont="1" applyFill="1" applyBorder="1" applyAlignment="1">
      <alignment horizontal="left" vertical="center"/>
    </xf>
    <xf numFmtId="0" fontId="4" fillId="4" borderId="8" xfId="0" applyFont="1" applyFill="1" applyBorder="1" applyAlignment="1">
      <alignment horizontal="center" vertical="center"/>
    </xf>
    <xf numFmtId="0" fontId="4" fillId="4" borderId="8" xfId="0" applyFont="1" applyFill="1" applyBorder="1" applyAlignment="1">
      <alignment horizontal="left" vertical="center"/>
    </xf>
    <xf numFmtId="0" fontId="4" fillId="5" borderId="7" xfId="0" applyFont="1" applyFill="1" applyBorder="1" applyAlignment="1">
      <alignment horizontal="center" vertical="center"/>
    </xf>
    <xf numFmtId="0" fontId="4" fillId="5" borderId="8" xfId="0" applyFont="1" applyFill="1" applyBorder="1" applyAlignment="1">
      <alignment horizontal="left" vertical="center"/>
    </xf>
    <xf numFmtId="0" fontId="3" fillId="5" borderId="8" xfId="0" applyFont="1" applyFill="1" applyBorder="1" applyAlignment="1">
      <alignment horizontal="center" vertical="center"/>
    </xf>
    <xf numFmtId="14" fontId="3" fillId="5" borderId="8" xfId="0" applyNumberFormat="1" applyFont="1" applyFill="1" applyBorder="1" applyAlignment="1">
      <alignment horizontal="center" vertical="center"/>
    </xf>
    <xf numFmtId="0" fontId="4" fillId="5" borderId="8" xfId="0" applyFont="1" applyFill="1" applyBorder="1" applyAlignment="1">
      <alignment horizontal="center" vertical="center"/>
    </xf>
    <xf numFmtId="0" fontId="3" fillId="5" borderId="8" xfId="0" applyFont="1" applyFill="1" applyBorder="1" applyAlignment="1">
      <alignment horizontal="left" vertical="center"/>
    </xf>
    <xf numFmtId="14" fontId="4" fillId="0" borderId="8" xfId="0" applyNumberFormat="1" applyFont="1" applyBorder="1" applyAlignment="1">
      <alignment horizontal="center" vertical="center" wrapText="1"/>
    </xf>
    <xf numFmtId="0" fontId="1" fillId="0" borderId="7" xfId="0" applyFont="1" applyBorder="1" applyAlignment="1">
      <alignment vertical="center"/>
    </xf>
    <xf numFmtId="0" fontId="1" fillId="0" borderId="8" xfId="0" applyFont="1" applyBorder="1" applyAlignment="1">
      <alignment vertical="center"/>
    </xf>
    <xf numFmtId="0" fontId="3" fillId="6" borderId="8"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8" xfId="0" applyFont="1" applyFill="1" applyBorder="1" applyAlignment="1">
      <alignment horizontal="left" vertical="center"/>
    </xf>
    <xf numFmtId="10" fontId="3" fillId="6" borderId="8" xfId="0" applyNumberFormat="1" applyFont="1" applyFill="1" applyBorder="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2" fillId="7" borderId="5" xfId="0" applyFont="1" applyFill="1" applyBorder="1" applyAlignment="1">
      <alignment horizontal="center" vertical="center"/>
    </xf>
    <xf numFmtId="0" fontId="4" fillId="0" borderId="5" xfId="0" applyFont="1" applyBorder="1" applyAlignment="1">
      <alignment horizontal="center" vertical="center"/>
    </xf>
    <xf numFmtId="0" fontId="1" fillId="8" borderId="8" xfId="0" applyFont="1" applyFill="1" applyBorder="1"/>
    <xf numFmtId="0" fontId="1" fillId="0" borderId="5" xfId="0" applyFont="1" applyBorder="1" applyAlignment="1">
      <alignment horizontal="center"/>
    </xf>
    <xf numFmtId="0" fontId="4" fillId="8" borderId="13" xfId="0" applyFont="1" applyFill="1" applyBorder="1" applyAlignment="1">
      <alignment horizontal="center" vertical="center"/>
    </xf>
    <xf numFmtId="0" fontId="4" fillId="8" borderId="9" xfId="0" applyFont="1" applyFill="1" applyBorder="1" applyAlignment="1">
      <alignment horizontal="left" vertical="center"/>
    </xf>
    <xf numFmtId="0" fontId="0" fillId="0" borderId="0" xfId="0" applyAlignment="1">
      <alignment horizontal="center"/>
    </xf>
    <xf numFmtId="49" fontId="0" fillId="0" borderId="0" xfId="0" applyNumberFormat="1" applyAlignment="1">
      <alignment horizontal="center" vertical="center"/>
    </xf>
    <xf numFmtId="2" fontId="0" fillId="0" borderId="0" xfId="0" applyNumberFormat="1"/>
    <xf numFmtId="0" fontId="1" fillId="7" borderId="5" xfId="0" applyFont="1" applyFill="1" applyBorder="1" applyAlignment="1">
      <alignment horizontal="center" vertical="center"/>
    </xf>
    <xf numFmtId="0" fontId="1" fillId="0" borderId="5" xfId="0" applyFont="1" applyBorder="1" applyAlignment="1">
      <alignment vertical="center"/>
    </xf>
    <xf numFmtId="0" fontId="1" fillId="0" borderId="5" xfId="0" applyFont="1" applyBorder="1" applyAlignment="1">
      <alignment horizontal="left"/>
    </xf>
    <xf numFmtId="0" fontId="1" fillId="0" borderId="5" xfId="0" applyFont="1" applyBorder="1" applyAlignment="1">
      <alignment horizontal="left" vertical="center"/>
    </xf>
    <xf numFmtId="9" fontId="1" fillId="0" borderId="5" xfId="0" applyNumberFormat="1" applyFont="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0" borderId="15" xfId="0" applyFont="1" applyBorder="1" applyAlignment="1">
      <alignment horizontal="left" vertical="center" wrapText="1"/>
    </xf>
    <xf numFmtId="0" fontId="4" fillId="0" borderId="8" xfId="0" applyFont="1" applyBorder="1" applyAlignment="1">
      <alignment horizontal="left" vertical="center" wrapText="1"/>
    </xf>
    <xf numFmtId="0" fontId="4" fillId="0" borderId="7" xfId="0" applyFont="1" applyBorder="1" applyAlignment="1">
      <alignment horizontal="left" vertical="center" wrapText="1"/>
    </xf>
    <xf numFmtId="10" fontId="4" fillId="0" borderId="8" xfId="0" applyNumberFormat="1" applyFont="1" applyBorder="1" applyAlignment="1">
      <alignment horizontal="center" vertical="center"/>
    </xf>
    <xf numFmtId="0" fontId="4" fillId="10" borderId="8" xfId="0" applyFont="1" applyFill="1" applyBorder="1" applyAlignment="1">
      <alignment horizontal="center" vertical="center"/>
    </xf>
    <xf numFmtId="0" fontId="4" fillId="9" borderId="8" xfId="0" applyFont="1" applyFill="1" applyBorder="1" applyAlignment="1">
      <alignment horizontal="center" vertical="center"/>
    </xf>
    <xf numFmtId="0" fontId="4" fillId="0" borderId="15" xfId="0" applyFont="1" applyBorder="1" applyAlignment="1">
      <alignment horizontal="center" vertical="center"/>
    </xf>
    <xf numFmtId="14" fontId="4" fillId="0" borderId="15" xfId="0" applyNumberFormat="1" applyFont="1" applyBorder="1" applyAlignment="1">
      <alignment horizontal="center" vertical="center"/>
    </xf>
    <xf numFmtId="10" fontId="4" fillId="0" borderId="15" xfId="0" applyNumberFormat="1" applyFont="1" applyBorder="1" applyAlignment="1">
      <alignment horizontal="center" vertical="center"/>
    </xf>
    <xf numFmtId="0" fontId="4" fillId="9" borderId="15" xfId="0" applyFont="1" applyFill="1" applyBorder="1" applyAlignment="1">
      <alignment horizontal="center" vertical="center"/>
    </xf>
    <xf numFmtId="0" fontId="4" fillId="5" borderId="13" xfId="0" applyFont="1" applyFill="1" applyBorder="1" applyAlignment="1">
      <alignment horizontal="center" vertical="center"/>
    </xf>
    <xf numFmtId="0" fontId="3" fillId="5" borderId="16" xfId="0" applyFont="1" applyFill="1" applyBorder="1" applyAlignment="1">
      <alignment horizontal="center" vertical="center"/>
    </xf>
    <xf numFmtId="0" fontId="4" fillId="5" borderId="16" xfId="0" applyFont="1" applyFill="1" applyBorder="1" applyAlignment="1">
      <alignment horizontal="left" vertical="center"/>
    </xf>
    <xf numFmtId="0" fontId="4" fillId="5" borderId="6" xfId="0" applyFont="1" applyFill="1" applyBorder="1" applyAlignment="1">
      <alignment horizontal="left" vertical="center"/>
    </xf>
    <xf numFmtId="10" fontId="3" fillId="5" borderId="16" xfId="0" applyNumberFormat="1" applyFont="1" applyFill="1" applyBorder="1" applyAlignment="1">
      <alignment horizontal="center" vertical="center"/>
    </xf>
    <xf numFmtId="0" fontId="3" fillId="8" borderId="9" xfId="0" applyFont="1" applyFill="1" applyBorder="1" applyAlignment="1">
      <alignment horizontal="right" vertical="center"/>
    </xf>
    <xf numFmtId="14" fontId="3" fillId="8" borderId="12" xfId="0" applyNumberFormat="1" applyFont="1" applyFill="1" applyBorder="1" applyAlignment="1">
      <alignment horizontal="center" vertical="center"/>
    </xf>
    <xf numFmtId="0" fontId="3" fillId="8" borderId="12" xfId="0" applyFont="1" applyFill="1" applyBorder="1" applyAlignment="1">
      <alignment horizontal="center" vertical="center"/>
    </xf>
    <xf numFmtId="10" fontId="3" fillId="8" borderId="9" xfId="0" applyNumberFormat="1" applyFont="1" applyFill="1" applyBorder="1" applyAlignment="1">
      <alignment horizontal="center" vertical="center"/>
    </xf>
    <xf numFmtId="0" fontId="4" fillId="0" borderId="7"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6" xfId="0" applyFont="1" applyBorder="1" applyAlignment="1">
      <alignment horizontal="left" vertical="center"/>
    </xf>
    <xf numFmtId="0" fontId="1" fillId="0" borderId="8" xfId="0" applyFont="1" applyBorder="1" applyAlignment="1">
      <alignment horizontal="left" vertical="center"/>
    </xf>
    <xf numFmtId="0" fontId="0" fillId="0" borderId="5" xfId="0" applyBorder="1" applyAlignment="1">
      <alignment vertical="center" wrapText="1"/>
    </xf>
    <xf numFmtId="0" fontId="12" fillId="0" borderId="5" xfId="0" applyFont="1" applyBorder="1" applyAlignment="1">
      <alignment vertical="center" wrapText="1"/>
    </xf>
    <xf numFmtId="0" fontId="0" fillId="0" borderId="5" xfId="0" applyBorder="1" applyAlignment="1">
      <alignment horizontal="center" vertical="center" wrapText="1"/>
    </xf>
    <xf numFmtId="0" fontId="13" fillId="0" borderId="0" xfId="0" applyFont="1" applyAlignment="1">
      <alignment horizontal="center" vertical="center" wrapText="1"/>
    </xf>
    <xf numFmtId="0" fontId="0" fillId="0" borderId="0" xfId="0" applyAlignment="1">
      <alignment vertical="center" wrapText="1"/>
    </xf>
    <xf numFmtId="0" fontId="14" fillId="0" borderId="5" xfId="0" applyFont="1" applyBorder="1" applyAlignment="1">
      <alignment horizontal="center" vertical="center" wrapText="1"/>
    </xf>
    <xf numFmtId="0" fontId="1" fillId="8" borderId="10" xfId="0" applyFont="1" applyFill="1" applyBorder="1" applyAlignment="1">
      <alignment horizontal="center"/>
    </xf>
    <xf numFmtId="0" fontId="1" fillId="8" borderId="16" xfId="0" applyFont="1" applyFill="1" applyBorder="1" applyAlignment="1">
      <alignment horizontal="center"/>
    </xf>
    <xf numFmtId="0" fontId="2" fillId="8" borderId="16" xfId="0" applyFont="1" applyFill="1" applyBorder="1" applyAlignment="1">
      <alignment horizontal="center" vertical="center"/>
    </xf>
    <xf numFmtId="9" fontId="2" fillId="8" borderId="6" xfId="0" applyNumberFormat="1" applyFont="1" applyFill="1" applyBorder="1" applyAlignment="1">
      <alignment horizontal="center"/>
    </xf>
    <xf numFmtId="0" fontId="0" fillId="0" borderId="0" xfId="0" applyAlignment="1">
      <alignment horizontal="left" vertical="center"/>
    </xf>
    <xf numFmtId="0" fontId="4" fillId="0" borderId="8" xfId="0" applyFont="1" applyBorder="1" applyAlignment="1">
      <alignment horizontal="center" vertical="center" wrapText="1"/>
    </xf>
    <xf numFmtId="9" fontId="4" fillId="0" borderId="8" xfId="0" applyNumberFormat="1" applyFont="1" applyBorder="1" applyAlignment="1">
      <alignment horizontal="center" vertical="center" wrapText="1"/>
    </xf>
    <xf numFmtId="9" fontId="1" fillId="0" borderId="5" xfId="0" applyNumberFormat="1" applyFont="1" applyBorder="1" applyAlignment="1">
      <alignment horizontal="center" vertical="center"/>
    </xf>
    <xf numFmtId="9" fontId="1" fillId="8" borderId="6" xfId="0" applyNumberFormat="1" applyFont="1" applyFill="1" applyBorder="1" applyAlignment="1">
      <alignment horizontal="center"/>
    </xf>
    <xf numFmtId="14" fontId="0" fillId="0" borderId="0" xfId="0" applyNumberFormat="1"/>
    <xf numFmtId="0" fontId="4" fillId="4" borderId="13" xfId="0" applyFont="1" applyFill="1" applyBorder="1" applyAlignment="1">
      <alignment horizontal="center" vertical="center"/>
    </xf>
    <xf numFmtId="9" fontId="4" fillId="0" borderId="15" xfId="0" applyNumberFormat="1" applyFont="1" applyBorder="1" applyAlignment="1">
      <alignment horizontal="center" vertical="center"/>
    </xf>
    <xf numFmtId="0" fontId="4" fillId="3" borderId="15" xfId="0" applyFont="1" applyFill="1" applyBorder="1" applyAlignment="1">
      <alignment horizontal="center" vertical="center"/>
    </xf>
    <xf numFmtId="0" fontId="4" fillId="4" borderId="10" xfId="0" applyFont="1" applyFill="1" applyBorder="1" applyAlignment="1">
      <alignment horizontal="center" vertical="center"/>
    </xf>
    <xf numFmtId="0" fontId="1" fillId="8" borderId="6" xfId="0" applyFont="1" applyFill="1" applyBorder="1"/>
    <xf numFmtId="0" fontId="4" fillId="8" borderId="10" xfId="0" applyFont="1" applyFill="1" applyBorder="1" applyAlignment="1">
      <alignment horizontal="center" vertical="center"/>
    </xf>
    <xf numFmtId="14" fontId="3" fillId="8" borderId="16" xfId="0" applyNumberFormat="1" applyFont="1" applyFill="1" applyBorder="1" applyAlignment="1">
      <alignment horizontal="center" vertical="center"/>
    </xf>
    <xf numFmtId="0" fontId="3" fillId="8" borderId="16" xfId="0" applyFont="1" applyFill="1" applyBorder="1" applyAlignment="1">
      <alignment horizontal="center" vertical="center"/>
    </xf>
    <xf numFmtId="0" fontId="3" fillId="8" borderId="9" xfId="0" applyFont="1" applyFill="1" applyBorder="1" applyAlignment="1">
      <alignment horizontal="left" vertical="center"/>
    </xf>
    <xf numFmtId="0" fontId="4" fillId="8" borderId="9" xfId="0" applyFont="1" applyFill="1" applyBorder="1" applyAlignment="1">
      <alignment horizontal="center" vertical="center"/>
    </xf>
    <xf numFmtId="0" fontId="3" fillId="8" borderId="16" xfId="0" applyFont="1" applyFill="1" applyBorder="1" applyAlignment="1">
      <alignment horizontal="left" vertical="center"/>
    </xf>
    <xf numFmtId="0" fontId="4" fillId="8" borderId="16" xfId="0" applyFont="1" applyFill="1" applyBorder="1" applyAlignment="1">
      <alignment horizontal="center" vertical="center"/>
    </xf>
    <xf numFmtId="10" fontId="3" fillId="8" borderId="16" xfId="0" applyNumberFormat="1" applyFont="1" applyFill="1" applyBorder="1" applyAlignment="1">
      <alignment horizontal="center" vertical="center"/>
    </xf>
    <xf numFmtId="0" fontId="4" fillId="0" borderId="15" xfId="0" applyFont="1" applyBorder="1" applyAlignment="1">
      <alignment horizontal="left" vertical="center"/>
    </xf>
    <xf numFmtId="0" fontId="4" fillId="8" borderId="13" xfId="0" applyFont="1" applyFill="1" applyBorder="1" applyAlignment="1">
      <alignment horizontal="left" vertical="center"/>
    </xf>
    <xf numFmtId="10" fontId="3" fillId="8" borderId="12" xfId="0" applyNumberFormat="1" applyFont="1" applyFill="1" applyBorder="1" applyAlignment="1">
      <alignment vertical="center"/>
    </xf>
    <xf numFmtId="0" fontId="4" fillId="8" borderId="10" xfId="0" applyFont="1" applyFill="1" applyBorder="1" applyAlignment="1">
      <alignment horizontal="left" vertical="center"/>
    </xf>
    <xf numFmtId="10" fontId="3" fillId="8" borderId="16" xfId="0" applyNumberFormat="1" applyFont="1" applyFill="1" applyBorder="1" applyAlignment="1">
      <alignment vertical="center"/>
    </xf>
    <xf numFmtId="0" fontId="4" fillId="8" borderId="16" xfId="0" applyFont="1" applyFill="1" applyBorder="1" applyAlignment="1">
      <alignment horizontal="left" vertical="center"/>
    </xf>
    <xf numFmtId="0" fontId="4" fillId="0" borderId="14" xfId="0" applyFont="1" applyBorder="1" applyAlignment="1">
      <alignment horizontal="center" vertical="center"/>
    </xf>
    <xf numFmtId="0" fontId="3" fillId="8" borderId="8" xfId="0" applyFont="1" applyFill="1" applyBorder="1" applyAlignment="1">
      <alignment horizontal="left" vertical="center"/>
    </xf>
    <xf numFmtId="14" fontId="3" fillId="8" borderId="6" xfId="0" applyNumberFormat="1" applyFont="1" applyFill="1" applyBorder="1" applyAlignment="1">
      <alignment horizontal="center" vertical="center"/>
    </xf>
    <xf numFmtId="0" fontId="1" fillId="8" borderId="13" xfId="0" applyFont="1" applyFill="1" applyBorder="1" applyAlignment="1">
      <alignment vertical="center"/>
    </xf>
    <xf numFmtId="0" fontId="1" fillId="8" borderId="9" xfId="0" applyFont="1" applyFill="1" applyBorder="1" applyAlignment="1">
      <alignment vertical="center"/>
    </xf>
    <xf numFmtId="0" fontId="1" fillId="8" borderId="8" xfId="0" applyFont="1" applyFill="1" applyBorder="1" applyAlignment="1">
      <alignment vertical="center"/>
    </xf>
    <xf numFmtId="10" fontId="1" fillId="0" borderId="15" xfId="0" applyNumberFormat="1" applyFont="1" applyBorder="1" applyAlignment="1">
      <alignment horizontal="center" vertical="center"/>
    </xf>
    <xf numFmtId="0" fontId="1" fillId="8" borderId="10" xfId="0" applyFont="1" applyFill="1" applyBorder="1" applyAlignment="1">
      <alignment vertical="center"/>
    </xf>
    <xf numFmtId="0" fontId="1" fillId="8" borderId="16" xfId="0" applyFont="1" applyFill="1" applyBorder="1" applyAlignment="1">
      <alignment vertical="center"/>
    </xf>
    <xf numFmtId="0" fontId="1" fillId="8" borderId="6" xfId="0" applyFont="1" applyFill="1" applyBorder="1" applyAlignment="1">
      <alignment vertical="center"/>
    </xf>
    <xf numFmtId="0" fontId="3" fillId="8" borderId="16" xfId="0" applyFont="1" applyFill="1" applyBorder="1" applyAlignment="1">
      <alignment horizontal="right" vertical="center"/>
    </xf>
    <xf numFmtId="2" fontId="3" fillId="8" borderId="9" xfId="0" applyNumberFormat="1" applyFont="1" applyFill="1" applyBorder="1" applyAlignment="1">
      <alignment horizontal="center" vertical="center"/>
    </xf>
    <xf numFmtId="0" fontId="15" fillId="0" borderId="0" xfId="0" applyFont="1"/>
    <xf numFmtId="9" fontId="15" fillId="8" borderId="16" xfId="0" applyNumberFormat="1" applyFont="1" applyFill="1" applyBorder="1"/>
    <xf numFmtId="0" fontId="15" fillId="8" borderId="16" xfId="0" applyFont="1" applyFill="1" applyBorder="1"/>
    <xf numFmtId="9" fontId="15" fillId="0" borderId="0" xfId="0" applyNumberFormat="1" applyFont="1"/>
    <xf numFmtId="14" fontId="1" fillId="0" borderId="5" xfId="0" applyNumberFormat="1" applyFont="1" applyBorder="1" applyAlignment="1">
      <alignment horizontal="center" vertical="center" wrapText="1"/>
    </xf>
    <xf numFmtId="0" fontId="15" fillId="0" borderId="5" xfId="0" applyFont="1" applyBorder="1" applyAlignment="1">
      <alignment horizontal="center"/>
    </xf>
    <xf numFmtId="0" fontId="1" fillId="0" borderId="11" xfId="0" applyFont="1" applyBorder="1" applyAlignment="1">
      <alignment horizontal="center" vertical="center" wrapText="1"/>
    </xf>
    <xf numFmtId="9" fontId="1" fillId="0" borderId="11" xfId="0" applyNumberFormat="1" applyFont="1" applyBorder="1" applyAlignment="1">
      <alignment horizontal="center" vertical="center" wrapText="1"/>
    </xf>
    <xf numFmtId="0" fontId="3" fillId="8" borderId="16" xfId="0" applyFont="1" applyFill="1" applyBorder="1" applyAlignment="1">
      <alignment horizontal="right" vertical="center"/>
    </xf>
    <xf numFmtId="0" fontId="3" fillId="5" borderId="16" xfId="0" applyFont="1" applyFill="1" applyBorder="1" applyAlignment="1">
      <alignment horizontal="center" vertical="center"/>
    </xf>
    <xf numFmtId="0" fontId="4" fillId="5" borderId="16"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0" xfId="0" applyFont="1" applyAlignment="1">
      <alignment horizontal="left" vertical="center"/>
    </xf>
    <xf numFmtId="0" fontId="3" fillId="6" borderId="10" xfId="0" applyFont="1" applyFill="1" applyBorder="1" applyAlignment="1">
      <alignment horizontal="left" vertical="center"/>
    </xf>
    <xf numFmtId="0" fontId="3" fillId="6" borderId="6" xfId="0" applyFont="1" applyFill="1" applyBorder="1" applyAlignment="1">
      <alignment horizontal="left" vertical="center"/>
    </xf>
    <xf numFmtId="0" fontId="3" fillId="4" borderId="10" xfId="0" applyFont="1" applyFill="1" applyBorder="1" applyAlignment="1">
      <alignment horizontal="center" vertical="center"/>
    </xf>
    <xf numFmtId="0" fontId="3" fillId="4" borderId="6" xfId="0" applyFont="1" applyFill="1" applyBorder="1" applyAlignment="1">
      <alignment horizontal="center" vertical="center"/>
    </xf>
    <xf numFmtId="10" fontId="3" fillId="4" borderId="11" xfId="0" applyNumberFormat="1" applyFont="1" applyFill="1" applyBorder="1" applyAlignment="1">
      <alignment horizontal="center" vertical="center"/>
    </xf>
    <xf numFmtId="10" fontId="3" fillId="4" borderId="7" xfId="0" applyNumberFormat="1" applyFont="1" applyFill="1" applyBorder="1" applyAlignment="1">
      <alignment horizontal="center" vertical="center"/>
    </xf>
    <xf numFmtId="10" fontId="3" fillId="5" borderId="11" xfId="0" applyNumberFormat="1" applyFont="1" applyFill="1" applyBorder="1" applyAlignment="1">
      <alignment horizontal="center" vertical="center"/>
    </xf>
    <xf numFmtId="10" fontId="3" fillId="5" borderId="7" xfId="0" applyNumberFormat="1" applyFont="1" applyFill="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7" xfId="0" applyFont="1" applyBorder="1" applyAlignment="1">
      <alignment horizontal="center" vertical="center" wrapText="1"/>
    </xf>
    <xf numFmtId="0" fontId="2" fillId="0" borderId="5" xfId="0" applyFont="1" applyBorder="1" applyAlignment="1">
      <alignment horizontal="center" vertical="center" wrapText="1"/>
    </xf>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D" sz="2000" b="0" i="0" u="none" strike="noStrike" kern="1200" cap="none" spc="0" normalizeH="0" baseline="0">
                <a:solidFill>
                  <a:sysClr val="windowText" lastClr="000000">
                    <a:lumMod val="65000"/>
                    <a:lumOff val="35000"/>
                  </a:sysClr>
                </a:solidFill>
                <a:latin typeface="Times New Roman" panose="02020603050405020304" pitchFamily="18" charset="0"/>
                <a:cs typeface="Times New Roman" panose="02020603050405020304" pitchFamily="18" charset="0"/>
              </a:rPr>
              <a:t>Kurva-S - Perancangan aplikasi </a:t>
            </a:r>
            <a:r>
              <a:rPr lang="en-ID" sz="2000" b="0" i="1" u="none" strike="noStrike" kern="1200" cap="none" spc="0" normalizeH="0" baseline="0">
                <a:solidFill>
                  <a:sysClr val="windowText" lastClr="000000">
                    <a:lumMod val="65000"/>
                    <a:lumOff val="35000"/>
                  </a:sysClr>
                </a:solidFill>
                <a:latin typeface="Times New Roman" panose="02020603050405020304" pitchFamily="18" charset="0"/>
                <a:cs typeface="Times New Roman" panose="02020603050405020304" pitchFamily="18" charset="0"/>
              </a:rPr>
              <a:t>Construction Project Manager</a:t>
            </a:r>
            <a:endParaRPr lang="en-ID" sz="2000" b="0" i="0" u="none" strike="noStrike" kern="1200" cap="none" spc="0" normalizeH="0"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D"/>
        </a:p>
      </c:txPr>
    </c:title>
    <c:autoTitleDeleted val="0"/>
    <c:plotArea>
      <c:layout/>
      <c:barChart>
        <c:barDir val="col"/>
        <c:grouping val="clustered"/>
        <c:varyColors val="0"/>
        <c:ser>
          <c:idx val="0"/>
          <c:order val="0"/>
          <c:tx>
            <c:strRef>
              <c:f>master!$F$65</c:f>
              <c:strCache>
                <c:ptCount val="1"/>
                <c:pt idx="0">
                  <c:v>Plan (%)</c:v>
                </c:pt>
              </c:strCache>
            </c:strRef>
          </c:tx>
          <c:spPr>
            <a:solidFill>
              <a:schemeClr val="accent2"/>
            </a:solidFill>
            <a:ln>
              <a:noFill/>
            </a:ln>
            <a:effectLst/>
          </c:spPr>
          <c:invertIfNegative val="0"/>
          <c:cat>
            <c:strRef>
              <c:f>master!$B$66:$B$82</c:f>
              <c:strCache>
                <c:ptCount val="17"/>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strCache>
            </c:strRef>
          </c:cat>
          <c:val>
            <c:numRef>
              <c:f>master!$F$66:$F$82</c:f>
              <c:numCache>
                <c:formatCode>General</c:formatCode>
                <c:ptCount val="17"/>
                <c:pt idx="0">
                  <c:v>5.08</c:v>
                </c:pt>
                <c:pt idx="1">
                  <c:v>6.3</c:v>
                </c:pt>
                <c:pt idx="2">
                  <c:v>6.3</c:v>
                </c:pt>
                <c:pt idx="3">
                  <c:v>5.89</c:v>
                </c:pt>
                <c:pt idx="4">
                  <c:v>6.3</c:v>
                </c:pt>
                <c:pt idx="5">
                  <c:v>6.1</c:v>
                </c:pt>
                <c:pt idx="6">
                  <c:v>6.3</c:v>
                </c:pt>
                <c:pt idx="7">
                  <c:v>6.1</c:v>
                </c:pt>
                <c:pt idx="8">
                  <c:v>6.3</c:v>
                </c:pt>
                <c:pt idx="9">
                  <c:v>6.3</c:v>
                </c:pt>
                <c:pt idx="10">
                  <c:v>6.13</c:v>
                </c:pt>
                <c:pt idx="11">
                  <c:v>6.22</c:v>
                </c:pt>
                <c:pt idx="12">
                  <c:v>5.98</c:v>
                </c:pt>
                <c:pt idx="13">
                  <c:v>6.19</c:v>
                </c:pt>
                <c:pt idx="14">
                  <c:v>6.19</c:v>
                </c:pt>
                <c:pt idx="15">
                  <c:v>5.59</c:v>
                </c:pt>
                <c:pt idx="16">
                  <c:v>2.73</c:v>
                </c:pt>
              </c:numCache>
            </c:numRef>
          </c:val>
          <c:extLst>
            <c:ext xmlns:c16="http://schemas.microsoft.com/office/drawing/2014/chart" uri="{C3380CC4-5D6E-409C-BE32-E72D297353CC}">
              <c16:uniqueId val="{00000000-6530-49D5-91A3-4EAEC8D37E80}"/>
            </c:ext>
          </c:extLst>
        </c:ser>
        <c:ser>
          <c:idx val="1"/>
          <c:order val="1"/>
          <c:tx>
            <c:strRef>
              <c:f>master!$G$65</c:f>
              <c:strCache>
                <c:ptCount val="1"/>
                <c:pt idx="0">
                  <c:v>Cumulative Plan (%)</c:v>
                </c:pt>
              </c:strCache>
            </c:strRef>
          </c:tx>
          <c:spPr>
            <a:solidFill>
              <a:schemeClr val="accent4"/>
            </a:solidFill>
            <a:ln>
              <a:noFill/>
            </a:ln>
            <a:effectLst/>
          </c:spPr>
          <c:invertIfNegative val="0"/>
          <c:cat>
            <c:strRef>
              <c:f>master!$B$66:$B$82</c:f>
              <c:strCache>
                <c:ptCount val="17"/>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strCache>
            </c:strRef>
          </c:cat>
          <c:val>
            <c:numRef>
              <c:f>master!$G$66:$G$82</c:f>
              <c:numCache>
                <c:formatCode>General</c:formatCode>
                <c:ptCount val="17"/>
                <c:pt idx="0">
                  <c:v>5.08</c:v>
                </c:pt>
                <c:pt idx="1">
                  <c:v>11.38</c:v>
                </c:pt>
                <c:pt idx="2">
                  <c:v>17.68</c:v>
                </c:pt>
                <c:pt idx="3">
                  <c:v>23.57</c:v>
                </c:pt>
                <c:pt idx="4">
                  <c:v>29.87</c:v>
                </c:pt>
                <c:pt idx="5">
                  <c:v>35.97</c:v>
                </c:pt>
                <c:pt idx="6">
                  <c:v>42.27</c:v>
                </c:pt>
                <c:pt idx="7">
                  <c:v>48.37</c:v>
                </c:pt>
                <c:pt idx="8">
                  <c:v>54.67</c:v>
                </c:pt>
                <c:pt idx="9">
                  <c:v>60.97</c:v>
                </c:pt>
                <c:pt idx="10">
                  <c:v>67.099999999999994</c:v>
                </c:pt>
                <c:pt idx="11">
                  <c:v>73.319999999999993</c:v>
                </c:pt>
                <c:pt idx="12">
                  <c:v>79.3</c:v>
                </c:pt>
                <c:pt idx="13">
                  <c:v>85.49</c:v>
                </c:pt>
                <c:pt idx="14">
                  <c:v>91.68</c:v>
                </c:pt>
                <c:pt idx="15">
                  <c:v>97.27</c:v>
                </c:pt>
                <c:pt idx="16">
                  <c:v>100</c:v>
                </c:pt>
              </c:numCache>
            </c:numRef>
          </c:val>
          <c:extLst>
            <c:ext xmlns:c16="http://schemas.microsoft.com/office/drawing/2014/chart" uri="{C3380CC4-5D6E-409C-BE32-E72D297353CC}">
              <c16:uniqueId val="{00000001-6530-49D5-91A3-4EAEC8D37E80}"/>
            </c:ext>
          </c:extLst>
        </c:ser>
        <c:ser>
          <c:idx val="2"/>
          <c:order val="2"/>
          <c:tx>
            <c:strRef>
              <c:f>master!$H$65</c:f>
              <c:strCache>
                <c:ptCount val="1"/>
                <c:pt idx="0">
                  <c:v>PV</c:v>
                </c:pt>
              </c:strCache>
            </c:strRef>
          </c:tx>
          <c:spPr>
            <a:solidFill>
              <a:schemeClr val="accent6"/>
            </a:solidFill>
            <a:ln>
              <a:noFill/>
            </a:ln>
            <a:effectLst/>
          </c:spPr>
          <c:invertIfNegative val="0"/>
          <c:cat>
            <c:strRef>
              <c:f>master!$B$66:$B$82</c:f>
              <c:strCache>
                <c:ptCount val="17"/>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strCache>
            </c:strRef>
          </c:cat>
          <c:val>
            <c:numRef>
              <c:f>master!$H$66:$H$82</c:f>
              <c:numCache>
                <c:formatCode>General</c:formatCode>
                <c:ptCount val="17"/>
                <c:pt idx="0">
                  <c:v>5.08</c:v>
                </c:pt>
                <c:pt idx="1">
                  <c:v>11.38</c:v>
                </c:pt>
                <c:pt idx="2">
                  <c:v>17.68</c:v>
                </c:pt>
                <c:pt idx="3">
                  <c:v>23.57</c:v>
                </c:pt>
                <c:pt idx="4">
                  <c:v>29.87</c:v>
                </c:pt>
                <c:pt idx="5">
                  <c:v>35.97</c:v>
                </c:pt>
                <c:pt idx="6">
                  <c:v>42.27</c:v>
                </c:pt>
                <c:pt idx="7">
                  <c:v>48.37</c:v>
                </c:pt>
                <c:pt idx="8">
                  <c:v>54.67</c:v>
                </c:pt>
                <c:pt idx="9">
                  <c:v>60.97</c:v>
                </c:pt>
                <c:pt idx="10">
                  <c:v>67.099999999999994</c:v>
                </c:pt>
                <c:pt idx="11">
                  <c:v>73.319999999999993</c:v>
                </c:pt>
                <c:pt idx="12">
                  <c:v>79.3</c:v>
                </c:pt>
                <c:pt idx="13">
                  <c:v>85.49</c:v>
                </c:pt>
                <c:pt idx="14">
                  <c:v>91.68</c:v>
                </c:pt>
                <c:pt idx="15">
                  <c:v>97.27</c:v>
                </c:pt>
                <c:pt idx="16">
                  <c:v>100</c:v>
                </c:pt>
              </c:numCache>
            </c:numRef>
          </c:val>
          <c:extLst>
            <c:ext xmlns:c16="http://schemas.microsoft.com/office/drawing/2014/chart" uri="{C3380CC4-5D6E-409C-BE32-E72D297353CC}">
              <c16:uniqueId val="{00000002-6530-49D5-91A3-4EAEC8D37E80}"/>
            </c:ext>
          </c:extLst>
        </c:ser>
        <c:dLbls>
          <c:showLegendKey val="0"/>
          <c:showVal val="0"/>
          <c:showCatName val="0"/>
          <c:showSerName val="0"/>
          <c:showPercent val="0"/>
          <c:showBubbleSize val="0"/>
        </c:dLbls>
        <c:gapWidth val="269"/>
        <c:axId val="1669226751"/>
        <c:axId val="1669237791"/>
      </c:barChart>
      <c:lineChart>
        <c:grouping val="standard"/>
        <c:varyColors val="0"/>
        <c:ser>
          <c:idx val="3"/>
          <c:order val="3"/>
          <c:tx>
            <c:strRef>
              <c:f>master!$I$65</c:f>
              <c:strCache>
                <c:ptCount val="1"/>
                <c:pt idx="0">
                  <c:v>EV</c:v>
                </c:pt>
              </c:strCache>
            </c:strRef>
          </c:tx>
          <c:spPr>
            <a:ln w="38100" cap="rnd">
              <a:solidFill>
                <a:schemeClr val="accent2">
                  <a:lumMod val="60000"/>
                </a:schemeClr>
              </a:solidFill>
              <a:round/>
            </a:ln>
            <a:effectLst/>
          </c:spPr>
          <c:marker>
            <c:symbol val="none"/>
          </c:marker>
          <c:cat>
            <c:strRef>
              <c:f>master!$B$66:$B$82</c:f>
              <c:strCache>
                <c:ptCount val="17"/>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strCache>
            </c:strRef>
          </c:cat>
          <c:val>
            <c:numRef>
              <c:f>master!$I$66:$I$82</c:f>
              <c:numCache>
                <c:formatCode>General</c:formatCode>
                <c:ptCount val="17"/>
                <c:pt idx="0">
                  <c:v>5.08</c:v>
                </c:pt>
                <c:pt idx="1">
                  <c:v>11.38</c:v>
                </c:pt>
                <c:pt idx="2">
                  <c:v>17.68</c:v>
                </c:pt>
                <c:pt idx="3">
                  <c:v>23.57</c:v>
                </c:pt>
                <c:pt idx="4">
                  <c:v>29.87</c:v>
                </c:pt>
                <c:pt idx="5">
                  <c:v>35.97</c:v>
                </c:pt>
                <c:pt idx="6">
                  <c:v>42.27</c:v>
                </c:pt>
                <c:pt idx="7">
                  <c:v>48.37</c:v>
                </c:pt>
                <c:pt idx="8">
                  <c:v>54.67</c:v>
                </c:pt>
                <c:pt idx="9">
                  <c:v>60.97</c:v>
                </c:pt>
                <c:pt idx="10">
                  <c:v>67.099999999999994</c:v>
                </c:pt>
                <c:pt idx="11">
                  <c:v>73.319999999999993</c:v>
                </c:pt>
                <c:pt idx="12">
                  <c:v>79.3</c:v>
                </c:pt>
                <c:pt idx="13">
                  <c:v>85.49</c:v>
                </c:pt>
                <c:pt idx="14">
                  <c:v>91.68</c:v>
                </c:pt>
                <c:pt idx="15">
                  <c:v>97.27</c:v>
                </c:pt>
                <c:pt idx="16">
                  <c:v>100</c:v>
                </c:pt>
              </c:numCache>
            </c:numRef>
          </c:val>
          <c:smooth val="0"/>
          <c:extLst>
            <c:ext xmlns:c16="http://schemas.microsoft.com/office/drawing/2014/chart" uri="{C3380CC4-5D6E-409C-BE32-E72D297353CC}">
              <c16:uniqueId val="{00000003-6530-49D5-91A3-4EAEC8D37E80}"/>
            </c:ext>
          </c:extLst>
        </c:ser>
        <c:dLbls>
          <c:showLegendKey val="0"/>
          <c:showVal val="0"/>
          <c:showCatName val="0"/>
          <c:showSerName val="0"/>
          <c:showPercent val="0"/>
          <c:showBubbleSize val="0"/>
        </c:dLbls>
        <c:marker val="1"/>
        <c:smooth val="0"/>
        <c:axId val="1669226751"/>
        <c:axId val="1669237791"/>
      </c:lineChart>
      <c:lineChart>
        <c:grouping val="standard"/>
        <c:varyColors val="0"/>
        <c:ser>
          <c:idx val="4"/>
          <c:order val="4"/>
          <c:tx>
            <c:strRef>
              <c:f>master!$J$65</c:f>
              <c:strCache>
                <c:ptCount val="1"/>
                <c:pt idx="0">
                  <c:v>SV</c:v>
                </c:pt>
              </c:strCache>
            </c:strRef>
          </c:tx>
          <c:spPr>
            <a:ln w="38100" cap="rnd">
              <a:solidFill>
                <a:schemeClr val="accent4">
                  <a:lumMod val="60000"/>
                </a:schemeClr>
              </a:solidFill>
              <a:round/>
            </a:ln>
            <a:effectLst/>
          </c:spPr>
          <c:marker>
            <c:symbol val="none"/>
          </c:marker>
          <c:cat>
            <c:strRef>
              <c:f>master!$B$66:$B$82</c:f>
              <c:strCache>
                <c:ptCount val="17"/>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strCache>
            </c:strRef>
          </c:cat>
          <c:val>
            <c:numRef>
              <c:f>master!$J$66:$J$82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mooth val="0"/>
          <c:extLst>
            <c:ext xmlns:c16="http://schemas.microsoft.com/office/drawing/2014/chart" uri="{C3380CC4-5D6E-409C-BE32-E72D297353CC}">
              <c16:uniqueId val="{00000004-6530-49D5-91A3-4EAEC8D37E80}"/>
            </c:ext>
          </c:extLst>
        </c:ser>
        <c:dLbls>
          <c:showLegendKey val="0"/>
          <c:showVal val="0"/>
          <c:showCatName val="0"/>
          <c:showSerName val="0"/>
          <c:showPercent val="0"/>
          <c:showBubbleSize val="0"/>
        </c:dLbls>
        <c:marker val="1"/>
        <c:smooth val="0"/>
        <c:axId val="1716257903"/>
        <c:axId val="1716266543"/>
      </c:lineChart>
      <c:catAx>
        <c:axId val="1669226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69237791"/>
        <c:crosses val="autoZero"/>
        <c:auto val="1"/>
        <c:lblAlgn val="ctr"/>
        <c:lblOffset val="100"/>
        <c:noMultiLvlLbl val="0"/>
      </c:catAx>
      <c:valAx>
        <c:axId val="1669237791"/>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226751"/>
        <c:crosses val="autoZero"/>
        <c:crossBetween val="between"/>
      </c:valAx>
      <c:valAx>
        <c:axId val="1716266543"/>
        <c:scaling>
          <c:orientation val="minMax"/>
        </c:scaling>
        <c:delete val="1"/>
        <c:axPos val="r"/>
        <c:numFmt formatCode="General" sourceLinked="1"/>
        <c:majorTickMark val="out"/>
        <c:minorTickMark val="none"/>
        <c:tickLblPos val="nextTo"/>
        <c:crossAx val="1716257903"/>
        <c:crosses val="max"/>
        <c:crossBetween val="between"/>
      </c:valAx>
      <c:catAx>
        <c:axId val="1716257903"/>
        <c:scaling>
          <c:orientation val="minMax"/>
        </c:scaling>
        <c:delete val="1"/>
        <c:axPos val="b"/>
        <c:numFmt formatCode="General" sourceLinked="1"/>
        <c:majorTickMark val="out"/>
        <c:minorTickMark val="none"/>
        <c:tickLblPos val="nextTo"/>
        <c:crossAx val="1716266543"/>
        <c:crosses val="autoZero"/>
        <c:auto val="1"/>
        <c:lblAlgn val="ctr"/>
        <c:lblOffset val="100"/>
        <c:noMultiLvlLbl val="0"/>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D" sz="2000" b="0" i="0" u="none" strike="noStrike" kern="1200" cap="none" spc="0" normalizeH="0" baseline="0">
                <a:solidFill>
                  <a:sysClr val="windowText" lastClr="000000">
                    <a:lumMod val="65000"/>
                    <a:lumOff val="35000"/>
                  </a:sysClr>
                </a:solidFill>
                <a:latin typeface="Times New Roman" panose="02020603050405020304" pitchFamily="18" charset="0"/>
                <a:cs typeface="Times New Roman" panose="02020603050405020304" pitchFamily="18" charset="0"/>
              </a:rPr>
              <a:t>Perancangan Aplikasi construction project manager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cked"/>
        <c:varyColors val="0"/>
        <c:ser>
          <c:idx val="0"/>
          <c:order val="0"/>
          <c:tx>
            <c:v>SV</c:v>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'hasil sprint 0-6'!$A$2:$A$8</c:f>
              <c:strCache>
                <c:ptCount val="7"/>
                <c:pt idx="0">
                  <c:v>Sprint 0</c:v>
                </c:pt>
                <c:pt idx="1">
                  <c:v>Sprint 1</c:v>
                </c:pt>
                <c:pt idx="2">
                  <c:v>Sprint 2</c:v>
                </c:pt>
                <c:pt idx="3">
                  <c:v>Sprint 3</c:v>
                </c:pt>
                <c:pt idx="4">
                  <c:v>Sprint 4</c:v>
                </c:pt>
                <c:pt idx="5">
                  <c:v>Sprint 5</c:v>
                </c:pt>
                <c:pt idx="6">
                  <c:v>Sprint 6</c:v>
                </c:pt>
              </c:strCache>
            </c:strRef>
          </c:cat>
          <c:val>
            <c:numRef>
              <c:f>'hasil sprint 0-6'!$I$2:$I$8</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3-94A6-4E93-9F9A-320A4C3F4E41}"/>
            </c:ext>
          </c:extLst>
        </c:ser>
        <c:ser>
          <c:idx val="1"/>
          <c:order val="1"/>
          <c:tx>
            <c:v>EV</c:v>
          </c:tx>
          <c:spPr>
            <a:ln w="38100" cap="rnd">
              <a:solidFill>
                <a:schemeClr val="accent4"/>
              </a:solidFill>
              <a:round/>
            </a:ln>
            <a:effectLst/>
          </c:spPr>
          <c:marker>
            <c:symbol val="circle"/>
            <c:size val="8"/>
            <c:spPr>
              <a:solidFill>
                <a:schemeClr val="accent4"/>
              </a:solidFill>
              <a:ln>
                <a:noFill/>
              </a:ln>
              <a:effectLst/>
            </c:spPr>
          </c:marker>
          <c:dLbls>
            <c:dLbl>
              <c:idx val="1"/>
              <c:layout>
                <c:manualLayout>
                  <c:x val="-4.1391059678031465E-2"/>
                  <c:y val="-6.65427686463629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A6-4E93-9F9A-320A4C3F4E41}"/>
                </c:ext>
              </c:extLst>
            </c:dLbl>
            <c:dLbl>
              <c:idx val="2"/>
              <c:layout>
                <c:manualLayout>
                  <c:x val="-3.1938669208372267E-2"/>
                  <c:y val="-8.33125911253679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A6-4E93-9F9A-320A4C3F4E41}"/>
                </c:ext>
              </c:extLst>
            </c:dLbl>
            <c:dLbl>
              <c:idx val="3"/>
              <c:layout>
                <c:manualLayout>
                  <c:x val="-3.9782807004872328E-2"/>
                  <c:y val="-6.486548931335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A6-4E93-9F9A-320A4C3F4E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'hasil sprint 0-6'!$A$2:$A$8</c:f>
              <c:strCache>
                <c:ptCount val="7"/>
                <c:pt idx="0">
                  <c:v>Sprint 0</c:v>
                </c:pt>
                <c:pt idx="1">
                  <c:v>Sprint 1</c:v>
                </c:pt>
                <c:pt idx="2">
                  <c:v>Sprint 2</c:v>
                </c:pt>
                <c:pt idx="3">
                  <c:v>Sprint 3</c:v>
                </c:pt>
                <c:pt idx="4">
                  <c:v>Sprint 4</c:v>
                </c:pt>
                <c:pt idx="5">
                  <c:v>Sprint 5</c:v>
                </c:pt>
                <c:pt idx="6">
                  <c:v>Sprint 6</c:v>
                </c:pt>
              </c:strCache>
            </c:strRef>
          </c:cat>
          <c:val>
            <c:numRef>
              <c:f>'hasil sprint 0-6'!$H$2:$H$8</c:f>
              <c:numCache>
                <c:formatCode>0.00%</c:formatCode>
                <c:ptCount val="7"/>
                <c:pt idx="0">
                  <c:v>0.60040567951318458</c:v>
                </c:pt>
                <c:pt idx="1">
                  <c:v>0.66328600405679516</c:v>
                </c:pt>
                <c:pt idx="2">
                  <c:v>0.72210953346855988</c:v>
                </c:pt>
                <c:pt idx="3">
                  <c:v>0.8052738336713996</c:v>
                </c:pt>
                <c:pt idx="4">
                  <c:v>0.87626774847870181</c:v>
                </c:pt>
                <c:pt idx="5">
                  <c:v>0.91683569979716029</c:v>
                </c:pt>
                <c:pt idx="6">
                  <c:v>1</c:v>
                </c:pt>
              </c:numCache>
            </c:numRef>
          </c:val>
          <c:smooth val="0"/>
          <c:extLst>
            <c:ext xmlns:c16="http://schemas.microsoft.com/office/drawing/2014/chart" uri="{C3380CC4-5D6E-409C-BE32-E72D297353CC}">
              <c16:uniqueId val="{00000004-94A6-4E93-9F9A-320A4C3F4E41}"/>
            </c:ext>
          </c:extLst>
        </c:ser>
        <c:ser>
          <c:idx val="2"/>
          <c:order val="2"/>
          <c:tx>
            <c:v>PV</c:v>
          </c:tx>
          <c:spPr>
            <a:ln w="38100" cap="rnd">
              <a:solidFill>
                <a:schemeClr val="accent6"/>
              </a:solidFill>
              <a:round/>
            </a:ln>
            <a:effectLst/>
          </c:spPr>
          <c:marker>
            <c:symbol val="circle"/>
            <c:size val="8"/>
            <c:spPr>
              <a:solidFill>
                <a:schemeClr val="accent6"/>
              </a:solidFill>
              <a:ln>
                <a:noFill/>
              </a:ln>
              <a:effectLst/>
            </c:spPr>
          </c:marker>
          <c:dLbls>
            <c:dLbl>
              <c:idx val="1"/>
              <c:layout>
                <c:manualLayout>
                  <c:x val="-4.4537062224760185E-2"/>
                  <c:y val="-6.3873660916360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A6-4E93-9F9A-320A4C3F4E41}"/>
                </c:ext>
              </c:extLst>
            </c:dLbl>
            <c:dLbl>
              <c:idx val="2"/>
              <c:layout>
                <c:manualLayout>
                  <c:x val="-2.2613156685200003E-2"/>
                  <c:y val="-6.69348000211719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4A6-4E93-9F9A-320A4C3F4E41}"/>
                </c:ext>
              </c:extLst>
            </c:dLbl>
            <c:dLbl>
              <c:idx val="3"/>
              <c:layout>
                <c:manualLayout>
                  <c:x val="-3.7111712302233174E-2"/>
                  <c:y val="-5.84462775358115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A6-4E93-9F9A-320A4C3F4E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'hasil sprint 0-6'!$A$2:$A$8</c:f>
              <c:strCache>
                <c:ptCount val="7"/>
                <c:pt idx="0">
                  <c:v>Sprint 0</c:v>
                </c:pt>
                <c:pt idx="1">
                  <c:v>Sprint 1</c:v>
                </c:pt>
                <c:pt idx="2">
                  <c:v>Sprint 2</c:v>
                </c:pt>
                <c:pt idx="3">
                  <c:v>Sprint 3</c:v>
                </c:pt>
                <c:pt idx="4">
                  <c:v>Sprint 4</c:v>
                </c:pt>
                <c:pt idx="5">
                  <c:v>Sprint 5</c:v>
                </c:pt>
                <c:pt idx="6">
                  <c:v>Sprint 6</c:v>
                </c:pt>
              </c:strCache>
            </c:strRef>
          </c:cat>
          <c:val>
            <c:numRef>
              <c:f>'hasil sprint 0-6'!$G$2:$G$8</c:f>
              <c:numCache>
                <c:formatCode>0.00%</c:formatCode>
                <c:ptCount val="7"/>
                <c:pt idx="0">
                  <c:v>0.60040567951318458</c:v>
                </c:pt>
                <c:pt idx="1">
                  <c:v>0.66328600405679516</c:v>
                </c:pt>
                <c:pt idx="2">
                  <c:v>0.72210953346855988</c:v>
                </c:pt>
                <c:pt idx="3">
                  <c:v>0.8052738336713996</c:v>
                </c:pt>
                <c:pt idx="4">
                  <c:v>0.87626774847870181</c:v>
                </c:pt>
                <c:pt idx="5">
                  <c:v>0.91683569979716029</c:v>
                </c:pt>
                <c:pt idx="6">
                  <c:v>1</c:v>
                </c:pt>
              </c:numCache>
            </c:numRef>
          </c:val>
          <c:smooth val="0"/>
          <c:extLst>
            <c:ext xmlns:c16="http://schemas.microsoft.com/office/drawing/2014/chart" uri="{C3380CC4-5D6E-409C-BE32-E72D297353CC}">
              <c16:uniqueId val="{00000005-94A6-4E93-9F9A-320A4C3F4E41}"/>
            </c:ext>
          </c:extLst>
        </c:ser>
        <c:dLbls>
          <c:dLblPos val="t"/>
          <c:showLegendKey val="0"/>
          <c:showVal val="1"/>
          <c:showCatName val="0"/>
          <c:showSerName val="0"/>
          <c:showPercent val="0"/>
          <c:showBubbleSize val="0"/>
        </c:dLbls>
        <c:marker val="1"/>
        <c:smooth val="0"/>
        <c:axId val="1636301439"/>
        <c:axId val="1636308639"/>
      </c:lineChart>
      <c:catAx>
        <c:axId val="163630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36308639"/>
        <c:crosses val="autoZero"/>
        <c:auto val="1"/>
        <c:lblAlgn val="ctr"/>
        <c:lblOffset val="100"/>
        <c:noMultiLvlLbl val="0"/>
      </c:catAx>
      <c:valAx>
        <c:axId val="1636308639"/>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1636301439"/>
        <c:crosses val="autoZero"/>
        <c:crossBetween val="between"/>
      </c:valAx>
      <c:dTable>
        <c:showHorzBorder val="1"/>
        <c:showVertBorder val="1"/>
        <c:showOutline val="1"/>
        <c:showKeys val="1"/>
        <c:spPr>
          <a:noFill/>
          <a:ln w="9525">
            <a:solidFill>
              <a:schemeClr val="tx1">
                <a:alpha val="98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2793660</xdr:colOff>
      <xdr:row>88</xdr:row>
      <xdr:rowOff>86843</xdr:rowOff>
    </xdr:from>
    <xdr:to>
      <xdr:col>10</xdr:col>
      <xdr:colOff>424378</xdr:colOff>
      <xdr:row>113</xdr:row>
      <xdr:rowOff>123936</xdr:rowOff>
    </xdr:to>
    <xdr:graphicFrame macro="">
      <xdr:nvGraphicFramePr>
        <xdr:cNvPr id="3" name="Chart 2">
          <a:extLst>
            <a:ext uri="{FF2B5EF4-FFF2-40B4-BE49-F238E27FC236}">
              <a16:creationId xmlns:a16="http://schemas.microsoft.com/office/drawing/2014/main" id="{9FCD6CFD-1E4E-53F8-C74D-F31D2E4BB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713663</xdr:colOff>
      <xdr:row>13</xdr:row>
      <xdr:rowOff>83213</xdr:rowOff>
    </xdr:from>
    <xdr:to>
      <xdr:col>8</xdr:col>
      <xdr:colOff>995149</xdr:colOff>
      <xdr:row>38</xdr:row>
      <xdr:rowOff>66344</xdr:rowOff>
    </xdr:to>
    <xdr:graphicFrame macro="">
      <xdr:nvGraphicFramePr>
        <xdr:cNvPr id="4" name="Chart 3">
          <a:extLst>
            <a:ext uri="{FF2B5EF4-FFF2-40B4-BE49-F238E27FC236}">
              <a16:creationId xmlns:a16="http://schemas.microsoft.com/office/drawing/2014/main" id="{F7077935-4D76-677A-2FD3-F17777907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29396-BD1F-4EA1-BF8F-27298F47C5E2}">
  <dimension ref="A1:Z102"/>
  <sheetViews>
    <sheetView zoomScale="59" workbookViewId="0">
      <selection activeCell="F79" sqref="F79"/>
    </sheetView>
  </sheetViews>
  <sheetFormatPr defaultRowHeight="15.5" x14ac:dyDescent="0.35"/>
  <cols>
    <col min="1" max="1" width="8.7265625" style="5"/>
    <col min="2" max="2" width="10.453125" style="1" customWidth="1"/>
    <col min="3" max="3" width="45.08984375" style="1" customWidth="1"/>
    <col min="4" max="4" width="17.7265625" style="5" customWidth="1"/>
    <col min="5" max="5" width="17.81640625" style="5" customWidth="1"/>
    <col min="6" max="6" width="26.36328125" style="4" customWidth="1"/>
    <col min="7" max="7" width="14.453125" style="1" customWidth="1"/>
    <col min="8" max="16384" width="8.7265625" style="1"/>
  </cols>
  <sheetData>
    <row r="1" spans="1:26" x14ac:dyDescent="0.35">
      <c r="A1" s="4" t="s">
        <v>0</v>
      </c>
      <c r="B1" s="3" t="s">
        <v>1</v>
      </c>
      <c r="C1" s="3" t="s">
        <v>2</v>
      </c>
      <c r="D1" s="4" t="s">
        <v>3</v>
      </c>
      <c r="E1" s="4"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5">
      <c r="A2" s="5">
        <v>1</v>
      </c>
      <c r="B2" s="1" t="s">
        <v>26</v>
      </c>
      <c r="C2" s="1" t="s">
        <v>27</v>
      </c>
      <c r="D2" s="5" t="s">
        <v>28</v>
      </c>
      <c r="E2" s="5" t="s">
        <v>29</v>
      </c>
      <c r="F2" s="4">
        <v>5</v>
      </c>
      <c r="G2" s="1" t="s">
        <v>30</v>
      </c>
      <c r="H2" s="1" t="s">
        <v>31</v>
      </c>
      <c r="I2" s="1" t="s">
        <v>30</v>
      </c>
      <c r="J2" s="1" t="s">
        <v>32</v>
      </c>
      <c r="K2" s="1" t="s">
        <v>32</v>
      </c>
      <c r="L2" s="1" t="s">
        <v>32</v>
      </c>
      <c r="M2" s="1" t="s">
        <v>32</v>
      </c>
      <c r="N2" s="1" t="s">
        <v>32</v>
      </c>
      <c r="O2" s="1" t="s">
        <v>32</v>
      </c>
      <c r="P2" s="1" t="s">
        <v>32</v>
      </c>
      <c r="Q2" s="1" t="s">
        <v>32</v>
      </c>
      <c r="R2" s="1" t="s">
        <v>32</v>
      </c>
      <c r="S2" s="1" t="s">
        <v>32</v>
      </c>
      <c r="T2" s="1" t="s">
        <v>32</v>
      </c>
      <c r="U2" s="1" t="s">
        <v>32</v>
      </c>
      <c r="V2" s="1" t="s">
        <v>32</v>
      </c>
      <c r="W2" s="1" t="s">
        <v>32</v>
      </c>
      <c r="X2" s="1" t="s">
        <v>32</v>
      </c>
      <c r="Y2" s="1" t="s">
        <v>32</v>
      </c>
    </row>
    <row r="3" spans="1:26" x14ac:dyDescent="0.35">
      <c r="A3" s="5">
        <v>2</v>
      </c>
      <c r="B3" s="1" t="s">
        <v>26</v>
      </c>
      <c r="C3" s="1" t="s">
        <v>33</v>
      </c>
      <c r="D3" s="5" t="s">
        <v>34</v>
      </c>
      <c r="E3" s="5" t="s">
        <v>35</v>
      </c>
      <c r="F3" s="4">
        <v>105</v>
      </c>
      <c r="G3" s="1" t="s">
        <v>36</v>
      </c>
      <c r="H3" s="1" t="s">
        <v>31</v>
      </c>
      <c r="I3" s="1" t="s">
        <v>32</v>
      </c>
      <c r="J3" s="1" t="s">
        <v>37</v>
      </c>
      <c r="K3" s="1" t="s">
        <v>37</v>
      </c>
      <c r="L3" s="1" t="s">
        <v>37</v>
      </c>
      <c r="M3" s="1" t="s">
        <v>37</v>
      </c>
      <c r="N3" s="1" t="s">
        <v>37</v>
      </c>
      <c r="O3" s="1" t="s">
        <v>37</v>
      </c>
      <c r="P3" s="1" t="s">
        <v>37</v>
      </c>
      <c r="Q3" s="1" t="s">
        <v>37</v>
      </c>
      <c r="R3" s="1" t="s">
        <v>38</v>
      </c>
      <c r="S3" s="1" t="s">
        <v>32</v>
      </c>
      <c r="T3" s="1" t="s">
        <v>32</v>
      </c>
      <c r="U3" s="1" t="s">
        <v>32</v>
      </c>
      <c r="V3" s="1" t="s">
        <v>32</v>
      </c>
      <c r="W3" s="1" t="s">
        <v>32</v>
      </c>
      <c r="X3" s="1" t="s">
        <v>32</v>
      </c>
      <c r="Y3" s="1" t="s">
        <v>32</v>
      </c>
    </row>
    <row r="4" spans="1:26" x14ac:dyDescent="0.35">
      <c r="A4" s="5">
        <v>3</v>
      </c>
      <c r="B4" s="1" t="s">
        <v>26</v>
      </c>
      <c r="C4" s="1" t="s">
        <v>39</v>
      </c>
      <c r="D4" s="5" t="s">
        <v>40</v>
      </c>
      <c r="E4" s="5" t="s">
        <v>41</v>
      </c>
      <c r="F4" s="4">
        <v>20</v>
      </c>
      <c r="G4" s="1" t="s">
        <v>42</v>
      </c>
      <c r="H4" s="1" t="s">
        <v>31</v>
      </c>
      <c r="I4" s="1" t="s">
        <v>32</v>
      </c>
      <c r="J4" s="1" t="s">
        <v>32</v>
      </c>
      <c r="K4" s="1" t="s">
        <v>32</v>
      </c>
      <c r="L4" s="1" t="s">
        <v>32</v>
      </c>
      <c r="M4" s="1" t="s">
        <v>32</v>
      </c>
      <c r="N4" s="1" t="s">
        <v>43</v>
      </c>
      <c r="O4" s="1" t="s">
        <v>43</v>
      </c>
      <c r="P4" s="1" t="s">
        <v>32</v>
      </c>
      <c r="Q4" s="1" t="s">
        <v>32</v>
      </c>
      <c r="R4" s="1" t="s">
        <v>32</v>
      </c>
      <c r="S4" s="1" t="s">
        <v>32</v>
      </c>
      <c r="T4" s="1" t="s">
        <v>32</v>
      </c>
      <c r="U4" s="1" t="s">
        <v>32</v>
      </c>
      <c r="V4" s="1" t="s">
        <v>32</v>
      </c>
      <c r="W4" s="1" t="s">
        <v>32</v>
      </c>
      <c r="X4" s="1" t="s">
        <v>32</v>
      </c>
      <c r="Y4" s="1" t="s">
        <v>32</v>
      </c>
    </row>
    <row r="5" spans="1:26" x14ac:dyDescent="0.35">
      <c r="A5" s="5">
        <v>4</v>
      </c>
      <c r="B5" s="1" t="s">
        <v>26</v>
      </c>
      <c r="C5" s="1" t="s">
        <v>44</v>
      </c>
      <c r="D5" s="5" t="s">
        <v>45</v>
      </c>
      <c r="E5" s="5" t="s">
        <v>46</v>
      </c>
      <c r="F5" s="4">
        <v>30</v>
      </c>
      <c r="G5" s="1" t="s">
        <v>47</v>
      </c>
      <c r="H5" s="1" t="s">
        <v>31</v>
      </c>
      <c r="I5" s="1" t="s">
        <v>32</v>
      </c>
      <c r="J5" s="1" t="s">
        <v>32</v>
      </c>
      <c r="K5" s="1" t="s">
        <v>32</v>
      </c>
      <c r="L5" s="1" t="s">
        <v>32</v>
      </c>
      <c r="M5" s="1" t="s">
        <v>32</v>
      </c>
      <c r="N5" s="1" t="s">
        <v>32</v>
      </c>
      <c r="O5" s="1" t="s">
        <v>43</v>
      </c>
      <c r="P5" s="1" t="s">
        <v>43</v>
      </c>
      <c r="Q5" s="1" t="s">
        <v>43</v>
      </c>
      <c r="R5" s="1" t="s">
        <v>32</v>
      </c>
      <c r="S5" s="1" t="s">
        <v>32</v>
      </c>
      <c r="T5" s="1" t="s">
        <v>32</v>
      </c>
      <c r="U5" s="1" t="s">
        <v>32</v>
      </c>
      <c r="V5" s="1" t="s">
        <v>32</v>
      </c>
      <c r="W5" s="1" t="s">
        <v>32</v>
      </c>
      <c r="X5" s="1" t="s">
        <v>32</v>
      </c>
      <c r="Y5" s="1" t="s">
        <v>32</v>
      </c>
    </row>
    <row r="6" spans="1:26" x14ac:dyDescent="0.35">
      <c r="A6" s="5">
        <v>5</v>
      </c>
      <c r="B6" s="1" t="s">
        <v>26</v>
      </c>
      <c r="C6" s="1" t="s">
        <v>48</v>
      </c>
      <c r="D6" s="5" t="s">
        <v>49</v>
      </c>
      <c r="E6" s="5" t="s">
        <v>50</v>
      </c>
      <c r="F6" s="4">
        <v>30</v>
      </c>
      <c r="G6" s="1" t="s">
        <v>47</v>
      </c>
      <c r="H6" s="1" t="s">
        <v>31</v>
      </c>
      <c r="I6" s="1" t="s">
        <v>32</v>
      </c>
      <c r="J6" s="1" t="s">
        <v>32</v>
      </c>
      <c r="K6" s="1" t="s">
        <v>32</v>
      </c>
      <c r="L6" s="1" t="s">
        <v>32</v>
      </c>
      <c r="M6" s="1" t="s">
        <v>32</v>
      </c>
      <c r="N6" s="1" t="s">
        <v>32</v>
      </c>
      <c r="O6" s="1" t="s">
        <v>32</v>
      </c>
      <c r="P6" s="1" t="s">
        <v>32</v>
      </c>
      <c r="Q6" s="1" t="s">
        <v>43</v>
      </c>
      <c r="R6" s="1" t="s">
        <v>42</v>
      </c>
      <c r="S6" s="1" t="s">
        <v>32</v>
      </c>
      <c r="T6" s="1" t="s">
        <v>32</v>
      </c>
      <c r="U6" s="1" t="s">
        <v>32</v>
      </c>
      <c r="V6" s="1" t="s">
        <v>32</v>
      </c>
      <c r="W6" s="1" t="s">
        <v>32</v>
      </c>
      <c r="X6" s="1" t="s">
        <v>32</v>
      </c>
      <c r="Y6" s="1" t="s">
        <v>32</v>
      </c>
    </row>
    <row r="7" spans="1:26" x14ac:dyDescent="0.35">
      <c r="A7" s="5">
        <v>6</v>
      </c>
      <c r="B7" s="1" t="s">
        <v>26</v>
      </c>
      <c r="C7" s="1" t="s">
        <v>51</v>
      </c>
      <c r="D7" s="5" t="s">
        <v>52</v>
      </c>
      <c r="E7" s="5" t="s">
        <v>53</v>
      </c>
      <c r="F7" s="4">
        <v>6</v>
      </c>
      <c r="G7" s="1" t="s">
        <v>54</v>
      </c>
      <c r="H7" s="1" t="s">
        <v>31</v>
      </c>
      <c r="I7" s="1" t="s">
        <v>32</v>
      </c>
      <c r="J7" s="1" t="s">
        <v>32</v>
      </c>
      <c r="K7" s="1" t="s">
        <v>32</v>
      </c>
      <c r="L7" s="1" t="s">
        <v>32</v>
      </c>
      <c r="M7" s="1" t="s">
        <v>32</v>
      </c>
      <c r="N7" s="1" t="s">
        <v>32</v>
      </c>
      <c r="O7" s="1" t="s">
        <v>32</v>
      </c>
      <c r="P7" s="1" t="s">
        <v>32</v>
      </c>
      <c r="Q7" s="1" t="s">
        <v>32</v>
      </c>
      <c r="R7" s="1" t="s">
        <v>55</v>
      </c>
      <c r="S7" s="1" t="s">
        <v>55</v>
      </c>
      <c r="T7" s="1" t="s">
        <v>32</v>
      </c>
      <c r="U7" s="1" t="s">
        <v>32</v>
      </c>
      <c r="V7" s="1" t="s">
        <v>32</v>
      </c>
      <c r="W7" s="1" t="s">
        <v>32</v>
      </c>
      <c r="X7" s="1" t="s">
        <v>32</v>
      </c>
      <c r="Y7" s="1" t="s">
        <v>32</v>
      </c>
    </row>
    <row r="10" spans="1:26" x14ac:dyDescent="0.35">
      <c r="A10" s="5">
        <v>1</v>
      </c>
      <c r="B10" s="1" t="s">
        <v>56</v>
      </c>
      <c r="C10" s="1" t="s">
        <v>57</v>
      </c>
      <c r="D10" s="5" t="s">
        <v>58</v>
      </c>
      <c r="E10" s="5" t="s">
        <v>58</v>
      </c>
      <c r="F10" s="4">
        <v>1</v>
      </c>
      <c r="G10" s="1" t="s">
        <v>59</v>
      </c>
      <c r="H10" s="1" t="s">
        <v>31</v>
      </c>
      <c r="I10" s="1" t="s">
        <v>32</v>
      </c>
      <c r="J10" s="1" t="s">
        <v>32</v>
      </c>
      <c r="K10" s="1" t="s">
        <v>32</v>
      </c>
      <c r="L10" s="1" t="s">
        <v>32</v>
      </c>
      <c r="M10" s="1" t="s">
        <v>32</v>
      </c>
      <c r="N10" s="1" t="s">
        <v>32</v>
      </c>
      <c r="O10" s="1" t="s">
        <v>32</v>
      </c>
      <c r="P10" s="1" t="s">
        <v>32</v>
      </c>
      <c r="Q10" s="1" t="s">
        <v>32</v>
      </c>
      <c r="R10" s="1" t="s">
        <v>32</v>
      </c>
      <c r="S10" s="1" t="s">
        <v>59</v>
      </c>
      <c r="T10" s="1" t="s">
        <v>32</v>
      </c>
      <c r="U10" s="1" t="s">
        <v>32</v>
      </c>
      <c r="V10" s="1" t="s">
        <v>32</v>
      </c>
      <c r="W10" s="1" t="s">
        <v>32</v>
      </c>
      <c r="X10" s="1" t="s">
        <v>32</v>
      </c>
      <c r="Y10" s="1" t="s">
        <v>32</v>
      </c>
    </row>
    <row r="11" spans="1:26" x14ac:dyDescent="0.35">
      <c r="A11" s="5">
        <v>2</v>
      </c>
      <c r="B11" s="1" t="s">
        <v>56</v>
      </c>
      <c r="C11" s="1" t="s">
        <v>60</v>
      </c>
      <c r="D11" s="5" t="s">
        <v>61</v>
      </c>
      <c r="E11" s="5" t="s">
        <v>62</v>
      </c>
      <c r="F11" s="4">
        <v>5</v>
      </c>
      <c r="G11" s="1" t="s">
        <v>30</v>
      </c>
      <c r="H11" s="1" t="s">
        <v>31</v>
      </c>
      <c r="I11" s="1" t="s">
        <v>32</v>
      </c>
      <c r="J11" s="1" t="s">
        <v>32</v>
      </c>
      <c r="K11" s="1" t="s">
        <v>32</v>
      </c>
      <c r="L11" s="1" t="s">
        <v>32</v>
      </c>
      <c r="M11" s="1" t="s">
        <v>32</v>
      </c>
      <c r="N11" s="1" t="s">
        <v>32</v>
      </c>
      <c r="O11" s="1" t="s">
        <v>32</v>
      </c>
      <c r="P11" s="1" t="s">
        <v>32</v>
      </c>
      <c r="Q11" s="1" t="s">
        <v>32</v>
      </c>
      <c r="R11" s="1" t="s">
        <v>32</v>
      </c>
      <c r="S11" s="1" t="s">
        <v>30</v>
      </c>
      <c r="T11" s="1" t="s">
        <v>32</v>
      </c>
      <c r="U11" s="1" t="s">
        <v>32</v>
      </c>
      <c r="V11" s="1" t="s">
        <v>32</v>
      </c>
      <c r="W11" s="1" t="s">
        <v>32</v>
      </c>
      <c r="X11" s="1" t="s">
        <v>32</v>
      </c>
      <c r="Y11" s="1" t="s">
        <v>32</v>
      </c>
    </row>
    <row r="12" spans="1:26" x14ac:dyDescent="0.35">
      <c r="A12" s="5">
        <v>3</v>
      </c>
      <c r="B12" s="1" t="s">
        <v>56</v>
      </c>
      <c r="C12" s="1" t="s">
        <v>63</v>
      </c>
      <c r="D12" s="5" t="s">
        <v>64</v>
      </c>
      <c r="E12" s="5" t="s">
        <v>65</v>
      </c>
      <c r="F12" s="4">
        <v>5</v>
      </c>
      <c r="G12" s="1" t="s">
        <v>30</v>
      </c>
      <c r="H12" s="1" t="s">
        <v>31</v>
      </c>
      <c r="I12" s="1" t="s">
        <v>32</v>
      </c>
      <c r="J12" s="1" t="s">
        <v>32</v>
      </c>
      <c r="K12" s="1" t="s">
        <v>32</v>
      </c>
      <c r="L12" s="1" t="s">
        <v>32</v>
      </c>
      <c r="M12" s="1" t="s">
        <v>32</v>
      </c>
      <c r="N12" s="1" t="s">
        <v>32</v>
      </c>
      <c r="O12" s="1" t="s">
        <v>32</v>
      </c>
      <c r="P12" s="1" t="s">
        <v>32</v>
      </c>
      <c r="Q12" s="1" t="s">
        <v>32</v>
      </c>
      <c r="R12" s="1" t="s">
        <v>32</v>
      </c>
      <c r="S12" s="1" t="s">
        <v>30</v>
      </c>
      <c r="T12" s="1" t="s">
        <v>32</v>
      </c>
      <c r="U12" s="1" t="s">
        <v>32</v>
      </c>
      <c r="V12" s="1" t="s">
        <v>32</v>
      </c>
      <c r="W12" s="1" t="s">
        <v>32</v>
      </c>
      <c r="X12" s="1" t="s">
        <v>32</v>
      </c>
      <c r="Y12" s="1" t="s">
        <v>32</v>
      </c>
    </row>
    <row r="13" spans="1:26" x14ac:dyDescent="0.35">
      <c r="A13" s="5">
        <v>4</v>
      </c>
      <c r="B13" s="1" t="s">
        <v>56</v>
      </c>
      <c r="C13" s="1" t="s">
        <v>66</v>
      </c>
      <c r="D13" s="5" t="s">
        <v>67</v>
      </c>
      <c r="E13" s="5" t="s">
        <v>67</v>
      </c>
      <c r="F13" s="4">
        <v>1</v>
      </c>
      <c r="G13" s="1" t="s">
        <v>59</v>
      </c>
      <c r="H13" s="1" t="s">
        <v>31</v>
      </c>
      <c r="I13" s="1" t="s">
        <v>32</v>
      </c>
      <c r="J13" s="1" t="s">
        <v>32</v>
      </c>
      <c r="K13" s="1" t="s">
        <v>32</v>
      </c>
      <c r="L13" s="1" t="s">
        <v>32</v>
      </c>
      <c r="M13" s="1" t="s">
        <v>32</v>
      </c>
      <c r="N13" s="1" t="s">
        <v>32</v>
      </c>
      <c r="O13" s="1" t="s">
        <v>32</v>
      </c>
      <c r="P13" s="1" t="s">
        <v>32</v>
      </c>
      <c r="Q13" s="1" t="s">
        <v>32</v>
      </c>
      <c r="R13" s="1" t="s">
        <v>32</v>
      </c>
      <c r="S13" s="1" t="s">
        <v>59</v>
      </c>
      <c r="T13" s="1" t="s">
        <v>32</v>
      </c>
      <c r="U13" s="1" t="s">
        <v>32</v>
      </c>
      <c r="V13" s="1" t="s">
        <v>32</v>
      </c>
      <c r="W13" s="1" t="s">
        <v>32</v>
      </c>
      <c r="X13" s="1" t="s">
        <v>32</v>
      </c>
      <c r="Y13" s="1" t="s">
        <v>32</v>
      </c>
    </row>
    <row r="14" spans="1:26" x14ac:dyDescent="0.35">
      <c r="A14" s="5">
        <v>5</v>
      </c>
      <c r="B14" s="1" t="s">
        <v>56</v>
      </c>
      <c r="C14" s="1" t="s">
        <v>68</v>
      </c>
      <c r="D14" s="5" t="s">
        <v>69</v>
      </c>
      <c r="E14" s="5" t="s">
        <v>70</v>
      </c>
      <c r="F14" s="4">
        <v>5</v>
      </c>
      <c r="G14" s="1" t="s">
        <v>30</v>
      </c>
      <c r="H14" s="1" t="s">
        <v>31</v>
      </c>
      <c r="I14" s="1" t="s">
        <v>32</v>
      </c>
      <c r="J14" s="1" t="s">
        <v>32</v>
      </c>
      <c r="K14" s="1" t="s">
        <v>32</v>
      </c>
      <c r="L14" s="1" t="s">
        <v>32</v>
      </c>
      <c r="M14" s="1" t="s">
        <v>32</v>
      </c>
      <c r="N14" s="1" t="s">
        <v>32</v>
      </c>
      <c r="O14" s="1" t="s">
        <v>32</v>
      </c>
      <c r="P14" s="1" t="s">
        <v>32</v>
      </c>
      <c r="Q14" s="1" t="s">
        <v>32</v>
      </c>
      <c r="R14" s="1" t="s">
        <v>32</v>
      </c>
      <c r="S14" s="1" t="s">
        <v>30</v>
      </c>
      <c r="T14" s="1" t="s">
        <v>32</v>
      </c>
      <c r="U14" s="1" t="s">
        <v>32</v>
      </c>
      <c r="V14" s="1" t="s">
        <v>32</v>
      </c>
      <c r="W14" s="1" t="s">
        <v>32</v>
      </c>
      <c r="X14" s="1" t="s">
        <v>32</v>
      </c>
      <c r="Y14" s="1" t="s">
        <v>32</v>
      </c>
    </row>
    <row r="15" spans="1:26" x14ac:dyDescent="0.35">
      <c r="A15" s="5">
        <v>6</v>
      </c>
      <c r="B15" s="1" t="s">
        <v>56</v>
      </c>
      <c r="C15" s="1" t="s">
        <v>71</v>
      </c>
      <c r="D15" s="5" t="s">
        <v>72</v>
      </c>
      <c r="E15" s="5" t="s">
        <v>73</v>
      </c>
      <c r="F15" s="4">
        <v>2</v>
      </c>
      <c r="G15" s="1" t="s">
        <v>74</v>
      </c>
      <c r="H15" s="1" t="s">
        <v>31</v>
      </c>
      <c r="I15" s="1" t="s">
        <v>32</v>
      </c>
      <c r="J15" s="1" t="s">
        <v>32</v>
      </c>
      <c r="K15" s="1" t="s">
        <v>32</v>
      </c>
      <c r="L15" s="1" t="s">
        <v>32</v>
      </c>
      <c r="M15" s="1" t="s">
        <v>32</v>
      </c>
      <c r="N15" s="1" t="s">
        <v>32</v>
      </c>
      <c r="O15" s="1" t="s">
        <v>32</v>
      </c>
      <c r="P15" s="1" t="s">
        <v>32</v>
      </c>
      <c r="Q15" s="1" t="s">
        <v>32</v>
      </c>
      <c r="R15" s="1" t="s">
        <v>32</v>
      </c>
      <c r="S15" s="1" t="s">
        <v>74</v>
      </c>
      <c r="T15" s="1" t="s">
        <v>32</v>
      </c>
      <c r="U15" s="1" t="s">
        <v>32</v>
      </c>
      <c r="V15" s="1" t="s">
        <v>32</v>
      </c>
      <c r="W15" s="1" t="s">
        <v>32</v>
      </c>
      <c r="X15" s="1" t="s">
        <v>32</v>
      </c>
      <c r="Y15" s="1" t="s">
        <v>32</v>
      </c>
    </row>
    <row r="16" spans="1:26" x14ac:dyDescent="0.35">
      <c r="A16" s="5">
        <v>7</v>
      </c>
      <c r="B16" s="1" t="s">
        <v>56</v>
      </c>
      <c r="C16" s="1" t="s">
        <v>75</v>
      </c>
      <c r="D16" s="5" t="s">
        <v>76</v>
      </c>
      <c r="E16" s="5" t="s">
        <v>77</v>
      </c>
      <c r="F16" s="4">
        <v>2</v>
      </c>
      <c r="G16" s="1" t="s">
        <v>74</v>
      </c>
      <c r="H16" s="1" t="s">
        <v>31</v>
      </c>
      <c r="I16" s="1" t="s">
        <v>32</v>
      </c>
      <c r="J16" s="1" t="s">
        <v>32</v>
      </c>
      <c r="K16" s="1" t="s">
        <v>32</v>
      </c>
      <c r="L16" s="1" t="s">
        <v>32</v>
      </c>
      <c r="M16" s="1" t="s">
        <v>32</v>
      </c>
      <c r="N16" s="1" t="s">
        <v>32</v>
      </c>
      <c r="O16" s="1" t="s">
        <v>32</v>
      </c>
      <c r="P16" s="1" t="s">
        <v>32</v>
      </c>
      <c r="Q16" s="1" t="s">
        <v>32</v>
      </c>
      <c r="R16" s="1" t="s">
        <v>32</v>
      </c>
      <c r="S16" s="1" t="s">
        <v>32</v>
      </c>
      <c r="T16" s="1" t="s">
        <v>74</v>
      </c>
      <c r="U16" s="1" t="s">
        <v>32</v>
      </c>
      <c r="V16" s="1" t="s">
        <v>32</v>
      </c>
      <c r="W16" s="1" t="s">
        <v>32</v>
      </c>
      <c r="X16" s="1" t="s">
        <v>32</v>
      </c>
      <c r="Y16" s="1" t="s">
        <v>32</v>
      </c>
    </row>
    <row r="18" spans="1:25" x14ac:dyDescent="0.35">
      <c r="A18" s="5">
        <v>1</v>
      </c>
      <c r="B18" s="1" t="s">
        <v>78</v>
      </c>
      <c r="C18" s="1" t="s">
        <v>79</v>
      </c>
      <c r="D18" s="5" t="s">
        <v>77</v>
      </c>
      <c r="E18" s="5" t="s">
        <v>77</v>
      </c>
      <c r="F18" s="4">
        <v>1</v>
      </c>
      <c r="G18" s="1" t="s">
        <v>59</v>
      </c>
      <c r="H18" s="1" t="s">
        <v>31</v>
      </c>
      <c r="I18" s="1" t="s">
        <v>32</v>
      </c>
      <c r="J18" s="1" t="s">
        <v>32</v>
      </c>
      <c r="K18" s="1" t="s">
        <v>32</v>
      </c>
      <c r="L18" s="1" t="s">
        <v>32</v>
      </c>
      <c r="M18" s="1" t="s">
        <v>32</v>
      </c>
      <c r="N18" s="1" t="s">
        <v>32</v>
      </c>
      <c r="O18" s="1" t="s">
        <v>32</v>
      </c>
      <c r="P18" s="1" t="s">
        <v>32</v>
      </c>
      <c r="Q18" s="1" t="s">
        <v>32</v>
      </c>
      <c r="R18" s="1" t="s">
        <v>32</v>
      </c>
      <c r="S18" s="1" t="s">
        <v>32</v>
      </c>
      <c r="T18" s="1" t="s">
        <v>59</v>
      </c>
      <c r="U18" s="1" t="s">
        <v>32</v>
      </c>
      <c r="V18" s="1" t="s">
        <v>32</v>
      </c>
      <c r="W18" s="1" t="s">
        <v>32</v>
      </c>
      <c r="X18" s="1" t="s">
        <v>32</v>
      </c>
      <c r="Y18" s="1" t="s">
        <v>32</v>
      </c>
    </row>
    <row r="19" spans="1:25" x14ac:dyDescent="0.35">
      <c r="A19" s="5">
        <v>2</v>
      </c>
      <c r="B19" s="1" t="s">
        <v>78</v>
      </c>
      <c r="C19" s="1" t="s">
        <v>80</v>
      </c>
      <c r="D19" s="5" t="s">
        <v>81</v>
      </c>
      <c r="E19" s="5" t="s">
        <v>82</v>
      </c>
      <c r="F19" s="4">
        <v>5</v>
      </c>
      <c r="G19" s="1" t="s">
        <v>30</v>
      </c>
      <c r="H19" s="1" t="s">
        <v>31</v>
      </c>
      <c r="I19" s="1" t="s">
        <v>32</v>
      </c>
      <c r="J19" s="1" t="s">
        <v>32</v>
      </c>
      <c r="K19" s="1" t="s">
        <v>32</v>
      </c>
      <c r="L19" s="1" t="s">
        <v>32</v>
      </c>
      <c r="M19" s="1" t="s">
        <v>32</v>
      </c>
      <c r="N19" s="1" t="s">
        <v>32</v>
      </c>
      <c r="O19" s="1" t="s">
        <v>32</v>
      </c>
      <c r="P19" s="1" t="s">
        <v>32</v>
      </c>
      <c r="Q19" s="1" t="s">
        <v>32</v>
      </c>
      <c r="R19" s="1" t="s">
        <v>32</v>
      </c>
      <c r="S19" s="1" t="s">
        <v>32</v>
      </c>
      <c r="T19" s="1" t="s">
        <v>30</v>
      </c>
      <c r="U19" s="1" t="s">
        <v>32</v>
      </c>
      <c r="V19" s="1" t="s">
        <v>32</v>
      </c>
      <c r="W19" s="1" t="s">
        <v>32</v>
      </c>
      <c r="X19" s="1" t="s">
        <v>32</v>
      </c>
      <c r="Y19" s="1" t="s">
        <v>32</v>
      </c>
    </row>
    <row r="20" spans="1:25" x14ac:dyDescent="0.35">
      <c r="A20" s="5">
        <v>3</v>
      </c>
      <c r="B20" s="1" t="s">
        <v>78</v>
      </c>
      <c r="C20" s="1" t="s">
        <v>83</v>
      </c>
      <c r="D20" s="5" t="s">
        <v>84</v>
      </c>
      <c r="E20" s="5" t="s">
        <v>85</v>
      </c>
      <c r="F20" s="4">
        <v>5</v>
      </c>
      <c r="G20" s="1" t="s">
        <v>30</v>
      </c>
      <c r="H20" s="1" t="s">
        <v>31</v>
      </c>
      <c r="I20" s="1" t="s">
        <v>32</v>
      </c>
      <c r="J20" s="1" t="s">
        <v>32</v>
      </c>
      <c r="K20" s="1" t="s">
        <v>32</v>
      </c>
      <c r="L20" s="1" t="s">
        <v>32</v>
      </c>
      <c r="M20" s="1" t="s">
        <v>32</v>
      </c>
      <c r="N20" s="1" t="s">
        <v>32</v>
      </c>
      <c r="O20" s="1" t="s">
        <v>32</v>
      </c>
      <c r="P20" s="1" t="s">
        <v>32</v>
      </c>
      <c r="Q20" s="1" t="s">
        <v>32</v>
      </c>
      <c r="R20" s="1" t="s">
        <v>32</v>
      </c>
      <c r="S20" s="1" t="s">
        <v>32</v>
      </c>
      <c r="T20" s="1" t="s">
        <v>30</v>
      </c>
      <c r="U20" s="1" t="s">
        <v>32</v>
      </c>
      <c r="V20" s="1" t="s">
        <v>32</v>
      </c>
      <c r="W20" s="1" t="s">
        <v>32</v>
      </c>
      <c r="X20" s="1" t="s">
        <v>32</v>
      </c>
      <c r="Y20" s="1" t="s">
        <v>32</v>
      </c>
    </row>
    <row r="21" spans="1:25" x14ac:dyDescent="0.35">
      <c r="A21" s="5">
        <v>4</v>
      </c>
      <c r="B21" s="1" t="s">
        <v>78</v>
      </c>
      <c r="C21" s="1" t="s">
        <v>86</v>
      </c>
      <c r="D21" s="5" t="s">
        <v>87</v>
      </c>
      <c r="E21" s="5" t="s">
        <v>88</v>
      </c>
      <c r="F21" s="4">
        <v>5</v>
      </c>
      <c r="G21" s="1" t="s">
        <v>30</v>
      </c>
      <c r="H21" s="1" t="s">
        <v>31</v>
      </c>
      <c r="I21" s="1" t="s">
        <v>32</v>
      </c>
      <c r="J21" s="1" t="s">
        <v>32</v>
      </c>
      <c r="K21" s="1" t="s">
        <v>32</v>
      </c>
      <c r="L21" s="1" t="s">
        <v>32</v>
      </c>
      <c r="M21" s="1" t="s">
        <v>32</v>
      </c>
      <c r="N21" s="1" t="s">
        <v>32</v>
      </c>
      <c r="O21" s="1" t="s">
        <v>32</v>
      </c>
      <c r="P21" s="1" t="s">
        <v>32</v>
      </c>
      <c r="Q21" s="1" t="s">
        <v>32</v>
      </c>
      <c r="R21" s="1" t="s">
        <v>32</v>
      </c>
      <c r="S21" s="1" t="s">
        <v>32</v>
      </c>
      <c r="T21" s="1" t="s">
        <v>30</v>
      </c>
      <c r="U21" s="1" t="s">
        <v>32</v>
      </c>
      <c r="V21" s="1" t="s">
        <v>32</v>
      </c>
      <c r="W21" s="1" t="s">
        <v>32</v>
      </c>
      <c r="X21" s="1" t="s">
        <v>32</v>
      </c>
      <c r="Y21" s="1" t="s">
        <v>32</v>
      </c>
    </row>
    <row r="22" spans="1:25" x14ac:dyDescent="0.35">
      <c r="A22" s="5">
        <v>5</v>
      </c>
      <c r="B22" s="1" t="s">
        <v>78</v>
      </c>
      <c r="C22" s="1" t="s">
        <v>89</v>
      </c>
      <c r="D22" s="5" t="s">
        <v>90</v>
      </c>
      <c r="E22" s="5" t="s">
        <v>91</v>
      </c>
      <c r="F22" s="4">
        <v>5</v>
      </c>
      <c r="G22" s="1" t="s">
        <v>30</v>
      </c>
      <c r="H22" s="1" t="s">
        <v>31</v>
      </c>
      <c r="I22" s="1" t="s">
        <v>32</v>
      </c>
      <c r="J22" s="1" t="s">
        <v>32</v>
      </c>
      <c r="K22" s="1" t="s">
        <v>32</v>
      </c>
      <c r="L22" s="1" t="s">
        <v>32</v>
      </c>
      <c r="M22" s="1" t="s">
        <v>32</v>
      </c>
      <c r="N22" s="1" t="s">
        <v>32</v>
      </c>
      <c r="O22" s="1" t="s">
        <v>32</v>
      </c>
      <c r="P22" s="1" t="s">
        <v>32</v>
      </c>
      <c r="Q22" s="1" t="s">
        <v>32</v>
      </c>
      <c r="R22" s="1" t="s">
        <v>32</v>
      </c>
      <c r="S22" s="1" t="s">
        <v>32</v>
      </c>
      <c r="T22" s="1" t="s">
        <v>30</v>
      </c>
      <c r="U22" s="1" t="s">
        <v>32</v>
      </c>
      <c r="V22" s="1" t="s">
        <v>32</v>
      </c>
      <c r="W22" s="1" t="s">
        <v>32</v>
      </c>
      <c r="X22" s="1" t="s">
        <v>32</v>
      </c>
      <c r="Y22" s="1" t="s">
        <v>32</v>
      </c>
    </row>
    <row r="24" spans="1:25" x14ac:dyDescent="0.35">
      <c r="A24" s="5">
        <v>1</v>
      </c>
      <c r="B24" s="1" t="s">
        <v>92</v>
      </c>
      <c r="C24" s="1" t="s">
        <v>93</v>
      </c>
      <c r="D24" s="5" t="s">
        <v>94</v>
      </c>
      <c r="E24" s="5" t="s">
        <v>94</v>
      </c>
      <c r="F24" s="4">
        <v>1</v>
      </c>
      <c r="G24" s="1" t="s">
        <v>59</v>
      </c>
      <c r="H24" s="1" t="s">
        <v>31</v>
      </c>
      <c r="I24" s="1" t="s">
        <v>32</v>
      </c>
      <c r="J24" s="1" t="s">
        <v>32</v>
      </c>
      <c r="K24" s="1" t="s">
        <v>32</v>
      </c>
      <c r="L24" s="1" t="s">
        <v>32</v>
      </c>
      <c r="M24" s="1" t="s">
        <v>32</v>
      </c>
      <c r="N24" s="1" t="s">
        <v>32</v>
      </c>
      <c r="O24" s="1" t="s">
        <v>32</v>
      </c>
      <c r="P24" s="1" t="s">
        <v>32</v>
      </c>
      <c r="Q24" s="1" t="s">
        <v>32</v>
      </c>
      <c r="R24" s="1" t="s">
        <v>32</v>
      </c>
      <c r="S24" s="1" t="s">
        <v>32</v>
      </c>
      <c r="T24" s="1" t="s">
        <v>59</v>
      </c>
      <c r="U24" s="1" t="s">
        <v>32</v>
      </c>
      <c r="V24" s="1" t="s">
        <v>32</v>
      </c>
      <c r="W24" s="1" t="s">
        <v>32</v>
      </c>
      <c r="X24" s="1" t="s">
        <v>32</v>
      </c>
      <c r="Y24" s="1" t="s">
        <v>32</v>
      </c>
    </row>
    <row r="25" spans="1:25" x14ac:dyDescent="0.35">
      <c r="A25" s="5">
        <v>2</v>
      </c>
      <c r="B25" s="1" t="s">
        <v>92</v>
      </c>
      <c r="C25" s="1" t="s">
        <v>95</v>
      </c>
      <c r="D25" s="5" t="s">
        <v>96</v>
      </c>
      <c r="E25" s="5" t="s">
        <v>97</v>
      </c>
      <c r="F25" s="4">
        <v>5</v>
      </c>
      <c r="G25" s="1" t="s">
        <v>30</v>
      </c>
      <c r="H25" s="1" t="s">
        <v>31</v>
      </c>
      <c r="I25" s="1" t="s">
        <v>32</v>
      </c>
      <c r="J25" s="1" t="s">
        <v>32</v>
      </c>
      <c r="K25" s="1" t="s">
        <v>32</v>
      </c>
      <c r="L25" s="1" t="s">
        <v>32</v>
      </c>
      <c r="M25" s="1" t="s">
        <v>32</v>
      </c>
      <c r="N25" s="1" t="s">
        <v>32</v>
      </c>
      <c r="O25" s="1" t="s">
        <v>32</v>
      </c>
      <c r="P25" s="1" t="s">
        <v>32</v>
      </c>
      <c r="Q25" s="1" t="s">
        <v>32</v>
      </c>
      <c r="R25" s="1" t="s">
        <v>32</v>
      </c>
      <c r="S25" s="1" t="s">
        <v>32</v>
      </c>
      <c r="T25" s="1" t="s">
        <v>30</v>
      </c>
      <c r="U25" s="1" t="s">
        <v>32</v>
      </c>
      <c r="V25" s="1" t="s">
        <v>32</v>
      </c>
      <c r="W25" s="1" t="s">
        <v>32</v>
      </c>
      <c r="X25" s="1" t="s">
        <v>32</v>
      </c>
      <c r="Y25" s="1" t="s">
        <v>32</v>
      </c>
    </row>
    <row r="26" spans="1:25" x14ac:dyDescent="0.35">
      <c r="A26" s="5">
        <v>3</v>
      </c>
      <c r="B26" s="1" t="s">
        <v>92</v>
      </c>
      <c r="C26" s="1" t="s">
        <v>98</v>
      </c>
      <c r="D26" s="5" t="s">
        <v>99</v>
      </c>
      <c r="E26" s="5" t="s">
        <v>100</v>
      </c>
      <c r="F26" s="4">
        <v>5</v>
      </c>
      <c r="G26" s="1" t="s">
        <v>30</v>
      </c>
      <c r="H26" s="1" t="s">
        <v>31</v>
      </c>
      <c r="I26" s="1" t="s">
        <v>32</v>
      </c>
      <c r="J26" s="1" t="s">
        <v>32</v>
      </c>
      <c r="K26" s="1" t="s">
        <v>32</v>
      </c>
      <c r="L26" s="1" t="s">
        <v>32</v>
      </c>
      <c r="M26" s="1" t="s">
        <v>32</v>
      </c>
      <c r="N26" s="1" t="s">
        <v>32</v>
      </c>
      <c r="O26" s="1" t="s">
        <v>32</v>
      </c>
      <c r="P26" s="1" t="s">
        <v>32</v>
      </c>
      <c r="Q26" s="1" t="s">
        <v>32</v>
      </c>
      <c r="R26" s="1" t="s">
        <v>32</v>
      </c>
      <c r="S26" s="1" t="s">
        <v>32</v>
      </c>
      <c r="T26" s="1" t="s">
        <v>30</v>
      </c>
      <c r="U26" s="1" t="s">
        <v>32</v>
      </c>
      <c r="V26" s="1" t="s">
        <v>32</v>
      </c>
      <c r="W26" s="1" t="s">
        <v>32</v>
      </c>
      <c r="X26" s="1" t="s">
        <v>32</v>
      </c>
      <c r="Y26" s="1" t="s">
        <v>32</v>
      </c>
    </row>
    <row r="27" spans="1:25" x14ac:dyDescent="0.35">
      <c r="A27" s="5">
        <v>4</v>
      </c>
      <c r="B27" s="1" t="s">
        <v>92</v>
      </c>
      <c r="C27" s="1" t="s">
        <v>101</v>
      </c>
      <c r="D27" s="5" t="s">
        <v>102</v>
      </c>
      <c r="E27" s="5" t="s">
        <v>103</v>
      </c>
      <c r="F27" s="4">
        <v>5</v>
      </c>
      <c r="G27" s="1" t="s">
        <v>30</v>
      </c>
      <c r="H27" s="1" t="s">
        <v>31</v>
      </c>
      <c r="I27" s="1" t="s">
        <v>32</v>
      </c>
      <c r="J27" s="1" t="s">
        <v>32</v>
      </c>
      <c r="K27" s="1" t="s">
        <v>32</v>
      </c>
      <c r="L27" s="1" t="s">
        <v>32</v>
      </c>
      <c r="M27" s="1" t="s">
        <v>32</v>
      </c>
      <c r="N27" s="1" t="s">
        <v>32</v>
      </c>
      <c r="O27" s="1" t="s">
        <v>32</v>
      </c>
      <c r="P27" s="1" t="s">
        <v>32</v>
      </c>
      <c r="Q27" s="1" t="s">
        <v>32</v>
      </c>
      <c r="R27" s="1" t="s">
        <v>32</v>
      </c>
      <c r="S27" s="1" t="s">
        <v>32</v>
      </c>
      <c r="T27" s="1" t="s">
        <v>32</v>
      </c>
      <c r="U27" s="1" t="s">
        <v>30</v>
      </c>
      <c r="V27" s="1" t="s">
        <v>32</v>
      </c>
      <c r="W27" s="1" t="s">
        <v>32</v>
      </c>
      <c r="X27" s="1" t="s">
        <v>32</v>
      </c>
      <c r="Y27" s="1" t="s">
        <v>32</v>
      </c>
    </row>
    <row r="28" spans="1:25" x14ac:dyDescent="0.35">
      <c r="A28" s="5">
        <v>5</v>
      </c>
      <c r="B28" s="1" t="s">
        <v>92</v>
      </c>
      <c r="C28" s="1" t="s">
        <v>104</v>
      </c>
      <c r="D28" s="5" t="s">
        <v>105</v>
      </c>
      <c r="E28" s="5" t="s">
        <v>106</v>
      </c>
      <c r="F28" s="4">
        <v>5</v>
      </c>
      <c r="G28" s="1" t="s">
        <v>30</v>
      </c>
      <c r="H28" s="1" t="s">
        <v>31</v>
      </c>
      <c r="I28" s="1" t="s">
        <v>32</v>
      </c>
      <c r="J28" s="1" t="s">
        <v>32</v>
      </c>
      <c r="K28" s="1" t="s">
        <v>32</v>
      </c>
      <c r="L28" s="1" t="s">
        <v>32</v>
      </c>
      <c r="M28" s="1" t="s">
        <v>32</v>
      </c>
      <c r="N28" s="1" t="s">
        <v>32</v>
      </c>
      <c r="O28" s="1" t="s">
        <v>32</v>
      </c>
      <c r="P28" s="1" t="s">
        <v>32</v>
      </c>
      <c r="Q28" s="1" t="s">
        <v>32</v>
      </c>
      <c r="R28" s="1" t="s">
        <v>32</v>
      </c>
      <c r="S28" s="1" t="s">
        <v>32</v>
      </c>
      <c r="T28" s="1" t="s">
        <v>32</v>
      </c>
      <c r="U28" s="1" t="s">
        <v>30</v>
      </c>
      <c r="V28" s="1" t="s">
        <v>32</v>
      </c>
      <c r="W28" s="1" t="s">
        <v>32</v>
      </c>
      <c r="X28" s="1" t="s">
        <v>32</v>
      </c>
      <c r="Y28" s="1" t="s">
        <v>32</v>
      </c>
    </row>
    <row r="29" spans="1:25" x14ac:dyDescent="0.35">
      <c r="A29" s="5">
        <v>6</v>
      </c>
      <c r="B29" s="1" t="s">
        <v>92</v>
      </c>
      <c r="C29" s="1" t="s">
        <v>107</v>
      </c>
      <c r="D29" s="5" t="s">
        <v>108</v>
      </c>
      <c r="E29" s="5" t="s">
        <v>109</v>
      </c>
      <c r="F29" s="4">
        <v>5</v>
      </c>
      <c r="G29" s="1" t="s">
        <v>30</v>
      </c>
      <c r="H29" s="1" t="s">
        <v>31</v>
      </c>
      <c r="I29" s="1" t="s">
        <v>32</v>
      </c>
      <c r="J29" s="1" t="s">
        <v>32</v>
      </c>
      <c r="K29" s="1" t="s">
        <v>32</v>
      </c>
      <c r="L29" s="1" t="s">
        <v>32</v>
      </c>
      <c r="M29" s="1" t="s">
        <v>32</v>
      </c>
      <c r="N29" s="1" t="s">
        <v>32</v>
      </c>
      <c r="O29" s="1" t="s">
        <v>32</v>
      </c>
      <c r="P29" s="1" t="s">
        <v>32</v>
      </c>
      <c r="Q29" s="1" t="s">
        <v>32</v>
      </c>
      <c r="R29" s="1" t="s">
        <v>32</v>
      </c>
      <c r="S29" s="1" t="s">
        <v>32</v>
      </c>
      <c r="T29" s="1" t="s">
        <v>32</v>
      </c>
      <c r="U29" s="1" t="s">
        <v>30</v>
      </c>
      <c r="V29" s="1" t="s">
        <v>32</v>
      </c>
      <c r="W29" s="1" t="s">
        <v>32</v>
      </c>
      <c r="X29" s="1" t="s">
        <v>32</v>
      </c>
      <c r="Y29" s="1" t="s">
        <v>32</v>
      </c>
    </row>
    <row r="30" spans="1:25" x14ac:dyDescent="0.35">
      <c r="A30" s="5">
        <v>7</v>
      </c>
      <c r="B30" s="1" t="s">
        <v>92</v>
      </c>
      <c r="C30" s="1" t="s">
        <v>75</v>
      </c>
      <c r="D30" s="5" t="s">
        <v>110</v>
      </c>
      <c r="E30" s="5" t="s">
        <v>111</v>
      </c>
      <c r="F30" s="4">
        <v>5</v>
      </c>
      <c r="G30" s="1" t="s">
        <v>30</v>
      </c>
      <c r="H30" s="1" t="s">
        <v>31</v>
      </c>
      <c r="I30" s="1" t="s">
        <v>32</v>
      </c>
      <c r="J30" s="1" t="s">
        <v>32</v>
      </c>
      <c r="K30" s="1" t="s">
        <v>32</v>
      </c>
      <c r="L30" s="1" t="s">
        <v>32</v>
      </c>
      <c r="M30" s="1" t="s">
        <v>32</v>
      </c>
      <c r="N30" s="1" t="s">
        <v>32</v>
      </c>
      <c r="O30" s="1" t="s">
        <v>32</v>
      </c>
      <c r="P30" s="1" t="s">
        <v>32</v>
      </c>
      <c r="Q30" s="1" t="s">
        <v>32</v>
      </c>
      <c r="R30" s="1" t="s">
        <v>32</v>
      </c>
      <c r="S30" s="1" t="s">
        <v>32</v>
      </c>
      <c r="T30" s="1" t="s">
        <v>32</v>
      </c>
      <c r="U30" s="1" t="s">
        <v>30</v>
      </c>
      <c r="V30" s="1" t="s">
        <v>32</v>
      </c>
      <c r="W30" s="1" t="s">
        <v>32</v>
      </c>
      <c r="X30" s="1" t="s">
        <v>32</v>
      </c>
      <c r="Y30" s="1" t="s">
        <v>32</v>
      </c>
    </row>
    <row r="32" spans="1:25" x14ac:dyDescent="0.35">
      <c r="A32" s="5">
        <v>1</v>
      </c>
      <c r="B32" s="1" t="s">
        <v>112</v>
      </c>
      <c r="C32" s="1" t="s">
        <v>113</v>
      </c>
      <c r="D32" s="5" t="s">
        <v>114</v>
      </c>
      <c r="E32" s="5" t="s">
        <v>115</v>
      </c>
      <c r="F32" s="4">
        <v>5</v>
      </c>
      <c r="G32" s="1" t="s">
        <v>30</v>
      </c>
      <c r="H32" s="1" t="s">
        <v>31</v>
      </c>
      <c r="I32" s="1" t="s">
        <v>32</v>
      </c>
      <c r="J32" s="1" t="s">
        <v>32</v>
      </c>
      <c r="K32" s="1" t="s">
        <v>32</v>
      </c>
      <c r="L32" s="1" t="s">
        <v>32</v>
      </c>
      <c r="M32" s="1" t="s">
        <v>32</v>
      </c>
      <c r="N32" s="1" t="s">
        <v>32</v>
      </c>
      <c r="O32" s="1" t="s">
        <v>32</v>
      </c>
      <c r="P32" s="1" t="s">
        <v>32</v>
      </c>
      <c r="Q32" s="1" t="s">
        <v>32</v>
      </c>
      <c r="R32" s="1" t="s">
        <v>32</v>
      </c>
      <c r="S32" s="1" t="s">
        <v>32</v>
      </c>
      <c r="T32" s="1" t="s">
        <v>32</v>
      </c>
      <c r="U32" s="1" t="s">
        <v>30</v>
      </c>
      <c r="V32" s="1" t="s">
        <v>32</v>
      </c>
      <c r="W32" s="1" t="s">
        <v>32</v>
      </c>
      <c r="X32" s="1" t="s">
        <v>32</v>
      </c>
      <c r="Y32" s="1" t="s">
        <v>32</v>
      </c>
    </row>
    <row r="33" spans="1:25" x14ac:dyDescent="0.35">
      <c r="A33" s="5">
        <v>2</v>
      </c>
      <c r="B33" s="1" t="s">
        <v>112</v>
      </c>
      <c r="C33" s="1" t="s">
        <v>116</v>
      </c>
      <c r="D33" s="5" t="s">
        <v>117</v>
      </c>
      <c r="E33" s="5" t="s">
        <v>118</v>
      </c>
      <c r="F33" s="4">
        <v>5</v>
      </c>
      <c r="G33" s="1" t="s">
        <v>30</v>
      </c>
      <c r="H33" s="1" t="s">
        <v>31</v>
      </c>
      <c r="I33" s="1" t="s">
        <v>32</v>
      </c>
      <c r="J33" s="1" t="s">
        <v>32</v>
      </c>
      <c r="K33" s="1" t="s">
        <v>32</v>
      </c>
      <c r="L33" s="1" t="s">
        <v>32</v>
      </c>
      <c r="M33" s="1" t="s">
        <v>32</v>
      </c>
      <c r="N33" s="1" t="s">
        <v>32</v>
      </c>
      <c r="O33" s="1" t="s">
        <v>32</v>
      </c>
      <c r="P33" s="1" t="s">
        <v>32</v>
      </c>
      <c r="Q33" s="1" t="s">
        <v>32</v>
      </c>
      <c r="R33" s="1" t="s">
        <v>32</v>
      </c>
      <c r="S33" s="1" t="s">
        <v>32</v>
      </c>
      <c r="T33" s="1" t="s">
        <v>32</v>
      </c>
      <c r="U33" s="1" t="s">
        <v>30</v>
      </c>
      <c r="V33" s="1" t="s">
        <v>32</v>
      </c>
      <c r="W33" s="1" t="s">
        <v>32</v>
      </c>
      <c r="X33" s="1" t="s">
        <v>32</v>
      </c>
      <c r="Y33" s="1" t="s">
        <v>32</v>
      </c>
    </row>
    <row r="34" spans="1:25" x14ac:dyDescent="0.35">
      <c r="A34" s="5">
        <v>3</v>
      </c>
      <c r="B34" s="1" t="s">
        <v>112</v>
      </c>
      <c r="C34" s="1" t="s">
        <v>119</v>
      </c>
      <c r="D34" s="5" t="s">
        <v>120</v>
      </c>
      <c r="E34" s="5" t="s">
        <v>121</v>
      </c>
      <c r="F34" s="4">
        <v>5</v>
      </c>
      <c r="G34" s="1" t="s">
        <v>30</v>
      </c>
      <c r="H34" s="1" t="s">
        <v>31</v>
      </c>
      <c r="I34" s="1" t="s">
        <v>32</v>
      </c>
      <c r="J34" s="1" t="s">
        <v>32</v>
      </c>
      <c r="K34" s="1" t="s">
        <v>32</v>
      </c>
      <c r="L34" s="1" t="s">
        <v>32</v>
      </c>
      <c r="M34" s="1" t="s">
        <v>32</v>
      </c>
      <c r="N34" s="1" t="s">
        <v>32</v>
      </c>
      <c r="O34" s="1" t="s">
        <v>32</v>
      </c>
      <c r="P34" s="1" t="s">
        <v>32</v>
      </c>
      <c r="Q34" s="1" t="s">
        <v>32</v>
      </c>
      <c r="R34" s="1" t="s">
        <v>32</v>
      </c>
      <c r="S34" s="1" t="s">
        <v>32</v>
      </c>
      <c r="T34" s="1" t="s">
        <v>32</v>
      </c>
      <c r="U34" s="1" t="s">
        <v>32</v>
      </c>
      <c r="V34" s="1" t="s">
        <v>30</v>
      </c>
      <c r="W34" s="1" t="s">
        <v>32</v>
      </c>
      <c r="X34" s="1" t="s">
        <v>32</v>
      </c>
      <c r="Y34" s="1" t="s">
        <v>32</v>
      </c>
    </row>
    <row r="35" spans="1:25" x14ac:dyDescent="0.35">
      <c r="A35" s="5">
        <v>4</v>
      </c>
      <c r="B35" s="1" t="s">
        <v>112</v>
      </c>
      <c r="C35" s="1" t="s">
        <v>122</v>
      </c>
      <c r="D35" s="5" t="s">
        <v>123</v>
      </c>
      <c r="E35" s="5" t="s">
        <v>124</v>
      </c>
      <c r="F35" s="4">
        <v>5</v>
      </c>
      <c r="G35" s="1" t="s">
        <v>30</v>
      </c>
      <c r="H35" s="1" t="s">
        <v>31</v>
      </c>
      <c r="I35" s="1" t="s">
        <v>32</v>
      </c>
      <c r="J35" s="1" t="s">
        <v>32</v>
      </c>
      <c r="K35" s="1" t="s">
        <v>32</v>
      </c>
      <c r="L35" s="1" t="s">
        <v>32</v>
      </c>
      <c r="M35" s="1" t="s">
        <v>32</v>
      </c>
      <c r="N35" s="1" t="s">
        <v>32</v>
      </c>
      <c r="O35" s="1" t="s">
        <v>32</v>
      </c>
      <c r="P35" s="1" t="s">
        <v>32</v>
      </c>
      <c r="Q35" s="1" t="s">
        <v>32</v>
      </c>
      <c r="R35" s="1" t="s">
        <v>32</v>
      </c>
      <c r="S35" s="1" t="s">
        <v>32</v>
      </c>
      <c r="T35" s="1" t="s">
        <v>32</v>
      </c>
      <c r="U35" s="1" t="s">
        <v>32</v>
      </c>
      <c r="V35" s="1" t="s">
        <v>30</v>
      </c>
      <c r="W35" s="1" t="s">
        <v>32</v>
      </c>
      <c r="X35" s="1" t="s">
        <v>32</v>
      </c>
      <c r="Y35" s="1" t="s">
        <v>32</v>
      </c>
    </row>
    <row r="36" spans="1:25" x14ac:dyDescent="0.35">
      <c r="A36" s="5">
        <v>5</v>
      </c>
      <c r="B36" s="1" t="s">
        <v>112</v>
      </c>
      <c r="C36" s="1" t="s">
        <v>125</v>
      </c>
      <c r="D36" s="5" t="s">
        <v>126</v>
      </c>
      <c r="E36" s="5" t="s">
        <v>127</v>
      </c>
      <c r="F36" s="4">
        <v>5</v>
      </c>
      <c r="G36" s="1" t="s">
        <v>30</v>
      </c>
      <c r="H36" s="1" t="s">
        <v>31</v>
      </c>
      <c r="I36" s="1" t="s">
        <v>32</v>
      </c>
      <c r="J36" s="1" t="s">
        <v>32</v>
      </c>
      <c r="K36" s="1" t="s">
        <v>32</v>
      </c>
      <c r="L36" s="1" t="s">
        <v>32</v>
      </c>
      <c r="M36" s="1" t="s">
        <v>32</v>
      </c>
      <c r="N36" s="1" t="s">
        <v>32</v>
      </c>
      <c r="O36" s="1" t="s">
        <v>32</v>
      </c>
      <c r="P36" s="1" t="s">
        <v>32</v>
      </c>
      <c r="Q36" s="1" t="s">
        <v>32</v>
      </c>
      <c r="R36" s="1" t="s">
        <v>32</v>
      </c>
      <c r="S36" s="1" t="s">
        <v>32</v>
      </c>
      <c r="T36" s="1" t="s">
        <v>32</v>
      </c>
      <c r="U36" s="1" t="s">
        <v>32</v>
      </c>
      <c r="V36" s="1" t="s">
        <v>30</v>
      </c>
      <c r="W36" s="1" t="s">
        <v>32</v>
      </c>
      <c r="X36" s="1" t="s">
        <v>32</v>
      </c>
      <c r="Y36" s="1" t="s">
        <v>32</v>
      </c>
    </row>
    <row r="37" spans="1:25" x14ac:dyDescent="0.35">
      <c r="A37" s="5">
        <v>6</v>
      </c>
      <c r="B37" s="1" t="s">
        <v>112</v>
      </c>
      <c r="C37" s="1" t="s">
        <v>128</v>
      </c>
      <c r="D37" s="5" t="s">
        <v>129</v>
      </c>
      <c r="E37" s="5" t="s">
        <v>130</v>
      </c>
      <c r="F37" s="4">
        <v>5</v>
      </c>
      <c r="G37" s="1" t="s">
        <v>30</v>
      </c>
      <c r="H37" s="1" t="s">
        <v>31</v>
      </c>
      <c r="I37" s="1" t="s">
        <v>32</v>
      </c>
      <c r="J37" s="1" t="s">
        <v>32</v>
      </c>
      <c r="K37" s="1" t="s">
        <v>32</v>
      </c>
      <c r="L37" s="1" t="s">
        <v>32</v>
      </c>
      <c r="M37" s="1" t="s">
        <v>32</v>
      </c>
      <c r="N37" s="1" t="s">
        <v>32</v>
      </c>
      <c r="O37" s="1" t="s">
        <v>32</v>
      </c>
      <c r="P37" s="1" t="s">
        <v>32</v>
      </c>
      <c r="Q37" s="1" t="s">
        <v>32</v>
      </c>
      <c r="R37" s="1" t="s">
        <v>32</v>
      </c>
      <c r="S37" s="1" t="s">
        <v>32</v>
      </c>
      <c r="T37" s="1" t="s">
        <v>32</v>
      </c>
      <c r="U37" s="1" t="s">
        <v>32</v>
      </c>
      <c r="V37" s="1" t="s">
        <v>30</v>
      </c>
      <c r="W37" s="1" t="s">
        <v>32</v>
      </c>
      <c r="X37" s="1" t="s">
        <v>32</v>
      </c>
      <c r="Y37" s="1" t="s">
        <v>32</v>
      </c>
    </row>
    <row r="38" spans="1:25" x14ac:dyDescent="0.35">
      <c r="A38" s="5">
        <v>7</v>
      </c>
      <c r="B38" s="1" t="s">
        <v>112</v>
      </c>
      <c r="C38" s="1" t="s">
        <v>131</v>
      </c>
      <c r="D38" s="5" t="s">
        <v>132</v>
      </c>
      <c r="E38" s="5" t="s">
        <v>133</v>
      </c>
      <c r="F38" s="4">
        <v>5</v>
      </c>
      <c r="G38" s="1" t="s">
        <v>30</v>
      </c>
      <c r="H38" s="1" t="s">
        <v>31</v>
      </c>
      <c r="I38" s="1" t="s">
        <v>32</v>
      </c>
      <c r="J38" s="1" t="s">
        <v>32</v>
      </c>
      <c r="K38" s="1" t="s">
        <v>32</v>
      </c>
      <c r="L38" s="1" t="s">
        <v>32</v>
      </c>
      <c r="M38" s="1" t="s">
        <v>32</v>
      </c>
      <c r="N38" s="1" t="s">
        <v>32</v>
      </c>
      <c r="O38" s="1" t="s">
        <v>32</v>
      </c>
      <c r="P38" s="1" t="s">
        <v>32</v>
      </c>
      <c r="Q38" s="1" t="s">
        <v>32</v>
      </c>
      <c r="R38" s="1" t="s">
        <v>32</v>
      </c>
      <c r="S38" s="1" t="s">
        <v>32</v>
      </c>
      <c r="T38" s="1" t="s">
        <v>32</v>
      </c>
      <c r="U38" s="1" t="s">
        <v>32</v>
      </c>
      <c r="V38" s="1" t="s">
        <v>30</v>
      </c>
      <c r="W38" s="1" t="s">
        <v>32</v>
      </c>
      <c r="X38" s="1" t="s">
        <v>32</v>
      </c>
      <c r="Y38" s="1" t="s">
        <v>32</v>
      </c>
    </row>
    <row r="40" spans="1:25" x14ac:dyDescent="0.35">
      <c r="A40" s="5">
        <v>1</v>
      </c>
      <c r="B40" s="1" t="s">
        <v>134</v>
      </c>
      <c r="C40" s="1" t="s">
        <v>135</v>
      </c>
      <c r="D40" s="5" t="s">
        <v>136</v>
      </c>
      <c r="E40" s="5" t="s">
        <v>137</v>
      </c>
      <c r="F40" s="4">
        <v>5</v>
      </c>
      <c r="G40" s="1" t="s">
        <v>30</v>
      </c>
      <c r="H40" s="1" t="s">
        <v>31</v>
      </c>
      <c r="I40" s="1" t="s">
        <v>32</v>
      </c>
      <c r="J40" s="1" t="s">
        <v>32</v>
      </c>
      <c r="K40" s="1" t="s">
        <v>32</v>
      </c>
      <c r="L40" s="1" t="s">
        <v>32</v>
      </c>
      <c r="M40" s="1" t="s">
        <v>32</v>
      </c>
      <c r="N40" s="1" t="s">
        <v>32</v>
      </c>
      <c r="O40" s="1" t="s">
        <v>32</v>
      </c>
      <c r="P40" s="1" t="s">
        <v>32</v>
      </c>
      <c r="Q40" s="1" t="s">
        <v>32</v>
      </c>
      <c r="R40" s="1" t="s">
        <v>32</v>
      </c>
      <c r="S40" s="1" t="s">
        <v>32</v>
      </c>
      <c r="T40" s="1" t="s">
        <v>32</v>
      </c>
      <c r="U40" s="1" t="s">
        <v>32</v>
      </c>
      <c r="V40" s="1" t="s">
        <v>32</v>
      </c>
      <c r="W40" s="1" t="s">
        <v>30</v>
      </c>
      <c r="X40" s="1" t="s">
        <v>32</v>
      </c>
      <c r="Y40" s="1" t="s">
        <v>32</v>
      </c>
    </row>
    <row r="41" spans="1:25" x14ac:dyDescent="0.35">
      <c r="A41" s="5">
        <v>2</v>
      </c>
      <c r="B41" s="1" t="s">
        <v>134</v>
      </c>
      <c r="C41" s="1" t="s">
        <v>138</v>
      </c>
      <c r="D41" s="5" t="s">
        <v>139</v>
      </c>
      <c r="E41" s="5" t="s">
        <v>140</v>
      </c>
      <c r="F41" s="4">
        <v>5</v>
      </c>
      <c r="G41" s="1" t="s">
        <v>30</v>
      </c>
      <c r="H41" s="1" t="s">
        <v>31</v>
      </c>
      <c r="I41" s="1" t="s">
        <v>32</v>
      </c>
      <c r="J41" s="1" t="s">
        <v>32</v>
      </c>
      <c r="K41" s="1" t="s">
        <v>32</v>
      </c>
      <c r="L41" s="1" t="s">
        <v>32</v>
      </c>
      <c r="M41" s="1" t="s">
        <v>32</v>
      </c>
      <c r="N41" s="1" t="s">
        <v>32</v>
      </c>
      <c r="O41" s="1" t="s">
        <v>32</v>
      </c>
      <c r="P41" s="1" t="s">
        <v>32</v>
      </c>
      <c r="Q41" s="1" t="s">
        <v>32</v>
      </c>
      <c r="R41" s="1" t="s">
        <v>32</v>
      </c>
      <c r="S41" s="1" t="s">
        <v>32</v>
      </c>
      <c r="T41" s="1" t="s">
        <v>32</v>
      </c>
      <c r="U41" s="1" t="s">
        <v>32</v>
      </c>
      <c r="V41" s="1" t="s">
        <v>32</v>
      </c>
      <c r="W41" s="1" t="s">
        <v>30</v>
      </c>
      <c r="X41" s="1" t="s">
        <v>32</v>
      </c>
      <c r="Y41" s="1" t="s">
        <v>32</v>
      </c>
    </row>
    <row r="42" spans="1:25" x14ac:dyDescent="0.35">
      <c r="A42" s="5">
        <v>3</v>
      </c>
      <c r="B42" s="1" t="s">
        <v>134</v>
      </c>
      <c r="C42" s="1" t="s">
        <v>141</v>
      </c>
      <c r="D42" s="5" t="s">
        <v>142</v>
      </c>
      <c r="E42" s="5" t="s">
        <v>143</v>
      </c>
      <c r="F42" s="4">
        <v>5</v>
      </c>
      <c r="G42" s="1" t="s">
        <v>30</v>
      </c>
      <c r="H42" s="1" t="s">
        <v>31</v>
      </c>
      <c r="I42" s="1" t="s">
        <v>32</v>
      </c>
      <c r="J42" s="1" t="s">
        <v>32</v>
      </c>
      <c r="K42" s="1" t="s">
        <v>32</v>
      </c>
      <c r="L42" s="1" t="s">
        <v>32</v>
      </c>
      <c r="M42" s="1" t="s">
        <v>32</v>
      </c>
      <c r="N42" s="1" t="s">
        <v>32</v>
      </c>
      <c r="O42" s="1" t="s">
        <v>32</v>
      </c>
      <c r="P42" s="1" t="s">
        <v>32</v>
      </c>
      <c r="Q42" s="1" t="s">
        <v>32</v>
      </c>
      <c r="R42" s="1" t="s">
        <v>32</v>
      </c>
      <c r="S42" s="1" t="s">
        <v>32</v>
      </c>
      <c r="T42" s="1" t="s">
        <v>32</v>
      </c>
      <c r="U42" s="1" t="s">
        <v>32</v>
      </c>
      <c r="V42" s="1" t="s">
        <v>32</v>
      </c>
      <c r="W42" s="1" t="s">
        <v>30</v>
      </c>
      <c r="X42" s="1" t="s">
        <v>32</v>
      </c>
      <c r="Y42" s="1" t="s">
        <v>32</v>
      </c>
    </row>
    <row r="43" spans="1:25" x14ac:dyDescent="0.35">
      <c r="A43" s="5">
        <v>4</v>
      </c>
      <c r="B43" s="1" t="s">
        <v>134</v>
      </c>
      <c r="C43" s="1" t="s">
        <v>144</v>
      </c>
      <c r="D43" s="5" t="s">
        <v>145</v>
      </c>
      <c r="E43" s="5" t="s">
        <v>146</v>
      </c>
      <c r="F43" s="4">
        <v>5</v>
      </c>
      <c r="G43" s="1" t="s">
        <v>30</v>
      </c>
      <c r="H43" s="1" t="s">
        <v>31</v>
      </c>
      <c r="I43" s="1" t="s">
        <v>32</v>
      </c>
      <c r="J43" s="1" t="s">
        <v>32</v>
      </c>
      <c r="K43" s="1" t="s">
        <v>32</v>
      </c>
      <c r="L43" s="1" t="s">
        <v>32</v>
      </c>
      <c r="M43" s="1" t="s">
        <v>32</v>
      </c>
      <c r="N43" s="1" t="s">
        <v>32</v>
      </c>
      <c r="O43" s="1" t="s">
        <v>32</v>
      </c>
      <c r="P43" s="1" t="s">
        <v>32</v>
      </c>
      <c r="Q43" s="1" t="s">
        <v>32</v>
      </c>
      <c r="R43" s="1" t="s">
        <v>32</v>
      </c>
      <c r="S43" s="1" t="s">
        <v>32</v>
      </c>
      <c r="T43" s="1" t="s">
        <v>32</v>
      </c>
      <c r="U43" s="1" t="s">
        <v>32</v>
      </c>
      <c r="V43" s="1" t="s">
        <v>32</v>
      </c>
      <c r="W43" s="1" t="s">
        <v>30</v>
      </c>
      <c r="X43" s="1" t="s">
        <v>32</v>
      </c>
      <c r="Y43" s="1" t="s">
        <v>32</v>
      </c>
    </row>
    <row r="44" spans="1:25" x14ac:dyDescent="0.35">
      <c r="A44" s="5">
        <v>5</v>
      </c>
      <c r="B44" s="1" t="s">
        <v>134</v>
      </c>
      <c r="C44" s="1" t="s">
        <v>147</v>
      </c>
      <c r="D44" s="5" t="s">
        <v>148</v>
      </c>
      <c r="E44" s="5" t="s">
        <v>149</v>
      </c>
      <c r="F44" s="4">
        <v>5</v>
      </c>
      <c r="G44" s="1" t="s">
        <v>30</v>
      </c>
      <c r="H44" s="1" t="s">
        <v>31</v>
      </c>
      <c r="I44" s="1" t="s">
        <v>32</v>
      </c>
      <c r="J44" s="1" t="s">
        <v>32</v>
      </c>
      <c r="K44" s="1" t="s">
        <v>32</v>
      </c>
      <c r="L44" s="1" t="s">
        <v>32</v>
      </c>
      <c r="M44" s="1" t="s">
        <v>32</v>
      </c>
      <c r="N44" s="1" t="s">
        <v>32</v>
      </c>
      <c r="O44" s="1" t="s">
        <v>32</v>
      </c>
      <c r="P44" s="1" t="s">
        <v>32</v>
      </c>
      <c r="Q44" s="1" t="s">
        <v>32</v>
      </c>
      <c r="R44" s="1" t="s">
        <v>32</v>
      </c>
      <c r="S44" s="1" t="s">
        <v>32</v>
      </c>
      <c r="T44" s="1" t="s">
        <v>32</v>
      </c>
      <c r="U44" s="1" t="s">
        <v>32</v>
      </c>
      <c r="V44" s="1" t="s">
        <v>32</v>
      </c>
      <c r="W44" s="1" t="s">
        <v>32</v>
      </c>
      <c r="X44" s="1" t="s">
        <v>30</v>
      </c>
      <c r="Y44" s="1" t="s">
        <v>32</v>
      </c>
    </row>
    <row r="46" spans="1:25" x14ac:dyDescent="0.35">
      <c r="A46" s="5">
        <v>1</v>
      </c>
      <c r="B46" s="1" t="s">
        <v>150</v>
      </c>
      <c r="C46" s="1" t="s">
        <v>151</v>
      </c>
      <c r="D46" s="5" t="s">
        <v>152</v>
      </c>
      <c r="E46" s="5" t="s">
        <v>153</v>
      </c>
      <c r="F46" s="4">
        <v>5</v>
      </c>
      <c r="G46" s="1" t="s">
        <v>30</v>
      </c>
      <c r="H46" s="1" t="s">
        <v>31</v>
      </c>
      <c r="I46" s="1" t="s">
        <v>32</v>
      </c>
      <c r="J46" s="1" t="s">
        <v>32</v>
      </c>
      <c r="K46" s="1" t="s">
        <v>32</v>
      </c>
      <c r="L46" s="1" t="s">
        <v>32</v>
      </c>
      <c r="M46" s="1" t="s">
        <v>32</v>
      </c>
      <c r="N46" s="1" t="s">
        <v>32</v>
      </c>
      <c r="O46" s="1" t="s">
        <v>32</v>
      </c>
      <c r="P46" s="1" t="s">
        <v>32</v>
      </c>
      <c r="Q46" s="1" t="s">
        <v>32</v>
      </c>
      <c r="R46" s="1" t="s">
        <v>32</v>
      </c>
      <c r="S46" s="1" t="s">
        <v>32</v>
      </c>
      <c r="T46" s="1" t="s">
        <v>32</v>
      </c>
      <c r="U46" s="1" t="s">
        <v>32</v>
      </c>
      <c r="V46" s="1" t="s">
        <v>32</v>
      </c>
      <c r="W46" s="1" t="s">
        <v>32</v>
      </c>
      <c r="X46" s="1" t="s">
        <v>30</v>
      </c>
      <c r="Y46" s="1" t="s">
        <v>32</v>
      </c>
    </row>
    <row r="47" spans="1:25" x14ac:dyDescent="0.35">
      <c r="A47" s="5">
        <v>2</v>
      </c>
      <c r="B47" s="1" t="s">
        <v>150</v>
      </c>
      <c r="C47" s="1" t="s">
        <v>154</v>
      </c>
      <c r="D47" s="5" t="s">
        <v>155</v>
      </c>
      <c r="E47" s="5" t="s">
        <v>156</v>
      </c>
      <c r="F47" s="4">
        <v>5</v>
      </c>
      <c r="G47" s="1" t="s">
        <v>30</v>
      </c>
      <c r="H47" s="1" t="s">
        <v>31</v>
      </c>
      <c r="I47" s="1" t="s">
        <v>32</v>
      </c>
      <c r="J47" s="1" t="s">
        <v>32</v>
      </c>
      <c r="K47" s="1" t="s">
        <v>32</v>
      </c>
      <c r="L47" s="1" t="s">
        <v>32</v>
      </c>
      <c r="M47" s="1" t="s">
        <v>32</v>
      </c>
      <c r="N47" s="1" t="s">
        <v>32</v>
      </c>
      <c r="O47" s="1" t="s">
        <v>32</v>
      </c>
      <c r="P47" s="1" t="s">
        <v>32</v>
      </c>
      <c r="Q47" s="1" t="s">
        <v>32</v>
      </c>
      <c r="R47" s="1" t="s">
        <v>32</v>
      </c>
      <c r="S47" s="1" t="s">
        <v>32</v>
      </c>
      <c r="T47" s="1" t="s">
        <v>32</v>
      </c>
      <c r="U47" s="1" t="s">
        <v>32</v>
      </c>
      <c r="V47" s="1" t="s">
        <v>32</v>
      </c>
      <c r="W47" s="1" t="s">
        <v>32</v>
      </c>
      <c r="X47" s="1" t="s">
        <v>30</v>
      </c>
      <c r="Y47" s="1" t="s">
        <v>32</v>
      </c>
    </row>
    <row r="48" spans="1:25" x14ac:dyDescent="0.35">
      <c r="A48" s="5">
        <v>3</v>
      </c>
      <c r="B48" s="1" t="s">
        <v>150</v>
      </c>
      <c r="C48" s="1" t="s">
        <v>157</v>
      </c>
      <c r="D48" s="5" t="s">
        <v>158</v>
      </c>
      <c r="E48" s="5" t="s">
        <v>159</v>
      </c>
      <c r="F48" s="4">
        <v>5</v>
      </c>
      <c r="G48" s="1" t="s">
        <v>30</v>
      </c>
      <c r="H48" s="1" t="s">
        <v>31</v>
      </c>
      <c r="I48" s="1" t="s">
        <v>32</v>
      </c>
      <c r="J48" s="1" t="s">
        <v>32</v>
      </c>
      <c r="K48" s="1" t="s">
        <v>32</v>
      </c>
      <c r="L48" s="1" t="s">
        <v>32</v>
      </c>
      <c r="M48" s="1" t="s">
        <v>32</v>
      </c>
      <c r="N48" s="1" t="s">
        <v>32</v>
      </c>
      <c r="O48" s="1" t="s">
        <v>32</v>
      </c>
      <c r="P48" s="1" t="s">
        <v>32</v>
      </c>
      <c r="Q48" s="1" t="s">
        <v>32</v>
      </c>
      <c r="R48" s="1" t="s">
        <v>32</v>
      </c>
      <c r="S48" s="1" t="s">
        <v>32</v>
      </c>
      <c r="T48" s="1" t="s">
        <v>32</v>
      </c>
      <c r="U48" s="1" t="s">
        <v>32</v>
      </c>
      <c r="V48" s="1" t="s">
        <v>32</v>
      </c>
      <c r="W48" s="1" t="s">
        <v>32</v>
      </c>
      <c r="X48" s="1" t="s">
        <v>30</v>
      </c>
      <c r="Y48" s="1" t="s">
        <v>32</v>
      </c>
    </row>
    <row r="49" spans="1:26" x14ac:dyDescent="0.35">
      <c r="A49" s="5">
        <v>4</v>
      </c>
      <c r="B49" s="1" t="s">
        <v>150</v>
      </c>
      <c r="C49" s="1" t="s">
        <v>160</v>
      </c>
      <c r="D49" s="5" t="s">
        <v>161</v>
      </c>
      <c r="E49" s="5" t="s">
        <v>162</v>
      </c>
      <c r="F49" s="4">
        <v>5</v>
      </c>
      <c r="G49" s="1" t="s">
        <v>30</v>
      </c>
      <c r="H49" s="1" t="s">
        <v>31</v>
      </c>
      <c r="I49" s="1" t="s">
        <v>32</v>
      </c>
      <c r="J49" s="1" t="s">
        <v>32</v>
      </c>
      <c r="K49" s="1" t="s">
        <v>32</v>
      </c>
      <c r="L49" s="1" t="s">
        <v>32</v>
      </c>
      <c r="M49" s="1" t="s">
        <v>32</v>
      </c>
      <c r="N49" s="1" t="s">
        <v>32</v>
      </c>
      <c r="O49" s="1" t="s">
        <v>32</v>
      </c>
      <c r="P49" s="1" t="s">
        <v>32</v>
      </c>
      <c r="Q49" s="1" t="s">
        <v>32</v>
      </c>
      <c r="R49" s="1" t="s">
        <v>32</v>
      </c>
      <c r="S49" s="1" t="s">
        <v>32</v>
      </c>
      <c r="T49" s="1" t="s">
        <v>32</v>
      </c>
      <c r="U49" s="1" t="s">
        <v>32</v>
      </c>
      <c r="V49" s="1" t="s">
        <v>32</v>
      </c>
      <c r="W49" s="1" t="s">
        <v>32</v>
      </c>
      <c r="X49" s="1" t="s">
        <v>32</v>
      </c>
      <c r="Y49" s="1" t="s">
        <v>30</v>
      </c>
    </row>
    <row r="50" spans="1:26" x14ac:dyDescent="0.35">
      <c r="A50" s="5">
        <v>5</v>
      </c>
      <c r="B50" s="1" t="s">
        <v>150</v>
      </c>
      <c r="C50" s="1" t="s">
        <v>163</v>
      </c>
      <c r="D50" s="5" t="s">
        <v>164</v>
      </c>
      <c r="E50" s="5" t="s">
        <v>165</v>
      </c>
      <c r="F50" s="4">
        <v>5</v>
      </c>
      <c r="G50" s="1" t="s">
        <v>30</v>
      </c>
      <c r="H50" s="1" t="s">
        <v>31</v>
      </c>
      <c r="I50" s="1" t="s">
        <v>32</v>
      </c>
      <c r="J50" s="1" t="s">
        <v>32</v>
      </c>
      <c r="K50" s="1" t="s">
        <v>32</v>
      </c>
      <c r="L50" s="1" t="s">
        <v>32</v>
      </c>
      <c r="M50" s="1" t="s">
        <v>32</v>
      </c>
      <c r="N50" s="1" t="s">
        <v>32</v>
      </c>
      <c r="O50" s="1" t="s">
        <v>32</v>
      </c>
      <c r="P50" s="1" t="s">
        <v>32</v>
      </c>
      <c r="Q50" s="1" t="s">
        <v>32</v>
      </c>
      <c r="R50" s="1" t="s">
        <v>32</v>
      </c>
      <c r="S50" s="1" t="s">
        <v>32</v>
      </c>
      <c r="T50" s="1" t="s">
        <v>32</v>
      </c>
      <c r="U50" s="1" t="s">
        <v>32</v>
      </c>
      <c r="V50" s="1" t="s">
        <v>32</v>
      </c>
      <c r="W50" s="1" t="s">
        <v>32</v>
      </c>
      <c r="X50" s="1" t="s">
        <v>32</v>
      </c>
      <c r="Y50" s="1" t="s">
        <v>30</v>
      </c>
    </row>
    <row r="54" spans="1:26" x14ac:dyDescent="0.35">
      <c r="A54" s="5">
        <v>1</v>
      </c>
      <c r="B54" s="1" t="s">
        <v>166</v>
      </c>
      <c r="C54" s="1" t="s">
        <v>167</v>
      </c>
      <c r="D54" s="5" t="s">
        <v>168</v>
      </c>
      <c r="E54" s="5" t="s">
        <v>169</v>
      </c>
      <c r="F54" s="4">
        <v>5</v>
      </c>
      <c r="G54" s="1" t="s">
        <v>170</v>
      </c>
      <c r="H54" s="1" t="s">
        <v>31</v>
      </c>
      <c r="I54" s="1" t="s">
        <v>32</v>
      </c>
      <c r="J54" s="1" t="s">
        <v>32</v>
      </c>
      <c r="K54" s="1" t="s">
        <v>32</v>
      </c>
      <c r="L54" s="1" t="s">
        <v>32</v>
      </c>
      <c r="M54" s="1" t="s">
        <v>32</v>
      </c>
      <c r="N54" s="1" t="s">
        <v>32</v>
      </c>
      <c r="O54" s="1" t="s">
        <v>32</v>
      </c>
      <c r="P54" s="1" t="s">
        <v>32</v>
      </c>
      <c r="Q54" s="1" t="s">
        <v>32</v>
      </c>
      <c r="R54" s="1" t="s">
        <v>32</v>
      </c>
      <c r="S54" s="1" t="s">
        <v>32</v>
      </c>
      <c r="T54" s="1" t="s">
        <v>32</v>
      </c>
      <c r="U54" s="1" t="s">
        <v>32</v>
      </c>
      <c r="V54" s="1" t="s">
        <v>32</v>
      </c>
      <c r="W54" s="1" t="s">
        <v>32</v>
      </c>
      <c r="X54" s="1" t="s">
        <v>32</v>
      </c>
      <c r="Y54" s="1" t="s">
        <v>170</v>
      </c>
    </row>
    <row r="55" spans="1:26" x14ac:dyDescent="0.35">
      <c r="A55" s="5">
        <v>2</v>
      </c>
      <c r="B55" s="1" t="s">
        <v>166</v>
      </c>
      <c r="C55" s="1" t="s">
        <v>171</v>
      </c>
      <c r="D55" s="5" t="s">
        <v>172</v>
      </c>
      <c r="E55" s="5" t="s">
        <v>173</v>
      </c>
      <c r="F55" s="4">
        <v>5</v>
      </c>
      <c r="G55" s="1" t="s">
        <v>170</v>
      </c>
      <c r="H55" s="1" t="s">
        <v>31</v>
      </c>
      <c r="I55" s="1" t="s">
        <v>32</v>
      </c>
      <c r="J55" s="1" t="s">
        <v>32</v>
      </c>
      <c r="K55" s="1" t="s">
        <v>32</v>
      </c>
      <c r="L55" s="1" t="s">
        <v>32</v>
      </c>
      <c r="M55" s="1" t="s">
        <v>32</v>
      </c>
      <c r="N55" s="1" t="s">
        <v>32</v>
      </c>
      <c r="O55" s="1" t="s">
        <v>32</v>
      </c>
      <c r="P55" s="1" t="s">
        <v>32</v>
      </c>
      <c r="Q55" s="1" t="s">
        <v>32</v>
      </c>
      <c r="R55" s="1" t="s">
        <v>32</v>
      </c>
      <c r="S55" s="1" t="s">
        <v>32</v>
      </c>
      <c r="T55" s="1" t="s">
        <v>32</v>
      </c>
      <c r="U55" s="1" t="s">
        <v>32</v>
      </c>
      <c r="V55" s="1" t="s">
        <v>32</v>
      </c>
      <c r="W55" s="1" t="s">
        <v>32</v>
      </c>
      <c r="X55" s="1" t="s">
        <v>32</v>
      </c>
      <c r="Y55" s="1" t="s">
        <v>170</v>
      </c>
    </row>
    <row r="56" spans="1:26" x14ac:dyDescent="0.35">
      <c r="A56" s="5">
        <v>3</v>
      </c>
      <c r="B56" s="1" t="s">
        <v>166</v>
      </c>
      <c r="C56" s="1" t="s">
        <v>174</v>
      </c>
      <c r="D56" s="5" t="s">
        <v>175</v>
      </c>
      <c r="E56" s="5" t="s">
        <v>176</v>
      </c>
      <c r="F56" s="4">
        <v>5</v>
      </c>
      <c r="G56" s="1" t="s">
        <v>170</v>
      </c>
      <c r="H56" s="1" t="s">
        <v>31</v>
      </c>
      <c r="I56" s="1" t="s">
        <v>32</v>
      </c>
      <c r="J56" s="1" t="s">
        <v>32</v>
      </c>
      <c r="K56" s="1" t="s">
        <v>32</v>
      </c>
      <c r="L56" s="1" t="s">
        <v>32</v>
      </c>
      <c r="M56" s="1" t="s">
        <v>32</v>
      </c>
      <c r="N56" s="1" t="s">
        <v>32</v>
      </c>
      <c r="O56" s="1" t="s">
        <v>32</v>
      </c>
      <c r="P56" s="1" t="s">
        <v>32</v>
      </c>
      <c r="Q56" s="1" t="s">
        <v>32</v>
      </c>
      <c r="R56" s="1" t="s">
        <v>32</v>
      </c>
      <c r="S56" s="1" t="s">
        <v>32</v>
      </c>
      <c r="T56" s="1" t="s">
        <v>32</v>
      </c>
      <c r="U56" s="1" t="s">
        <v>32</v>
      </c>
      <c r="V56" s="1" t="s">
        <v>32</v>
      </c>
      <c r="W56" s="1" t="s">
        <v>32</v>
      </c>
      <c r="X56" s="1" t="s">
        <v>32</v>
      </c>
      <c r="Y56" s="1" t="s">
        <v>32</v>
      </c>
      <c r="Z56" s="1" t="s">
        <v>177</v>
      </c>
    </row>
    <row r="57" spans="1:26" x14ac:dyDescent="0.35">
      <c r="A57" s="5">
        <v>4</v>
      </c>
      <c r="B57" s="1" t="s">
        <v>166</v>
      </c>
      <c r="C57" s="1" t="s">
        <v>178</v>
      </c>
      <c r="D57" s="5" t="s">
        <v>179</v>
      </c>
      <c r="E57" s="5" t="s">
        <v>180</v>
      </c>
      <c r="F57" s="4">
        <v>5</v>
      </c>
      <c r="G57" s="1" t="s">
        <v>170</v>
      </c>
      <c r="H57" s="1" t="s">
        <v>31</v>
      </c>
      <c r="I57" s="1" t="s">
        <v>32</v>
      </c>
      <c r="J57" s="1" t="s">
        <v>32</v>
      </c>
      <c r="K57" s="1" t="s">
        <v>32</v>
      </c>
      <c r="L57" s="1" t="s">
        <v>32</v>
      </c>
      <c r="M57" s="1" t="s">
        <v>32</v>
      </c>
      <c r="N57" s="1" t="s">
        <v>32</v>
      </c>
      <c r="O57" s="1" t="s">
        <v>32</v>
      </c>
      <c r="P57" s="1" t="s">
        <v>32</v>
      </c>
      <c r="Q57" s="1" t="s">
        <v>32</v>
      </c>
      <c r="R57" s="1" t="s">
        <v>32</v>
      </c>
      <c r="S57" s="1" t="s">
        <v>32</v>
      </c>
      <c r="T57" s="1" t="s">
        <v>32</v>
      </c>
      <c r="U57" s="1" t="s">
        <v>32</v>
      </c>
      <c r="V57" s="1" t="s">
        <v>32</v>
      </c>
      <c r="W57" s="1" t="s">
        <v>32</v>
      </c>
      <c r="X57" s="1" t="s">
        <v>32</v>
      </c>
      <c r="Y57" s="1" t="s">
        <v>32</v>
      </c>
      <c r="Z57" s="1" t="s">
        <v>177</v>
      </c>
    </row>
    <row r="58" spans="1:26" x14ac:dyDescent="0.35">
      <c r="A58" s="5">
        <v>5</v>
      </c>
      <c r="B58" s="1" t="s">
        <v>166</v>
      </c>
      <c r="C58" s="1" t="s">
        <v>181</v>
      </c>
      <c r="D58" s="5" t="s">
        <v>182</v>
      </c>
      <c r="E58" s="5" t="s">
        <v>183</v>
      </c>
      <c r="F58" s="4">
        <v>5</v>
      </c>
      <c r="G58" s="1" t="s">
        <v>170</v>
      </c>
      <c r="H58" s="1" t="s">
        <v>31</v>
      </c>
      <c r="I58" s="1" t="s">
        <v>32</v>
      </c>
      <c r="J58" s="1" t="s">
        <v>32</v>
      </c>
      <c r="K58" s="1" t="s">
        <v>32</v>
      </c>
      <c r="L58" s="1" t="s">
        <v>32</v>
      </c>
      <c r="M58" s="1" t="s">
        <v>32</v>
      </c>
      <c r="N58" s="1" t="s">
        <v>32</v>
      </c>
      <c r="O58" s="1" t="s">
        <v>32</v>
      </c>
      <c r="P58" s="1" t="s">
        <v>32</v>
      </c>
      <c r="Q58" s="1" t="s">
        <v>32</v>
      </c>
      <c r="R58" s="1" t="s">
        <v>32</v>
      </c>
      <c r="S58" s="1" t="s">
        <v>32</v>
      </c>
      <c r="T58" s="1" t="s">
        <v>32</v>
      </c>
      <c r="U58" s="1" t="s">
        <v>32</v>
      </c>
      <c r="V58" s="1" t="s">
        <v>32</v>
      </c>
      <c r="W58" s="1" t="s">
        <v>32</v>
      </c>
      <c r="X58" s="1" t="s">
        <v>32</v>
      </c>
      <c r="Y58" s="1" t="s">
        <v>32</v>
      </c>
      <c r="Z58" s="1" t="s">
        <v>177</v>
      </c>
    </row>
    <row r="59" spans="1:26" x14ac:dyDescent="0.35">
      <c r="A59" s="5">
        <v>6</v>
      </c>
      <c r="B59" s="1" t="s">
        <v>166</v>
      </c>
      <c r="C59" s="1" t="s">
        <v>184</v>
      </c>
      <c r="D59" s="5" t="s">
        <v>185</v>
      </c>
      <c r="E59" s="5" t="s">
        <v>186</v>
      </c>
      <c r="F59" s="4">
        <v>5</v>
      </c>
      <c r="G59" s="1" t="s">
        <v>170</v>
      </c>
      <c r="H59" s="1" t="s">
        <v>31</v>
      </c>
      <c r="I59" s="1" t="s">
        <v>32</v>
      </c>
      <c r="J59" s="1" t="s">
        <v>32</v>
      </c>
      <c r="K59" s="1" t="s">
        <v>32</v>
      </c>
      <c r="L59" s="1" t="s">
        <v>32</v>
      </c>
      <c r="M59" s="1" t="s">
        <v>32</v>
      </c>
      <c r="N59" s="1" t="s">
        <v>32</v>
      </c>
      <c r="O59" s="1" t="s">
        <v>32</v>
      </c>
      <c r="P59" s="1" t="s">
        <v>32</v>
      </c>
      <c r="Q59" s="1" t="s">
        <v>32</v>
      </c>
      <c r="R59" s="1" t="s">
        <v>32</v>
      </c>
      <c r="S59" s="1" t="s">
        <v>32</v>
      </c>
      <c r="T59" s="1" t="s">
        <v>32</v>
      </c>
      <c r="U59" s="1" t="s">
        <v>32</v>
      </c>
      <c r="V59" s="1" t="s">
        <v>32</v>
      </c>
      <c r="W59" s="1" t="s">
        <v>32</v>
      </c>
      <c r="X59" s="1" t="s">
        <v>32</v>
      </c>
      <c r="Y59" s="1" t="s">
        <v>32</v>
      </c>
      <c r="Z59" s="1" t="s">
        <v>177</v>
      </c>
    </row>
    <row r="60" spans="1:26" x14ac:dyDescent="0.35">
      <c r="E60" s="7" t="s">
        <v>288</v>
      </c>
      <c r="F60" s="4">
        <f>SUM(F2:F59)</f>
        <v>384</v>
      </c>
    </row>
    <row r="62" spans="1:26" x14ac:dyDescent="0.35">
      <c r="A62" s="5" t="s">
        <v>187</v>
      </c>
      <c r="B62" s="1" t="s">
        <v>188</v>
      </c>
      <c r="C62" s="1" t="s">
        <v>189</v>
      </c>
      <c r="D62" s="5" t="s">
        <v>190</v>
      </c>
      <c r="E62" s="5" t="s">
        <v>191</v>
      </c>
    </row>
    <row r="63" spans="1:26" x14ac:dyDescent="0.35">
      <c r="A63" s="5" t="s">
        <v>192</v>
      </c>
      <c r="B63" s="1" t="s">
        <v>30</v>
      </c>
      <c r="C63" s="1" t="s">
        <v>30</v>
      </c>
      <c r="D63" s="5" t="s">
        <v>193</v>
      </c>
      <c r="E63" s="5" t="s">
        <v>194</v>
      </c>
    </row>
    <row r="64" spans="1:26" x14ac:dyDescent="0.35">
      <c r="A64" s="5" t="s">
        <v>195</v>
      </c>
      <c r="B64" s="1" t="s">
        <v>37</v>
      </c>
      <c r="C64" s="1" t="s">
        <v>37</v>
      </c>
      <c r="D64" s="5" t="s">
        <v>196</v>
      </c>
      <c r="E64" s="5" t="s">
        <v>197</v>
      </c>
    </row>
    <row r="65" spans="1:5" x14ac:dyDescent="0.35">
      <c r="A65" s="5" t="s">
        <v>198</v>
      </c>
      <c r="B65" s="1" t="s">
        <v>37</v>
      </c>
      <c r="C65" s="1" t="s">
        <v>37</v>
      </c>
      <c r="D65" s="5" t="s">
        <v>199</v>
      </c>
      <c r="E65" s="5" t="s">
        <v>200</v>
      </c>
    </row>
    <row r="66" spans="1:5" x14ac:dyDescent="0.35">
      <c r="A66" s="5" t="s">
        <v>201</v>
      </c>
      <c r="B66" s="1" t="s">
        <v>37</v>
      </c>
      <c r="C66" s="1" t="s">
        <v>37</v>
      </c>
      <c r="D66" s="5" t="s">
        <v>202</v>
      </c>
      <c r="E66" s="5" t="s">
        <v>203</v>
      </c>
    </row>
    <row r="67" spans="1:5" x14ac:dyDescent="0.35">
      <c r="A67" s="5" t="s">
        <v>204</v>
      </c>
      <c r="B67" s="1" t="s">
        <v>37</v>
      </c>
      <c r="C67" s="1" t="s">
        <v>37</v>
      </c>
      <c r="D67" s="5" t="s">
        <v>205</v>
      </c>
      <c r="E67" s="5" t="s">
        <v>206</v>
      </c>
    </row>
    <row r="68" spans="1:5" x14ac:dyDescent="0.35">
      <c r="A68" s="5" t="s">
        <v>207</v>
      </c>
      <c r="B68" s="1" t="s">
        <v>208</v>
      </c>
      <c r="C68" s="1" t="s">
        <v>208</v>
      </c>
      <c r="D68" s="5" t="s">
        <v>209</v>
      </c>
      <c r="E68" s="5" t="s">
        <v>210</v>
      </c>
    </row>
    <row r="69" spans="1:5" x14ac:dyDescent="0.35">
      <c r="A69" s="5" t="s">
        <v>211</v>
      </c>
      <c r="B69" s="1" t="s">
        <v>208</v>
      </c>
      <c r="C69" s="1" t="s">
        <v>208</v>
      </c>
      <c r="D69" s="5" t="s">
        <v>212</v>
      </c>
      <c r="E69" s="5" t="s">
        <v>213</v>
      </c>
    </row>
    <row r="70" spans="1:5" x14ac:dyDescent="0.35">
      <c r="A70" s="5" t="s">
        <v>214</v>
      </c>
      <c r="B70" s="1" t="s">
        <v>43</v>
      </c>
      <c r="C70" s="1" t="s">
        <v>43</v>
      </c>
      <c r="D70" s="5" t="s">
        <v>215</v>
      </c>
      <c r="E70" s="5" t="s">
        <v>216</v>
      </c>
    </row>
    <row r="71" spans="1:5" x14ac:dyDescent="0.35">
      <c r="A71" s="5" t="s">
        <v>217</v>
      </c>
      <c r="B71" s="1" t="s">
        <v>42</v>
      </c>
      <c r="C71" s="1" t="s">
        <v>42</v>
      </c>
      <c r="D71" s="5" t="s">
        <v>218</v>
      </c>
      <c r="E71" s="5" t="s">
        <v>219</v>
      </c>
    </row>
    <row r="72" spans="1:5" x14ac:dyDescent="0.35">
      <c r="A72" s="5" t="s">
        <v>220</v>
      </c>
      <c r="B72" s="1" t="s">
        <v>221</v>
      </c>
      <c r="C72" s="1" t="s">
        <v>221</v>
      </c>
      <c r="D72" s="5" t="s">
        <v>222</v>
      </c>
      <c r="E72" s="5" t="s">
        <v>223</v>
      </c>
    </row>
    <row r="73" spans="1:5" x14ac:dyDescent="0.35">
      <c r="A73" s="5" t="s">
        <v>224</v>
      </c>
      <c r="B73" s="1" t="s">
        <v>225</v>
      </c>
      <c r="C73" s="1" t="s">
        <v>225</v>
      </c>
      <c r="D73" s="5" t="s">
        <v>226</v>
      </c>
      <c r="E73" s="5" t="s">
        <v>227</v>
      </c>
    </row>
    <row r="74" spans="1:5" x14ac:dyDescent="0.35">
      <c r="A74" s="5" t="s">
        <v>228</v>
      </c>
      <c r="B74" s="1" t="s">
        <v>229</v>
      </c>
      <c r="C74" s="1" t="s">
        <v>229</v>
      </c>
      <c r="D74" s="5" t="s">
        <v>230</v>
      </c>
      <c r="E74" s="5" t="s">
        <v>231</v>
      </c>
    </row>
    <row r="75" spans="1:5" x14ac:dyDescent="0.35">
      <c r="A75" s="5" t="s">
        <v>232</v>
      </c>
      <c r="B75" s="1" t="s">
        <v>233</v>
      </c>
      <c r="C75" s="1" t="s">
        <v>233</v>
      </c>
      <c r="D75" s="5" t="s">
        <v>234</v>
      </c>
      <c r="E75" s="5" t="s">
        <v>246</v>
      </c>
    </row>
    <row r="76" spans="1:5" x14ac:dyDescent="0.35">
      <c r="A76" s="5" t="s">
        <v>235</v>
      </c>
      <c r="B76" s="1" t="s">
        <v>233</v>
      </c>
      <c r="C76" s="1" t="s">
        <v>233</v>
      </c>
      <c r="D76" s="5" t="s">
        <v>236</v>
      </c>
      <c r="E76" s="5" t="s">
        <v>247</v>
      </c>
    </row>
    <row r="77" spans="1:5" x14ac:dyDescent="0.35">
      <c r="A77" s="5" t="s">
        <v>237</v>
      </c>
      <c r="B77" s="1" t="s">
        <v>42</v>
      </c>
      <c r="C77" s="1" t="s">
        <v>42</v>
      </c>
      <c r="D77" s="5" t="s">
        <v>238</v>
      </c>
      <c r="E77" s="5" t="s">
        <v>248</v>
      </c>
    </row>
    <row r="78" spans="1:5" x14ac:dyDescent="0.35">
      <c r="A78" s="5" t="s">
        <v>239</v>
      </c>
      <c r="B78" s="1" t="s">
        <v>42</v>
      </c>
      <c r="C78" s="1" t="s">
        <v>42</v>
      </c>
      <c r="D78" s="5" t="s">
        <v>240</v>
      </c>
      <c r="E78" s="5" t="s">
        <v>249</v>
      </c>
    </row>
    <row r="79" spans="1:5" x14ac:dyDescent="0.35">
      <c r="A79" s="5" t="s">
        <v>241</v>
      </c>
      <c r="B79" s="1" t="s">
        <v>242</v>
      </c>
      <c r="C79" s="1" t="s">
        <v>242</v>
      </c>
      <c r="D79" s="5" t="s">
        <v>243</v>
      </c>
      <c r="E79" s="5" t="s">
        <v>250</v>
      </c>
    </row>
    <row r="80" spans="1:5" x14ac:dyDescent="0.35">
      <c r="A80" s="5" t="s">
        <v>244</v>
      </c>
      <c r="B80" s="1" t="s">
        <v>251</v>
      </c>
      <c r="C80" s="1" t="s">
        <v>251</v>
      </c>
      <c r="D80" s="5" t="s">
        <v>245</v>
      </c>
      <c r="E80" s="5" t="s">
        <v>252</v>
      </c>
    </row>
    <row r="83" spans="1:5" x14ac:dyDescent="0.35">
      <c r="A83" s="5" t="s">
        <v>253</v>
      </c>
      <c r="B83" s="1" t="s">
        <v>254</v>
      </c>
      <c r="C83" s="1" t="s">
        <v>6</v>
      </c>
      <c r="D83" s="5" t="s">
        <v>7</v>
      </c>
      <c r="E83" s="5" t="s">
        <v>255</v>
      </c>
    </row>
    <row r="84" spans="1:5" x14ac:dyDescent="0.35">
      <c r="A84" s="5" t="s">
        <v>256</v>
      </c>
      <c r="B84" s="1">
        <v>6</v>
      </c>
      <c r="C84" s="1" t="s">
        <v>257</v>
      </c>
      <c r="D84" s="5" t="s">
        <v>31</v>
      </c>
      <c r="E84" s="6">
        <v>1</v>
      </c>
    </row>
    <row r="85" spans="1:5" x14ac:dyDescent="0.35">
      <c r="A85" s="5" t="s">
        <v>258</v>
      </c>
      <c r="B85" s="1">
        <v>7</v>
      </c>
      <c r="C85" s="1" t="s">
        <v>259</v>
      </c>
      <c r="D85" s="5" t="s">
        <v>31</v>
      </c>
      <c r="E85" s="6">
        <v>1</v>
      </c>
    </row>
    <row r="86" spans="1:5" x14ac:dyDescent="0.35">
      <c r="A86" s="5" t="s">
        <v>260</v>
      </c>
      <c r="B86" s="1">
        <v>5</v>
      </c>
      <c r="C86" s="1" t="s">
        <v>261</v>
      </c>
      <c r="D86" s="5" t="s">
        <v>31</v>
      </c>
      <c r="E86" s="6">
        <v>1</v>
      </c>
    </row>
    <row r="87" spans="1:5" x14ac:dyDescent="0.35">
      <c r="A87" s="5" t="s">
        <v>262</v>
      </c>
      <c r="B87" s="1">
        <v>7</v>
      </c>
      <c r="C87" s="1" t="s">
        <v>263</v>
      </c>
      <c r="D87" s="5" t="s">
        <v>31</v>
      </c>
      <c r="E87" s="6">
        <v>1</v>
      </c>
    </row>
    <row r="88" spans="1:5" x14ac:dyDescent="0.35">
      <c r="A88" s="5" t="s">
        <v>264</v>
      </c>
      <c r="B88" s="1">
        <v>7</v>
      </c>
      <c r="C88" s="1" t="s">
        <v>263</v>
      </c>
      <c r="D88" s="5" t="s">
        <v>31</v>
      </c>
      <c r="E88" s="6">
        <v>1</v>
      </c>
    </row>
    <row r="89" spans="1:5" x14ac:dyDescent="0.35">
      <c r="A89" s="5" t="s">
        <v>265</v>
      </c>
      <c r="B89" s="1">
        <v>5</v>
      </c>
      <c r="C89" s="1" t="s">
        <v>233</v>
      </c>
      <c r="D89" s="5" t="s">
        <v>31</v>
      </c>
      <c r="E89" s="6">
        <v>1</v>
      </c>
    </row>
    <row r="90" spans="1:5" x14ac:dyDescent="0.35">
      <c r="A90" s="5" t="s">
        <v>266</v>
      </c>
      <c r="B90" s="1">
        <v>5</v>
      </c>
      <c r="C90" s="1" t="s">
        <v>233</v>
      </c>
      <c r="D90" s="5" t="s">
        <v>31</v>
      </c>
      <c r="E90" s="6">
        <v>1</v>
      </c>
    </row>
    <row r="91" spans="1:5" x14ac:dyDescent="0.35">
      <c r="A91" s="5" t="s">
        <v>267</v>
      </c>
      <c r="B91" s="1">
        <v>6</v>
      </c>
      <c r="C91" s="1" t="s">
        <v>268</v>
      </c>
      <c r="D91" s="5" t="s">
        <v>31</v>
      </c>
      <c r="E91" s="6">
        <v>1</v>
      </c>
    </row>
    <row r="92" spans="1:5" x14ac:dyDescent="0.35">
      <c r="A92" s="5" t="s">
        <v>269</v>
      </c>
      <c r="B92" s="1">
        <v>48</v>
      </c>
      <c r="C92" s="1" t="s">
        <v>245</v>
      </c>
      <c r="D92" s="5" t="s">
        <v>31</v>
      </c>
      <c r="E92" s="6">
        <v>1</v>
      </c>
    </row>
    <row r="95" spans="1:5" x14ac:dyDescent="0.35">
      <c r="A95" s="5" t="s">
        <v>270</v>
      </c>
      <c r="B95" s="1" t="s">
        <v>271</v>
      </c>
      <c r="C95" s="1" t="s">
        <v>272</v>
      </c>
    </row>
    <row r="96" spans="1:5" x14ac:dyDescent="0.35">
      <c r="A96" s="5" t="s">
        <v>273</v>
      </c>
      <c r="B96" s="2">
        <v>1</v>
      </c>
      <c r="C96" s="1" t="s">
        <v>274</v>
      </c>
    </row>
    <row r="97" spans="1:3" x14ac:dyDescent="0.35">
      <c r="A97" s="5" t="s">
        <v>275</v>
      </c>
      <c r="B97" s="2">
        <v>1</v>
      </c>
      <c r="C97" s="1" t="s">
        <v>276</v>
      </c>
    </row>
    <row r="98" spans="1:3" x14ac:dyDescent="0.35">
      <c r="A98" s="5" t="s">
        <v>277</v>
      </c>
      <c r="B98" s="2">
        <v>1</v>
      </c>
      <c r="C98" s="1" t="s">
        <v>278</v>
      </c>
    </row>
    <row r="99" spans="1:3" x14ac:dyDescent="0.35">
      <c r="A99" s="5" t="s">
        <v>279</v>
      </c>
      <c r="B99" s="2">
        <v>0</v>
      </c>
      <c r="C99" s="1" t="s">
        <v>280</v>
      </c>
    </row>
    <row r="100" spans="1:3" x14ac:dyDescent="0.35">
      <c r="A100" s="5" t="s">
        <v>281</v>
      </c>
      <c r="B100" s="2">
        <v>0</v>
      </c>
      <c r="C100" s="1" t="s">
        <v>282</v>
      </c>
    </row>
    <row r="101" spans="1:3" x14ac:dyDescent="0.35">
      <c r="A101" s="5" t="s">
        <v>283</v>
      </c>
      <c r="B101" s="1" t="s">
        <v>284</v>
      </c>
      <c r="C101" s="1" t="s">
        <v>285</v>
      </c>
    </row>
    <row r="102" spans="1:3" x14ac:dyDescent="0.35">
      <c r="A102" s="5" t="s">
        <v>286</v>
      </c>
      <c r="B102" s="1" t="s">
        <v>284</v>
      </c>
      <c r="C102" s="1" t="s">
        <v>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42BF-61EF-455A-8A9B-36BEE7BDB3F6}">
  <dimension ref="A1:J102"/>
  <sheetViews>
    <sheetView topLeftCell="C1" zoomScale="86" workbookViewId="0">
      <selection activeCell="M65" sqref="M65"/>
    </sheetView>
  </sheetViews>
  <sheetFormatPr defaultRowHeight="16" x14ac:dyDescent="0.4"/>
  <cols>
    <col min="1" max="1" width="8.7265625" style="173"/>
    <col min="2" max="2" width="20.1796875" style="173" customWidth="1"/>
    <col min="3" max="3" width="69.81640625" style="173" customWidth="1"/>
    <col min="4" max="4" width="17.36328125" style="173" customWidth="1"/>
    <col min="5" max="5" width="14.08984375" style="173" customWidth="1"/>
    <col min="6" max="6" width="19.90625" style="173" customWidth="1"/>
    <col min="7" max="7" width="14.6328125" style="173" customWidth="1"/>
    <col min="8" max="8" width="10.1796875" style="173" customWidth="1"/>
    <col min="9" max="16384" width="8.7265625" style="173"/>
  </cols>
  <sheetData>
    <row r="1" spans="1:8" ht="17" thickTop="1" thickBot="1" x14ac:dyDescent="0.45">
      <c r="A1" s="54" t="s">
        <v>0</v>
      </c>
      <c r="B1" s="55" t="s">
        <v>1</v>
      </c>
      <c r="C1" s="55" t="s">
        <v>2</v>
      </c>
      <c r="D1" s="55" t="s">
        <v>289</v>
      </c>
      <c r="E1" s="55" t="s">
        <v>290</v>
      </c>
      <c r="F1" s="55" t="s">
        <v>291</v>
      </c>
      <c r="G1" s="55" t="s">
        <v>292</v>
      </c>
      <c r="H1" s="55" t="s">
        <v>7</v>
      </c>
    </row>
    <row r="2" spans="1:8" ht="17" thickTop="1" thickBot="1" x14ac:dyDescent="0.45">
      <c r="A2" s="56" t="s">
        <v>369</v>
      </c>
      <c r="B2" s="57" t="s">
        <v>26</v>
      </c>
      <c r="C2" s="57" t="s">
        <v>27</v>
      </c>
      <c r="D2" s="58">
        <v>45236</v>
      </c>
      <c r="E2" s="58">
        <v>45240</v>
      </c>
      <c r="F2" s="59">
        <v>5</v>
      </c>
      <c r="G2" s="60">
        <f>F2/F8</f>
        <v>1.6891891891891893E-2</v>
      </c>
      <c r="H2" s="61" t="s">
        <v>293</v>
      </c>
    </row>
    <row r="3" spans="1:8" ht="17" thickTop="1" thickBot="1" x14ac:dyDescent="0.45">
      <c r="A3" s="56" t="s">
        <v>370</v>
      </c>
      <c r="B3" s="57" t="s">
        <v>26</v>
      </c>
      <c r="C3" s="57" t="s">
        <v>33</v>
      </c>
      <c r="D3" s="58">
        <v>45243</v>
      </c>
      <c r="E3" s="58">
        <v>45406</v>
      </c>
      <c r="F3" s="59">
        <v>164</v>
      </c>
      <c r="G3" s="60">
        <f>F3/F8</f>
        <v>0.55405405405405406</v>
      </c>
      <c r="H3" s="61" t="s">
        <v>293</v>
      </c>
    </row>
    <row r="4" spans="1:8" ht="17" thickTop="1" thickBot="1" x14ac:dyDescent="0.45">
      <c r="A4" s="56" t="s">
        <v>371</v>
      </c>
      <c r="B4" s="57" t="s">
        <v>26</v>
      </c>
      <c r="C4" s="57" t="s">
        <v>39</v>
      </c>
      <c r="D4" s="58">
        <v>45407</v>
      </c>
      <c r="E4" s="58">
        <v>45441</v>
      </c>
      <c r="F4" s="59">
        <v>35</v>
      </c>
      <c r="G4" s="60">
        <f>F4/F8</f>
        <v>0.11824324324324324</v>
      </c>
      <c r="H4" s="61" t="s">
        <v>293</v>
      </c>
    </row>
    <row r="5" spans="1:8" ht="17" thickTop="1" thickBot="1" x14ac:dyDescent="0.45">
      <c r="A5" s="56" t="s">
        <v>372</v>
      </c>
      <c r="B5" s="57" t="s">
        <v>26</v>
      </c>
      <c r="C5" s="57" t="s">
        <v>44</v>
      </c>
      <c r="D5" s="58">
        <v>45442</v>
      </c>
      <c r="E5" s="58">
        <v>45485</v>
      </c>
      <c r="F5" s="59">
        <v>44</v>
      </c>
      <c r="G5" s="60">
        <f>F5/F8</f>
        <v>0.14864864864864866</v>
      </c>
      <c r="H5" s="61" t="s">
        <v>293</v>
      </c>
    </row>
    <row r="6" spans="1:8" ht="17" thickTop="1" thickBot="1" x14ac:dyDescent="0.45">
      <c r="A6" s="56" t="s">
        <v>373</v>
      </c>
      <c r="B6" s="57" t="s">
        <v>26</v>
      </c>
      <c r="C6" s="57" t="s">
        <v>48</v>
      </c>
      <c r="D6" s="58">
        <v>45488</v>
      </c>
      <c r="E6" s="58">
        <v>45527</v>
      </c>
      <c r="F6" s="59">
        <v>40</v>
      </c>
      <c r="G6" s="60">
        <f>F6/F8</f>
        <v>0.13513513513513514</v>
      </c>
      <c r="H6" s="61" t="s">
        <v>293</v>
      </c>
    </row>
    <row r="7" spans="1:8" ht="17" thickTop="1" thickBot="1" x14ac:dyDescent="0.45">
      <c r="A7" s="56" t="s">
        <v>374</v>
      </c>
      <c r="B7" s="57" t="s">
        <v>26</v>
      </c>
      <c r="C7" s="57" t="s">
        <v>51</v>
      </c>
      <c r="D7" s="58">
        <v>45530</v>
      </c>
      <c r="E7" s="58">
        <v>45537</v>
      </c>
      <c r="F7" s="59">
        <v>8</v>
      </c>
      <c r="G7" s="60">
        <f>F7/F8</f>
        <v>2.7027027027027029E-2</v>
      </c>
      <c r="H7" s="61" t="s">
        <v>293</v>
      </c>
    </row>
    <row r="8" spans="1:8" ht="17" thickTop="1" thickBot="1" x14ac:dyDescent="0.45">
      <c r="A8" s="147"/>
      <c r="B8" s="181" t="s">
        <v>294</v>
      </c>
      <c r="C8" s="181"/>
      <c r="D8" s="148">
        <v>45236</v>
      </c>
      <c r="E8" s="148">
        <v>45537</v>
      </c>
      <c r="F8" s="149">
        <v>296</v>
      </c>
      <c r="G8" s="174"/>
      <c r="H8" s="146"/>
    </row>
    <row r="9" spans="1:8" ht="17" thickTop="1" thickBot="1" x14ac:dyDescent="0.45">
      <c r="A9" s="147"/>
      <c r="B9" s="181" t="s">
        <v>295</v>
      </c>
      <c r="C9" s="181"/>
      <c r="D9" s="152"/>
      <c r="E9" s="152"/>
      <c r="F9" s="153"/>
      <c r="G9" s="154">
        <f>F8/F61</f>
        <v>0.60040567951318458</v>
      </c>
      <c r="H9" s="146"/>
    </row>
    <row r="10" spans="1:8" ht="17" thickTop="1" thickBot="1" x14ac:dyDescent="0.45">
      <c r="A10" s="56" t="s">
        <v>369</v>
      </c>
      <c r="B10" s="57" t="s">
        <v>56</v>
      </c>
      <c r="C10" s="57" t="s">
        <v>57</v>
      </c>
      <c r="D10" s="58">
        <v>45538</v>
      </c>
      <c r="E10" s="58">
        <v>45538</v>
      </c>
      <c r="F10" s="59">
        <v>1</v>
      </c>
      <c r="G10" s="60">
        <f>F10/F17</f>
        <v>3.2258064516129031E-2</v>
      </c>
      <c r="H10" s="61" t="s">
        <v>293</v>
      </c>
    </row>
    <row r="11" spans="1:8" ht="17" thickTop="1" thickBot="1" x14ac:dyDescent="0.45">
      <c r="A11" s="56" t="s">
        <v>370</v>
      </c>
      <c r="B11" s="57" t="s">
        <v>56</v>
      </c>
      <c r="C11" s="57" t="s">
        <v>60</v>
      </c>
      <c r="D11" s="58">
        <v>45539</v>
      </c>
      <c r="E11" s="58">
        <v>45545</v>
      </c>
      <c r="F11" s="59">
        <v>7</v>
      </c>
      <c r="G11" s="60">
        <f>F11/F17</f>
        <v>0.22580645161290322</v>
      </c>
      <c r="H11" s="61" t="s">
        <v>293</v>
      </c>
    </row>
    <row r="12" spans="1:8" ht="17" thickTop="1" thickBot="1" x14ac:dyDescent="0.45">
      <c r="A12" s="56" t="s">
        <v>371</v>
      </c>
      <c r="B12" s="57" t="s">
        <v>56</v>
      </c>
      <c r="C12" s="57" t="s">
        <v>63</v>
      </c>
      <c r="D12" s="58">
        <v>45546</v>
      </c>
      <c r="E12" s="58">
        <v>45553</v>
      </c>
      <c r="F12" s="59">
        <v>8</v>
      </c>
      <c r="G12" s="60">
        <f>F12/F17</f>
        <v>0.25806451612903225</v>
      </c>
      <c r="H12" s="61" t="s">
        <v>293</v>
      </c>
    </row>
    <row r="13" spans="1:8" ht="17" thickTop="1" thickBot="1" x14ac:dyDescent="0.45">
      <c r="A13" s="56" t="s">
        <v>372</v>
      </c>
      <c r="B13" s="57" t="s">
        <v>56</v>
      </c>
      <c r="C13" s="57" t="s">
        <v>66</v>
      </c>
      <c r="D13" s="58">
        <v>45554</v>
      </c>
      <c r="E13" s="58">
        <v>45554</v>
      </c>
      <c r="F13" s="59">
        <v>1</v>
      </c>
      <c r="G13" s="60">
        <f>F13/F17</f>
        <v>3.2258064516129031E-2</v>
      </c>
      <c r="H13" s="61" t="s">
        <v>293</v>
      </c>
    </row>
    <row r="14" spans="1:8" ht="17" thickTop="1" thickBot="1" x14ac:dyDescent="0.45">
      <c r="A14" s="56" t="s">
        <v>373</v>
      </c>
      <c r="B14" s="57" t="s">
        <v>56</v>
      </c>
      <c r="C14" s="57" t="s">
        <v>68</v>
      </c>
      <c r="D14" s="58">
        <v>45555</v>
      </c>
      <c r="E14" s="58">
        <v>45561</v>
      </c>
      <c r="F14" s="59">
        <v>7</v>
      </c>
      <c r="G14" s="60">
        <f>F14/F17</f>
        <v>0.22580645161290322</v>
      </c>
      <c r="H14" s="61" t="s">
        <v>293</v>
      </c>
    </row>
    <row r="15" spans="1:8" ht="17" thickTop="1" thickBot="1" x14ac:dyDescent="0.45">
      <c r="A15" s="56" t="s">
        <v>374</v>
      </c>
      <c r="B15" s="57" t="s">
        <v>56</v>
      </c>
      <c r="C15" s="57" t="s">
        <v>71</v>
      </c>
      <c r="D15" s="58">
        <v>45562</v>
      </c>
      <c r="E15" s="58">
        <v>45565</v>
      </c>
      <c r="F15" s="59">
        <v>4</v>
      </c>
      <c r="G15" s="60">
        <f>F15/F17</f>
        <v>0.12903225806451613</v>
      </c>
      <c r="H15" s="61" t="s">
        <v>293</v>
      </c>
    </row>
    <row r="16" spans="1:8" ht="17" thickTop="1" thickBot="1" x14ac:dyDescent="0.45">
      <c r="A16" s="56" t="s">
        <v>375</v>
      </c>
      <c r="B16" s="155" t="s">
        <v>56</v>
      </c>
      <c r="C16" s="155" t="s">
        <v>1202</v>
      </c>
      <c r="D16" s="108">
        <v>45566</v>
      </c>
      <c r="E16" s="108">
        <v>45568</v>
      </c>
      <c r="F16" s="107">
        <v>3</v>
      </c>
      <c r="G16" s="143">
        <f>F16/F17</f>
        <v>9.6774193548387094E-2</v>
      </c>
      <c r="H16" s="144" t="s">
        <v>293</v>
      </c>
    </row>
    <row r="17" spans="1:8" ht="17" thickTop="1" thickBot="1" x14ac:dyDescent="0.45">
      <c r="A17" s="145"/>
      <c r="B17" s="158"/>
      <c r="C17" s="171" t="s">
        <v>296</v>
      </c>
      <c r="D17" s="148">
        <v>45538</v>
      </c>
      <c r="E17" s="148">
        <v>45568</v>
      </c>
      <c r="F17" s="149">
        <f>SUM(F10:F16)</f>
        <v>31</v>
      </c>
      <c r="G17" s="159"/>
      <c r="H17" s="146"/>
    </row>
    <row r="18" spans="1:8" ht="17" thickTop="1" thickBot="1" x14ac:dyDescent="0.45">
      <c r="A18" s="142"/>
      <c r="B18" s="156"/>
      <c r="C18" s="116" t="s">
        <v>297</v>
      </c>
      <c r="D18" s="151"/>
      <c r="E18" s="151"/>
      <c r="F18" s="151"/>
      <c r="G18" s="119">
        <f>F17/F61</f>
        <v>6.2880324543610547E-2</v>
      </c>
      <c r="H18" s="87"/>
    </row>
    <row r="19" spans="1:8" ht="17" thickTop="1" thickBot="1" x14ac:dyDescent="0.45">
      <c r="A19" s="56" t="s">
        <v>369</v>
      </c>
      <c r="B19" s="57" t="s">
        <v>78</v>
      </c>
      <c r="C19" s="57" t="s">
        <v>298</v>
      </c>
      <c r="D19" s="58">
        <v>45568</v>
      </c>
      <c r="E19" s="58">
        <v>45568</v>
      </c>
      <c r="F19" s="59">
        <v>1</v>
      </c>
      <c r="G19" s="60">
        <f>F19/F24</f>
        <v>3.4482758620689655E-2</v>
      </c>
      <c r="H19" s="61" t="s">
        <v>293</v>
      </c>
    </row>
    <row r="20" spans="1:8" ht="17" thickTop="1" thickBot="1" x14ac:dyDescent="0.45">
      <c r="A20" s="56" t="s">
        <v>370</v>
      </c>
      <c r="B20" s="57" t="s">
        <v>78</v>
      </c>
      <c r="C20" s="57" t="s">
        <v>1203</v>
      </c>
      <c r="D20" s="58">
        <v>45569</v>
      </c>
      <c r="E20" s="58">
        <v>45575</v>
      </c>
      <c r="F20" s="59">
        <v>7</v>
      </c>
      <c r="G20" s="60">
        <f>F20/F24</f>
        <v>0.2413793103448276</v>
      </c>
      <c r="H20" s="61" t="s">
        <v>293</v>
      </c>
    </row>
    <row r="21" spans="1:8" ht="17" thickTop="1" thickBot="1" x14ac:dyDescent="0.45">
      <c r="A21" s="56" t="s">
        <v>371</v>
      </c>
      <c r="B21" s="57" t="s">
        <v>78</v>
      </c>
      <c r="C21" s="57" t="s">
        <v>299</v>
      </c>
      <c r="D21" s="58">
        <v>45576</v>
      </c>
      <c r="E21" s="58">
        <v>45582</v>
      </c>
      <c r="F21" s="59">
        <v>7</v>
      </c>
      <c r="G21" s="60">
        <f>F21/F24</f>
        <v>0.2413793103448276</v>
      </c>
      <c r="H21" s="61" t="s">
        <v>293</v>
      </c>
    </row>
    <row r="22" spans="1:8" ht="17" thickTop="1" thickBot="1" x14ac:dyDescent="0.45">
      <c r="A22" s="56" t="s">
        <v>372</v>
      </c>
      <c r="B22" s="57" t="s">
        <v>78</v>
      </c>
      <c r="C22" s="57" t="s">
        <v>86</v>
      </c>
      <c r="D22" s="58">
        <v>45583</v>
      </c>
      <c r="E22" s="58">
        <v>45589</v>
      </c>
      <c r="F22" s="59">
        <v>7</v>
      </c>
      <c r="G22" s="60">
        <f>F22/F24</f>
        <v>0.2413793103448276</v>
      </c>
      <c r="H22" s="61" t="s">
        <v>293</v>
      </c>
    </row>
    <row r="23" spans="1:8" ht="17" thickTop="1" thickBot="1" x14ac:dyDescent="0.45">
      <c r="A23" s="56" t="s">
        <v>373</v>
      </c>
      <c r="B23" s="57" t="s">
        <v>78</v>
      </c>
      <c r="C23" s="57" t="s">
        <v>89</v>
      </c>
      <c r="D23" s="58">
        <v>45590</v>
      </c>
      <c r="E23" s="58">
        <v>45596</v>
      </c>
      <c r="F23" s="59">
        <v>7</v>
      </c>
      <c r="G23" s="60">
        <f>F23/F24</f>
        <v>0.2413793103448276</v>
      </c>
      <c r="H23" s="61" t="s">
        <v>293</v>
      </c>
    </row>
    <row r="24" spans="1:8" ht="17" thickTop="1" thickBot="1" x14ac:dyDescent="0.45">
      <c r="A24" s="147"/>
      <c r="B24" s="160"/>
      <c r="C24" s="171" t="s">
        <v>300</v>
      </c>
      <c r="D24" s="148">
        <v>45568</v>
      </c>
      <c r="E24" s="148">
        <v>45596</v>
      </c>
      <c r="F24" s="149">
        <f>SUM(F19:F23)</f>
        <v>29</v>
      </c>
      <c r="G24" s="159"/>
      <c r="H24" s="146"/>
    </row>
    <row r="25" spans="1:8" ht="17" thickTop="1" thickBot="1" x14ac:dyDescent="0.45">
      <c r="A25" s="89"/>
      <c r="B25" s="90"/>
      <c r="C25" s="116" t="s">
        <v>301</v>
      </c>
      <c r="D25" s="151"/>
      <c r="E25" s="150"/>
      <c r="F25" s="151"/>
      <c r="G25" s="119">
        <f>F24/F61</f>
        <v>5.8823529411764705E-2</v>
      </c>
      <c r="H25" s="87"/>
    </row>
    <row r="26" spans="1:8" ht="17" thickTop="1" thickBot="1" x14ac:dyDescent="0.45">
      <c r="A26" s="56" t="s">
        <v>369</v>
      </c>
      <c r="B26" s="57" t="s">
        <v>92</v>
      </c>
      <c r="C26" s="57" t="s">
        <v>93</v>
      </c>
      <c r="D26" s="58">
        <v>45597</v>
      </c>
      <c r="E26" s="58">
        <v>45597</v>
      </c>
      <c r="F26" s="59">
        <v>1</v>
      </c>
      <c r="G26" s="60">
        <f>F26/F37</f>
        <v>2.4390243902439025E-2</v>
      </c>
      <c r="H26" s="61" t="s">
        <v>293</v>
      </c>
    </row>
    <row r="27" spans="1:8" ht="17" thickTop="1" thickBot="1" x14ac:dyDescent="0.45">
      <c r="A27" s="56" t="s">
        <v>370</v>
      </c>
      <c r="B27" s="57" t="s">
        <v>92</v>
      </c>
      <c r="C27" s="57" t="s">
        <v>95</v>
      </c>
      <c r="D27" s="58">
        <v>45600</v>
      </c>
      <c r="E27" s="58">
        <v>45604</v>
      </c>
      <c r="F27" s="59">
        <v>5</v>
      </c>
      <c r="G27" s="60">
        <f>F27/F37</f>
        <v>0.12195121951219512</v>
      </c>
      <c r="H27" s="61" t="s">
        <v>293</v>
      </c>
    </row>
    <row r="28" spans="1:8" ht="17" thickTop="1" thickBot="1" x14ac:dyDescent="0.45">
      <c r="A28" s="56" t="s">
        <v>371</v>
      </c>
      <c r="B28" s="57" t="s">
        <v>92</v>
      </c>
      <c r="C28" s="57" t="s">
        <v>98</v>
      </c>
      <c r="D28" s="58">
        <v>45607</v>
      </c>
      <c r="E28" s="58">
        <v>45611</v>
      </c>
      <c r="F28" s="59">
        <v>5</v>
      </c>
      <c r="G28" s="60">
        <f>F28/F37</f>
        <v>0.12195121951219512</v>
      </c>
      <c r="H28" s="61" t="s">
        <v>293</v>
      </c>
    </row>
    <row r="29" spans="1:8" ht="17" thickTop="1" thickBot="1" x14ac:dyDescent="0.45">
      <c r="A29" s="56" t="s">
        <v>372</v>
      </c>
      <c r="B29" s="57" t="s">
        <v>92</v>
      </c>
      <c r="C29" s="57" t="s">
        <v>302</v>
      </c>
      <c r="D29" s="58">
        <v>45614</v>
      </c>
      <c r="E29" s="58">
        <v>45618</v>
      </c>
      <c r="F29" s="59">
        <v>5</v>
      </c>
      <c r="G29" s="60">
        <f>F29/F37</f>
        <v>0.12195121951219512</v>
      </c>
      <c r="H29" s="61" t="s">
        <v>293</v>
      </c>
    </row>
    <row r="30" spans="1:8" ht="17" thickTop="1" thickBot="1" x14ac:dyDescent="0.45">
      <c r="A30" s="56" t="s">
        <v>373</v>
      </c>
      <c r="B30" s="57" t="s">
        <v>92</v>
      </c>
      <c r="C30" s="57" t="s">
        <v>303</v>
      </c>
      <c r="D30" s="58">
        <v>45621</v>
      </c>
      <c r="E30" s="58">
        <v>45625</v>
      </c>
      <c r="F30" s="59">
        <v>5</v>
      </c>
      <c r="G30" s="60">
        <f>F30/F37</f>
        <v>0.12195121951219512</v>
      </c>
      <c r="H30" s="61" t="s">
        <v>293</v>
      </c>
    </row>
    <row r="31" spans="1:8" ht="17" thickTop="1" thickBot="1" x14ac:dyDescent="0.45">
      <c r="A31" s="56" t="s">
        <v>374</v>
      </c>
      <c r="B31" s="57" t="s">
        <v>92</v>
      </c>
      <c r="C31" s="57" t="s">
        <v>304</v>
      </c>
      <c r="D31" s="58">
        <v>45628</v>
      </c>
      <c r="E31" s="58">
        <v>45629</v>
      </c>
      <c r="F31" s="59">
        <v>2</v>
      </c>
      <c r="G31" s="60">
        <f>F31/F37</f>
        <v>4.878048780487805E-2</v>
      </c>
      <c r="H31" s="61" t="s">
        <v>293</v>
      </c>
    </row>
    <row r="32" spans="1:8" ht="17" thickTop="1" thickBot="1" x14ac:dyDescent="0.45">
      <c r="A32" s="56" t="s">
        <v>375</v>
      </c>
      <c r="B32" s="57" t="s">
        <v>92</v>
      </c>
      <c r="C32" s="57" t="s">
        <v>305</v>
      </c>
      <c r="D32" s="58">
        <v>45630</v>
      </c>
      <c r="E32" s="76">
        <v>45632</v>
      </c>
      <c r="F32" s="59">
        <v>3</v>
      </c>
      <c r="G32" s="60">
        <f>F32/F37</f>
        <v>7.3170731707317069E-2</v>
      </c>
      <c r="H32" s="61" t="s">
        <v>293</v>
      </c>
    </row>
    <row r="33" spans="1:8" ht="17" thickTop="1" thickBot="1" x14ac:dyDescent="0.45">
      <c r="A33" s="56" t="s">
        <v>376</v>
      </c>
      <c r="B33" s="57" t="s">
        <v>92</v>
      </c>
      <c r="C33" s="57" t="s">
        <v>306</v>
      </c>
      <c r="D33" s="58">
        <v>45635</v>
      </c>
      <c r="E33" s="76">
        <v>45636</v>
      </c>
      <c r="F33" s="59">
        <v>2</v>
      </c>
      <c r="G33" s="60">
        <f>F33/F37</f>
        <v>4.878048780487805E-2</v>
      </c>
      <c r="H33" s="61" t="s">
        <v>293</v>
      </c>
    </row>
    <row r="34" spans="1:8" ht="17" thickTop="1" thickBot="1" x14ac:dyDescent="0.45">
      <c r="A34" s="56" t="s">
        <v>377</v>
      </c>
      <c r="B34" s="57" t="s">
        <v>92</v>
      </c>
      <c r="C34" s="57" t="s">
        <v>307</v>
      </c>
      <c r="D34" s="58">
        <v>45637</v>
      </c>
      <c r="E34" s="58">
        <v>45639</v>
      </c>
      <c r="F34" s="59">
        <v>3</v>
      </c>
      <c r="G34" s="60">
        <f>F34/F37</f>
        <v>7.3170731707317069E-2</v>
      </c>
      <c r="H34" s="61" t="s">
        <v>293</v>
      </c>
    </row>
    <row r="35" spans="1:8" ht="17" thickTop="1" thickBot="1" x14ac:dyDescent="0.45">
      <c r="A35" s="56" t="s">
        <v>478</v>
      </c>
      <c r="B35" s="57" t="s">
        <v>92</v>
      </c>
      <c r="C35" s="57" t="s">
        <v>107</v>
      </c>
      <c r="D35" s="58">
        <v>45628</v>
      </c>
      <c r="E35" s="58">
        <v>45632</v>
      </c>
      <c r="F35" s="59">
        <v>5</v>
      </c>
      <c r="G35" s="60">
        <f>F35/F37</f>
        <v>0.12195121951219512</v>
      </c>
      <c r="H35" s="61" t="s">
        <v>293</v>
      </c>
    </row>
    <row r="36" spans="1:8" ht="17" thickTop="1" thickBot="1" x14ac:dyDescent="0.45">
      <c r="A36" s="161" t="s">
        <v>479</v>
      </c>
      <c r="B36" s="155" t="s">
        <v>92</v>
      </c>
      <c r="C36" s="155" t="s">
        <v>1202</v>
      </c>
      <c r="D36" s="108">
        <v>45635</v>
      </c>
      <c r="E36" s="108">
        <v>45639</v>
      </c>
      <c r="F36" s="107">
        <v>5</v>
      </c>
      <c r="G36" s="143">
        <f>F36/F37</f>
        <v>0.12195121951219512</v>
      </c>
      <c r="H36" s="144" t="s">
        <v>293</v>
      </c>
    </row>
    <row r="37" spans="1:8" ht="17" thickTop="1" thickBot="1" x14ac:dyDescent="0.45">
      <c r="A37" s="147"/>
      <c r="B37" s="160"/>
      <c r="C37" s="171" t="s">
        <v>308</v>
      </c>
      <c r="D37" s="148">
        <v>45597</v>
      </c>
      <c r="E37" s="163">
        <v>45639</v>
      </c>
      <c r="F37" s="149">
        <f>SUM(F26:F36)</f>
        <v>41</v>
      </c>
      <c r="G37" s="159"/>
      <c r="H37" s="146"/>
    </row>
    <row r="38" spans="1:8" ht="17" thickTop="1" thickBot="1" x14ac:dyDescent="0.45">
      <c r="A38" s="89"/>
      <c r="B38" s="90"/>
      <c r="C38" s="116" t="s">
        <v>309</v>
      </c>
      <c r="D38" s="151"/>
      <c r="E38" s="162"/>
      <c r="F38" s="151"/>
      <c r="G38" s="119">
        <f>F37/F61</f>
        <v>8.3164300202839755E-2</v>
      </c>
      <c r="H38" s="87"/>
    </row>
    <row r="39" spans="1:8" ht="17" thickTop="1" thickBot="1" x14ac:dyDescent="0.45">
      <c r="A39" s="56" t="s">
        <v>369</v>
      </c>
      <c r="B39" s="57" t="s">
        <v>112</v>
      </c>
      <c r="C39" s="57" t="s">
        <v>113</v>
      </c>
      <c r="D39" s="58">
        <v>45642</v>
      </c>
      <c r="E39" s="58">
        <v>45646</v>
      </c>
      <c r="F39" s="59">
        <v>5</v>
      </c>
      <c r="G39" s="60">
        <f>F39/F46</f>
        <v>0.14285714285714285</v>
      </c>
      <c r="H39" s="61" t="s">
        <v>293</v>
      </c>
    </row>
    <row r="40" spans="1:8" ht="17" thickTop="1" thickBot="1" x14ac:dyDescent="0.45">
      <c r="A40" s="56" t="s">
        <v>370</v>
      </c>
      <c r="B40" s="57" t="s">
        <v>112</v>
      </c>
      <c r="C40" s="57" t="s">
        <v>116</v>
      </c>
      <c r="D40" s="58">
        <v>45649</v>
      </c>
      <c r="E40" s="58">
        <v>45653</v>
      </c>
      <c r="F40" s="59">
        <v>5</v>
      </c>
      <c r="G40" s="60">
        <f>F40/F46</f>
        <v>0.14285714285714285</v>
      </c>
      <c r="H40" s="61" t="s">
        <v>293</v>
      </c>
    </row>
    <row r="41" spans="1:8" ht="17" thickTop="1" thickBot="1" x14ac:dyDescent="0.45">
      <c r="A41" s="56" t="s">
        <v>371</v>
      </c>
      <c r="B41" s="57" t="s">
        <v>112</v>
      </c>
      <c r="C41" s="57" t="s">
        <v>119</v>
      </c>
      <c r="D41" s="58">
        <v>45656</v>
      </c>
      <c r="E41" s="58">
        <v>45660</v>
      </c>
      <c r="F41" s="59">
        <v>5</v>
      </c>
      <c r="G41" s="60">
        <f>F41/F46</f>
        <v>0.14285714285714285</v>
      </c>
      <c r="H41" s="61" t="s">
        <v>293</v>
      </c>
    </row>
    <row r="42" spans="1:8" ht="17" thickTop="1" thickBot="1" x14ac:dyDescent="0.45">
      <c r="A42" s="56" t="s">
        <v>372</v>
      </c>
      <c r="B42" s="57" t="s">
        <v>112</v>
      </c>
      <c r="C42" s="57" t="s">
        <v>122</v>
      </c>
      <c r="D42" s="58">
        <v>45663</v>
      </c>
      <c r="E42" s="58">
        <v>45667</v>
      </c>
      <c r="F42" s="59">
        <v>5</v>
      </c>
      <c r="G42" s="60">
        <f>F42/F46</f>
        <v>0.14285714285714285</v>
      </c>
      <c r="H42" s="61" t="s">
        <v>293</v>
      </c>
    </row>
    <row r="43" spans="1:8" ht="17" thickTop="1" thickBot="1" x14ac:dyDescent="0.45">
      <c r="A43" s="56" t="s">
        <v>373</v>
      </c>
      <c r="B43" s="57" t="s">
        <v>112</v>
      </c>
      <c r="C43" s="57" t="s">
        <v>125</v>
      </c>
      <c r="D43" s="58">
        <v>45670</v>
      </c>
      <c r="E43" s="58">
        <v>45674</v>
      </c>
      <c r="F43" s="59">
        <v>5</v>
      </c>
      <c r="G43" s="60">
        <f>F43/F46</f>
        <v>0.14285714285714285</v>
      </c>
      <c r="H43" s="61" t="s">
        <v>293</v>
      </c>
    </row>
    <row r="44" spans="1:8" ht="17" thickTop="1" thickBot="1" x14ac:dyDescent="0.45">
      <c r="A44" s="56" t="s">
        <v>374</v>
      </c>
      <c r="B44" s="57" t="s">
        <v>112</v>
      </c>
      <c r="C44" s="57" t="s">
        <v>128</v>
      </c>
      <c r="D44" s="58">
        <v>45677</v>
      </c>
      <c r="E44" s="58">
        <v>45681</v>
      </c>
      <c r="F44" s="59">
        <v>5</v>
      </c>
      <c r="G44" s="60">
        <f>F44/F46</f>
        <v>0.14285714285714285</v>
      </c>
      <c r="H44" s="61" t="s">
        <v>293</v>
      </c>
    </row>
    <row r="45" spans="1:8" ht="17" thickTop="1" thickBot="1" x14ac:dyDescent="0.45">
      <c r="A45" s="56" t="s">
        <v>375</v>
      </c>
      <c r="B45" s="57" t="s">
        <v>112</v>
      </c>
      <c r="C45" s="57" t="s">
        <v>131</v>
      </c>
      <c r="D45" s="58">
        <v>45684</v>
      </c>
      <c r="E45" s="108">
        <v>45688</v>
      </c>
      <c r="F45" s="107">
        <v>5</v>
      </c>
      <c r="G45" s="143">
        <f>F45/F46</f>
        <v>0.14285714285714285</v>
      </c>
      <c r="H45" s="144" t="s">
        <v>293</v>
      </c>
    </row>
    <row r="46" spans="1:8" ht="17" thickTop="1" thickBot="1" x14ac:dyDescent="0.45">
      <c r="A46" s="147"/>
      <c r="B46" s="160"/>
      <c r="C46" s="171" t="s">
        <v>310</v>
      </c>
      <c r="D46" s="148">
        <v>45642</v>
      </c>
      <c r="E46" s="117">
        <v>45688</v>
      </c>
      <c r="F46" s="118">
        <f>SUM(F39:F45)</f>
        <v>35</v>
      </c>
      <c r="G46" s="157"/>
      <c r="H46" s="146"/>
    </row>
    <row r="47" spans="1:8" ht="17" thickTop="1" thickBot="1" x14ac:dyDescent="0.45">
      <c r="A47" s="89"/>
      <c r="B47" s="90"/>
      <c r="C47" s="116" t="s">
        <v>311</v>
      </c>
      <c r="D47" s="151"/>
      <c r="E47" s="152"/>
      <c r="F47" s="153"/>
      <c r="G47" s="154">
        <f>F46/F61</f>
        <v>7.099391480730223E-2</v>
      </c>
      <c r="H47" s="146"/>
    </row>
    <row r="48" spans="1:8" ht="17" thickTop="1" thickBot="1" x14ac:dyDescent="0.45">
      <c r="A48" s="56" t="s">
        <v>369</v>
      </c>
      <c r="B48" s="57" t="s">
        <v>134</v>
      </c>
      <c r="C48" s="57" t="s">
        <v>135</v>
      </c>
      <c r="D48" s="58">
        <v>45691</v>
      </c>
      <c r="E48" s="58">
        <v>45695</v>
      </c>
      <c r="F48" s="59">
        <v>5</v>
      </c>
      <c r="G48" s="60">
        <f>F48/F52</f>
        <v>0.25</v>
      </c>
      <c r="H48" s="61" t="s">
        <v>293</v>
      </c>
    </row>
    <row r="49" spans="1:8" ht="17" thickTop="1" thickBot="1" x14ac:dyDescent="0.45">
      <c r="A49" s="56" t="s">
        <v>370</v>
      </c>
      <c r="B49" s="57" t="s">
        <v>134</v>
      </c>
      <c r="C49" s="57" t="s">
        <v>138</v>
      </c>
      <c r="D49" s="58">
        <v>45698</v>
      </c>
      <c r="E49" s="58">
        <v>45702</v>
      </c>
      <c r="F49" s="59">
        <v>5</v>
      </c>
      <c r="G49" s="60">
        <f>F49/F52</f>
        <v>0.25</v>
      </c>
      <c r="H49" s="61" t="s">
        <v>293</v>
      </c>
    </row>
    <row r="50" spans="1:8" ht="17" thickTop="1" thickBot="1" x14ac:dyDescent="0.45">
      <c r="A50" s="56" t="s">
        <v>371</v>
      </c>
      <c r="B50" s="57" t="s">
        <v>134</v>
      </c>
      <c r="C50" s="57" t="s">
        <v>1204</v>
      </c>
      <c r="D50" s="58">
        <v>45705</v>
      </c>
      <c r="E50" s="58">
        <v>45709</v>
      </c>
      <c r="F50" s="59">
        <v>5</v>
      </c>
      <c r="G50" s="60">
        <f>F50/F52</f>
        <v>0.25</v>
      </c>
      <c r="H50" s="61" t="s">
        <v>293</v>
      </c>
    </row>
    <row r="51" spans="1:8" ht="17" thickTop="1" thickBot="1" x14ac:dyDescent="0.45">
      <c r="A51" s="161" t="s">
        <v>373</v>
      </c>
      <c r="B51" s="155" t="s">
        <v>134</v>
      </c>
      <c r="C51" s="155" t="s">
        <v>147</v>
      </c>
      <c r="D51" s="108">
        <v>45719</v>
      </c>
      <c r="E51" s="108">
        <v>45723</v>
      </c>
      <c r="F51" s="107">
        <v>5</v>
      </c>
      <c r="G51" s="143">
        <f>F51/F52</f>
        <v>0.25</v>
      </c>
      <c r="H51" s="144" t="s">
        <v>293</v>
      </c>
    </row>
    <row r="52" spans="1:8" ht="17" thickTop="1" thickBot="1" x14ac:dyDescent="0.45">
      <c r="A52" s="147"/>
      <c r="B52" s="160"/>
      <c r="C52" s="171" t="s">
        <v>312</v>
      </c>
      <c r="D52" s="148">
        <v>45691</v>
      </c>
      <c r="E52" s="148">
        <v>45723</v>
      </c>
      <c r="F52" s="149">
        <f>SUM(F48:F51)</f>
        <v>20</v>
      </c>
      <c r="G52" s="159"/>
      <c r="H52" s="146"/>
    </row>
    <row r="53" spans="1:8" ht="17" thickTop="1" thickBot="1" x14ac:dyDescent="0.45">
      <c r="A53" s="89"/>
      <c r="B53" s="90"/>
      <c r="C53" s="116" t="s">
        <v>313</v>
      </c>
      <c r="D53" s="151"/>
      <c r="E53" s="150"/>
      <c r="F53" s="151"/>
      <c r="G53" s="119">
        <f>F52/F61</f>
        <v>4.0567951318458417E-2</v>
      </c>
      <c r="H53" s="87"/>
    </row>
    <row r="54" spans="1:8" ht="17" thickTop="1" thickBot="1" x14ac:dyDescent="0.45">
      <c r="A54" s="56" t="s">
        <v>369</v>
      </c>
      <c r="B54" s="57" t="s">
        <v>150</v>
      </c>
      <c r="C54" s="57" t="s">
        <v>151</v>
      </c>
      <c r="D54" s="58">
        <v>45726</v>
      </c>
      <c r="E54" s="58">
        <v>45730</v>
      </c>
      <c r="F54" s="59">
        <v>5</v>
      </c>
      <c r="G54" s="60">
        <f>F54/F59</f>
        <v>0.12195121951219512</v>
      </c>
      <c r="H54" s="61" t="s">
        <v>293</v>
      </c>
    </row>
    <row r="55" spans="1:8" ht="17" thickTop="1" thickBot="1" x14ac:dyDescent="0.45">
      <c r="A55" s="56" t="s">
        <v>370</v>
      </c>
      <c r="B55" s="57" t="s">
        <v>150</v>
      </c>
      <c r="C55" s="57" t="s">
        <v>154</v>
      </c>
      <c r="D55" s="58">
        <v>45733</v>
      </c>
      <c r="E55" s="58">
        <v>45737</v>
      </c>
      <c r="F55" s="59">
        <v>5</v>
      </c>
      <c r="G55" s="60">
        <f>F55/F59</f>
        <v>0.12195121951219512</v>
      </c>
      <c r="H55" s="61" t="s">
        <v>293</v>
      </c>
    </row>
    <row r="56" spans="1:8" ht="17" thickTop="1" thickBot="1" x14ac:dyDescent="0.45">
      <c r="A56" s="56" t="s">
        <v>371</v>
      </c>
      <c r="B56" s="57" t="s">
        <v>150</v>
      </c>
      <c r="C56" s="57" t="s">
        <v>1205</v>
      </c>
      <c r="D56" s="58">
        <v>45740</v>
      </c>
      <c r="E56" s="58">
        <v>45744</v>
      </c>
      <c r="F56" s="59">
        <v>5</v>
      </c>
      <c r="G56" s="60">
        <f>F56/F59</f>
        <v>0.12195121951219512</v>
      </c>
      <c r="H56" s="61" t="s">
        <v>293</v>
      </c>
    </row>
    <row r="57" spans="1:8" ht="17" thickTop="1" thickBot="1" x14ac:dyDescent="0.45">
      <c r="A57" s="56" t="s">
        <v>372</v>
      </c>
      <c r="B57" s="57" t="s">
        <v>150</v>
      </c>
      <c r="C57" s="57" t="s">
        <v>160</v>
      </c>
      <c r="D57" s="58">
        <v>45747</v>
      </c>
      <c r="E57" s="58">
        <v>45751</v>
      </c>
      <c r="F57" s="59">
        <v>5</v>
      </c>
      <c r="G57" s="60">
        <f>F57/F59</f>
        <v>0.12195121951219512</v>
      </c>
      <c r="H57" s="61" t="s">
        <v>293</v>
      </c>
    </row>
    <row r="58" spans="1:8" ht="17" thickTop="1" thickBot="1" x14ac:dyDescent="0.45">
      <c r="A58" s="161" t="s">
        <v>373</v>
      </c>
      <c r="B58" s="155" t="s">
        <v>150</v>
      </c>
      <c r="C58" s="155" t="s">
        <v>1206</v>
      </c>
      <c r="D58" s="108">
        <v>45754</v>
      </c>
      <c r="E58" s="108">
        <v>45775</v>
      </c>
      <c r="F58" s="107">
        <v>21</v>
      </c>
      <c r="G58" s="167">
        <f>F58/F59</f>
        <v>0.51219512195121952</v>
      </c>
      <c r="H58" s="144" t="s">
        <v>293</v>
      </c>
    </row>
    <row r="59" spans="1:8" ht="17" thickTop="1" thickBot="1" x14ac:dyDescent="0.45">
      <c r="A59" s="147"/>
      <c r="B59" s="160"/>
      <c r="C59" s="171" t="s">
        <v>314</v>
      </c>
      <c r="D59" s="148">
        <v>45726</v>
      </c>
      <c r="E59" s="148">
        <f>E58</f>
        <v>45775</v>
      </c>
      <c r="F59" s="134">
        <f>SUM(F54:F58)</f>
        <v>41</v>
      </c>
      <c r="G59" s="159"/>
      <c r="H59" s="146"/>
    </row>
    <row r="60" spans="1:8" ht="17" thickTop="1" thickBot="1" x14ac:dyDescent="0.45">
      <c r="A60" s="147"/>
      <c r="B60" s="160"/>
      <c r="C60" s="171" t="s">
        <v>315</v>
      </c>
      <c r="D60" s="153"/>
      <c r="E60" s="152"/>
      <c r="F60" s="153"/>
      <c r="G60" s="154">
        <f>F59/F61</f>
        <v>8.3164300202839755E-2</v>
      </c>
      <c r="H60" s="146"/>
    </row>
    <row r="61" spans="1:8" ht="17" thickTop="1" thickBot="1" x14ac:dyDescent="0.45">
      <c r="A61" s="168"/>
      <c r="B61" s="169"/>
      <c r="C61" s="171" t="s">
        <v>316</v>
      </c>
      <c r="D61" s="152"/>
      <c r="E61" s="175"/>
      <c r="F61" s="149">
        <f>SUM(F59,F52,F46,F37,F24,F17,F8)</f>
        <v>493</v>
      </c>
      <c r="G61" s="153"/>
      <c r="H61" s="146"/>
    </row>
    <row r="62" spans="1:8" ht="17" thickTop="1" thickBot="1" x14ac:dyDescent="0.45">
      <c r="A62" s="168"/>
      <c r="B62" s="169"/>
      <c r="C62" s="171" t="s">
        <v>317</v>
      </c>
      <c r="D62" s="150"/>
      <c r="E62" s="175"/>
      <c r="F62" s="90"/>
      <c r="G62" s="154">
        <f>SUM(G9,G18,G25,G38,G47,G53,G60)</f>
        <v>1</v>
      </c>
      <c r="H62" s="170"/>
    </row>
    <row r="63" spans="1:8" ht="17" thickTop="1" thickBot="1" x14ac:dyDescent="0.45">
      <c r="A63" s="164"/>
      <c r="B63" s="165"/>
      <c r="C63" s="116" t="s">
        <v>1207</v>
      </c>
      <c r="D63" s="150"/>
      <c r="E63" s="175"/>
      <c r="F63" s="172">
        <f>F61/30.44</f>
        <v>16.1957950065703</v>
      </c>
      <c r="G63" s="151"/>
      <c r="H63" s="166"/>
    </row>
    <row r="64" spans="1:8" ht="17" thickTop="1" thickBot="1" x14ac:dyDescent="0.45">
      <c r="G64" s="176"/>
    </row>
    <row r="65" spans="1:10" ht="31" thickTop="1" thickBot="1" x14ac:dyDescent="0.45">
      <c r="A65" s="37" t="s">
        <v>319</v>
      </c>
      <c r="B65" s="37" t="s">
        <v>320</v>
      </c>
      <c r="C65" s="37" t="s">
        <v>321</v>
      </c>
      <c r="D65" s="37" t="s">
        <v>322</v>
      </c>
      <c r="E65" s="37" t="s">
        <v>323</v>
      </c>
      <c r="F65" s="37" t="s">
        <v>324</v>
      </c>
      <c r="G65" s="37" t="s">
        <v>1208</v>
      </c>
      <c r="H65" s="85" t="s">
        <v>738</v>
      </c>
      <c r="I65" s="85" t="s">
        <v>739</v>
      </c>
      <c r="J65" s="85" t="s">
        <v>737</v>
      </c>
    </row>
    <row r="66" spans="1:10" ht="17" thickTop="1" thickBot="1" x14ac:dyDescent="0.45">
      <c r="A66" s="38" t="s">
        <v>369</v>
      </c>
      <c r="B66" s="38" t="s">
        <v>325</v>
      </c>
      <c r="C66" s="177">
        <v>45236</v>
      </c>
      <c r="D66" s="177">
        <v>45260</v>
      </c>
      <c r="E66" s="38">
        <v>25</v>
      </c>
      <c r="F66" s="38">
        <v>5.08</v>
      </c>
      <c r="G66" s="38">
        <v>5.08</v>
      </c>
      <c r="H66" s="38">
        <v>5.08</v>
      </c>
      <c r="I66" s="38">
        <v>5.08</v>
      </c>
      <c r="J66" s="178">
        <f>I66-H66</f>
        <v>0</v>
      </c>
    </row>
    <row r="67" spans="1:10" ht="17" thickTop="1" thickBot="1" x14ac:dyDescent="0.45">
      <c r="A67" s="38" t="s">
        <v>370</v>
      </c>
      <c r="B67" s="38" t="s">
        <v>326</v>
      </c>
      <c r="C67" s="177">
        <v>45261</v>
      </c>
      <c r="D67" s="177">
        <v>45291</v>
      </c>
      <c r="E67" s="38">
        <v>31</v>
      </c>
      <c r="F67" s="38">
        <v>6.3</v>
      </c>
      <c r="G67" s="38">
        <v>11.38</v>
      </c>
      <c r="H67" s="38">
        <v>11.38</v>
      </c>
      <c r="I67" s="38">
        <v>11.38</v>
      </c>
      <c r="J67" s="178">
        <f t="shared" ref="J67:J82" si="0">I67-H67</f>
        <v>0</v>
      </c>
    </row>
    <row r="68" spans="1:10" ht="17" thickTop="1" thickBot="1" x14ac:dyDescent="0.45">
      <c r="A68" s="38" t="s">
        <v>371</v>
      </c>
      <c r="B68" s="38" t="s">
        <v>327</v>
      </c>
      <c r="C68" s="177">
        <v>45292</v>
      </c>
      <c r="D68" s="177">
        <v>45322</v>
      </c>
      <c r="E68" s="38">
        <v>31</v>
      </c>
      <c r="F68" s="38">
        <v>6.3</v>
      </c>
      <c r="G68" s="38">
        <v>17.68</v>
      </c>
      <c r="H68" s="38">
        <v>17.68</v>
      </c>
      <c r="I68" s="38">
        <v>17.68</v>
      </c>
      <c r="J68" s="178">
        <f t="shared" si="0"/>
        <v>0</v>
      </c>
    </row>
    <row r="69" spans="1:10" ht="17" thickTop="1" thickBot="1" x14ac:dyDescent="0.45">
      <c r="A69" s="38" t="s">
        <v>372</v>
      </c>
      <c r="B69" s="38" t="s">
        <v>328</v>
      </c>
      <c r="C69" s="177">
        <v>45323</v>
      </c>
      <c r="D69" s="177">
        <v>45351</v>
      </c>
      <c r="E69" s="38">
        <v>29</v>
      </c>
      <c r="F69" s="38">
        <v>5.89</v>
      </c>
      <c r="G69" s="38">
        <v>23.57</v>
      </c>
      <c r="H69" s="38">
        <v>23.57</v>
      </c>
      <c r="I69" s="38">
        <v>23.57</v>
      </c>
      <c r="J69" s="178">
        <f t="shared" si="0"/>
        <v>0</v>
      </c>
    </row>
    <row r="70" spans="1:10" ht="17" thickTop="1" thickBot="1" x14ac:dyDescent="0.45">
      <c r="A70" s="38" t="s">
        <v>373</v>
      </c>
      <c r="B70" s="38" t="s">
        <v>329</v>
      </c>
      <c r="C70" s="177">
        <v>45352</v>
      </c>
      <c r="D70" s="177">
        <v>45382</v>
      </c>
      <c r="E70" s="38">
        <v>31</v>
      </c>
      <c r="F70" s="38">
        <v>6.3</v>
      </c>
      <c r="G70" s="38">
        <v>29.87</v>
      </c>
      <c r="H70" s="38">
        <v>29.87</v>
      </c>
      <c r="I70" s="38">
        <v>29.87</v>
      </c>
      <c r="J70" s="178">
        <f t="shared" si="0"/>
        <v>0</v>
      </c>
    </row>
    <row r="71" spans="1:10" ht="17" thickTop="1" thickBot="1" x14ac:dyDescent="0.45">
      <c r="A71" s="38" t="s">
        <v>374</v>
      </c>
      <c r="B71" s="38" t="s">
        <v>330</v>
      </c>
      <c r="C71" s="177">
        <v>45383</v>
      </c>
      <c r="D71" s="177">
        <v>45412</v>
      </c>
      <c r="E71" s="38">
        <v>30</v>
      </c>
      <c r="F71" s="38">
        <v>6.1</v>
      </c>
      <c r="G71" s="38">
        <v>35.97</v>
      </c>
      <c r="H71" s="38">
        <v>35.97</v>
      </c>
      <c r="I71" s="38">
        <v>35.97</v>
      </c>
      <c r="J71" s="178">
        <f t="shared" si="0"/>
        <v>0</v>
      </c>
    </row>
    <row r="72" spans="1:10" ht="17" thickTop="1" thickBot="1" x14ac:dyDescent="0.45">
      <c r="A72" s="38" t="s">
        <v>375</v>
      </c>
      <c r="B72" s="38" t="s">
        <v>331</v>
      </c>
      <c r="C72" s="177">
        <v>45413</v>
      </c>
      <c r="D72" s="177">
        <v>45443</v>
      </c>
      <c r="E72" s="38">
        <v>31</v>
      </c>
      <c r="F72" s="38">
        <v>6.3</v>
      </c>
      <c r="G72" s="38">
        <v>42.27</v>
      </c>
      <c r="H72" s="38">
        <v>42.27</v>
      </c>
      <c r="I72" s="38">
        <v>42.27</v>
      </c>
      <c r="J72" s="178">
        <f t="shared" si="0"/>
        <v>0</v>
      </c>
    </row>
    <row r="73" spans="1:10" ht="17" thickTop="1" thickBot="1" x14ac:dyDescent="0.45">
      <c r="A73" s="38" t="s">
        <v>376</v>
      </c>
      <c r="B73" s="38" t="s">
        <v>332</v>
      </c>
      <c r="C73" s="177">
        <v>45444</v>
      </c>
      <c r="D73" s="177">
        <v>45473</v>
      </c>
      <c r="E73" s="38">
        <v>30</v>
      </c>
      <c r="F73" s="38">
        <v>6.1</v>
      </c>
      <c r="G73" s="38">
        <v>48.37</v>
      </c>
      <c r="H73" s="38">
        <v>48.37</v>
      </c>
      <c r="I73" s="38">
        <v>48.37</v>
      </c>
      <c r="J73" s="178">
        <f t="shared" si="0"/>
        <v>0</v>
      </c>
    </row>
    <row r="74" spans="1:10" ht="17" thickTop="1" thickBot="1" x14ac:dyDescent="0.45">
      <c r="A74" s="38" t="s">
        <v>377</v>
      </c>
      <c r="B74" s="38" t="s">
        <v>333</v>
      </c>
      <c r="C74" s="177">
        <v>45474</v>
      </c>
      <c r="D74" s="177">
        <v>45504</v>
      </c>
      <c r="E74" s="38">
        <v>31</v>
      </c>
      <c r="F74" s="38">
        <v>6.3</v>
      </c>
      <c r="G74" s="38">
        <v>54.67</v>
      </c>
      <c r="H74" s="38">
        <v>54.67</v>
      </c>
      <c r="I74" s="38">
        <v>54.67</v>
      </c>
      <c r="J74" s="178">
        <f t="shared" si="0"/>
        <v>0</v>
      </c>
    </row>
    <row r="75" spans="1:10" ht="17" thickTop="1" thickBot="1" x14ac:dyDescent="0.45">
      <c r="A75" s="38" t="s">
        <v>478</v>
      </c>
      <c r="B75" s="38" t="s">
        <v>334</v>
      </c>
      <c r="C75" s="177">
        <v>45505</v>
      </c>
      <c r="D75" s="177">
        <v>45535</v>
      </c>
      <c r="E75" s="38">
        <v>31</v>
      </c>
      <c r="F75" s="38">
        <v>6.3</v>
      </c>
      <c r="G75" s="38">
        <v>60.97</v>
      </c>
      <c r="H75" s="38">
        <v>60.97</v>
      </c>
      <c r="I75" s="38">
        <v>60.97</v>
      </c>
      <c r="J75" s="178">
        <f t="shared" si="0"/>
        <v>0</v>
      </c>
    </row>
    <row r="76" spans="1:10" ht="17" thickTop="1" thickBot="1" x14ac:dyDescent="0.45">
      <c r="A76" s="38" t="s">
        <v>479</v>
      </c>
      <c r="B76" s="38" t="s">
        <v>335</v>
      </c>
      <c r="C76" s="177">
        <v>45536</v>
      </c>
      <c r="D76" s="177">
        <v>45565</v>
      </c>
      <c r="E76" s="38">
        <v>30</v>
      </c>
      <c r="F76" s="38">
        <v>6.13</v>
      </c>
      <c r="G76" s="38">
        <v>67.099999999999994</v>
      </c>
      <c r="H76" s="38">
        <v>67.099999999999994</v>
      </c>
      <c r="I76" s="38">
        <v>67.099999999999994</v>
      </c>
      <c r="J76" s="178">
        <f t="shared" si="0"/>
        <v>0</v>
      </c>
    </row>
    <row r="77" spans="1:10" ht="17" thickTop="1" thickBot="1" x14ac:dyDescent="0.45">
      <c r="A77" s="38" t="s">
        <v>480</v>
      </c>
      <c r="B77" s="38" t="s">
        <v>336</v>
      </c>
      <c r="C77" s="177">
        <v>45566</v>
      </c>
      <c r="D77" s="177">
        <v>45596</v>
      </c>
      <c r="E77" s="38">
        <v>31</v>
      </c>
      <c r="F77" s="38">
        <v>6.22</v>
      </c>
      <c r="G77" s="38">
        <v>73.319999999999993</v>
      </c>
      <c r="H77" s="38">
        <v>73.319999999999993</v>
      </c>
      <c r="I77" s="38">
        <v>73.319999999999993</v>
      </c>
      <c r="J77" s="178">
        <f t="shared" si="0"/>
        <v>0</v>
      </c>
    </row>
    <row r="78" spans="1:10" ht="17" thickTop="1" thickBot="1" x14ac:dyDescent="0.45">
      <c r="A78" s="38" t="s">
        <v>481</v>
      </c>
      <c r="B78" s="38" t="s">
        <v>337</v>
      </c>
      <c r="C78" s="177">
        <v>45597</v>
      </c>
      <c r="D78" s="177">
        <v>45626</v>
      </c>
      <c r="E78" s="38">
        <v>30</v>
      </c>
      <c r="F78" s="38">
        <v>5.98</v>
      </c>
      <c r="G78" s="38">
        <v>79.3</v>
      </c>
      <c r="H78" s="38">
        <v>79.3</v>
      </c>
      <c r="I78" s="38">
        <v>79.3</v>
      </c>
      <c r="J78" s="178">
        <f t="shared" si="0"/>
        <v>0</v>
      </c>
    </row>
    <row r="79" spans="1:10" ht="17" thickTop="1" thickBot="1" x14ac:dyDescent="0.45">
      <c r="A79" s="38" t="s">
        <v>482</v>
      </c>
      <c r="B79" s="38" t="s">
        <v>338</v>
      </c>
      <c r="C79" s="177">
        <v>45627</v>
      </c>
      <c r="D79" s="177">
        <v>45657</v>
      </c>
      <c r="E79" s="38">
        <v>31</v>
      </c>
      <c r="F79" s="38">
        <v>6.19</v>
      </c>
      <c r="G79" s="38">
        <v>85.49</v>
      </c>
      <c r="H79" s="38">
        <v>85.49</v>
      </c>
      <c r="I79" s="38">
        <v>85.49</v>
      </c>
      <c r="J79" s="178">
        <f t="shared" si="0"/>
        <v>0</v>
      </c>
    </row>
    <row r="80" spans="1:10" ht="17" thickTop="1" thickBot="1" x14ac:dyDescent="0.45">
      <c r="A80" s="38" t="s">
        <v>483</v>
      </c>
      <c r="B80" s="38" t="s">
        <v>339</v>
      </c>
      <c r="C80" s="177">
        <v>45658</v>
      </c>
      <c r="D80" s="177">
        <v>45688</v>
      </c>
      <c r="E80" s="38">
        <v>31</v>
      </c>
      <c r="F80" s="38">
        <v>6.19</v>
      </c>
      <c r="G80" s="38">
        <v>91.68</v>
      </c>
      <c r="H80" s="38">
        <v>91.68</v>
      </c>
      <c r="I80" s="38">
        <v>91.68</v>
      </c>
      <c r="J80" s="178">
        <f t="shared" si="0"/>
        <v>0</v>
      </c>
    </row>
    <row r="81" spans="1:10" ht="17" thickTop="1" thickBot="1" x14ac:dyDescent="0.45">
      <c r="A81" s="38" t="s">
        <v>484</v>
      </c>
      <c r="B81" s="38" t="s">
        <v>340</v>
      </c>
      <c r="C81" s="177">
        <v>45689</v>
      </c>
      <c r="D81" s="177">
        <v>45716</v>
      </c>
      <c r="E81" s="38">
        <v>28</v>
      </c>
      <c r="F81" s="38">
        <v>5.59</v>
      </c>
      <c r="G81" s="38">
        <v>97.27</v>
      </c>
      <c r="H81" s="38">
        <v>97.27</v>
      </c>
      <c r="I81" s="38">
        <v>97.27</v>
      </c>
      <c r="J81" s="178">
        <f t="shared" si="0"/>
        <v>0</v>
      </c>
    </row>
    <row r="82" spans="1:10" ht="17" thickTop="1" thickBot="1" x14ac:dyDescent="0.45">
      <c r="A82" s="38" t="s">
        <v>485</v>
      </c>
      <c r="B82" s="38" t="s">
        <v>341</v>
      </c>
      <c r="C82" s="177">
        <v>45717</v>
      </c>
      <c r="D82" s="177">
        <v>45775</v>
      </c>
      <c r="E82" s="38">
        <v>59</v>
      </c>
      <c r="F82" s="38">
        <v>2.73</v>
      </c>
      <c r="G82" s="38">
        <v>100</v>
      </c>
      <c r="H82" s="38">
        <v>100</v>
      </c>
      <c r="I82" s="38">
        <v>100</v>
      </c>
      <c r="J82" s="178">
        <f t="shared" si="0"/>
        <v>0</v>
      </c>
    </row>
    <row r="83" spans="1:10" ht="16.5" thickTop="1" x14ac:dyDescent="0.4">
      <c r="A83" s="8"/>
      <c r="B83" s="10"/>
      <c r="C83" s="9"/>
      <c r="D83" s="9"/>
      <c r="E83" s="10"/>
      <c r="F83" s="11"/>
      <c r="G83" s="11"/>
    </row>
    <row r="84" spans="1:10" x14ac:dyDescent="0.4">
      <c r="A84" s="8"/>
      <c r="B84" s="10"/>
      <c r="C84" s="9"/>
      <c r="D84" s="9"/>
      <c r="E84" s="10"/>
      <c r="F84" s="11"/>
      <c r="G84" s="11"/>
    </row>
    <row r="85" spans="1:10" x14ac:dyDescent="0.4">
      <c r="A85" s="8"/>
      <c r="B85" s="10"/>
      <c r="C85" s="9"/>
      <c r="D85" s="9"/>
      <c r="E85" s="10"/>
      <c r="F85" s="11"/>
      <c r="G85" s="11"/>
      <c r="H85" s="129"/>
      <c r="I85" s="129"/>
      <c r="J85" s="129"/>
    </row>
    <row r="86" spans="1:10" x14ac:dyDescent="0.4">
      <c r="A86" s="8"/>
      <c r="B86" s="10"/>
      <c r="C86" s="9"/>
      <c r="D86" s="9"/>
      <c r="E86" s="10"/>
      <c r="F86" s="11"/>
      <c r="G86" s="11"/>
      <c r="H86" s="130"/>
      <c r="I86" s="130"/>
      <c r="J86" s="130"/>
    </row>
    <row r="87" spans="1:10" x14ac:dyDescent="0.4">
      <c r="A87" s="8"/>
      <c r="B87" s="10"/>
      <c r="C87" s="9"/>
      <c r="D87" s="9"/>
      <c r="E87" s="10"/>
      <c r="F87" s="11"/>
      <c r="G87" s="11"/>
      <c r="H87" s="130"/>
      <c r="I87" s="130"/>
      <c r="J87" s="130"/>
    </row>
    <row r="88" spans="1:10" x14ac:dyDescent="0.4">
      <c r="A88" s="8"/>
      <c r="B88" s="10"/>
      <c r="C88" s="9"/>
      <c r="D88" s="9"/>
      <c r="E88" s="10"/>
      <c r="F88" s="11"/>
      <c r="G88" s="11"/>
      <c r="H88" s="130"/>
      <c r="I88" s="130"/>
      <c r="J88" s="130"/>
    </row>
    <row r="89" spans="1:10" x14ac:dyDescent="0.4">
      <c r="H89" s="130"/>
      <c r="I89" s="130"/>
      <c r="J89" s="130"/>
    </row>
    <row r="90" spans="1:10" x14ac:dyDescent="0.4">
      <c r="H90" s="130"/>
      <c r="I90" s="130"/>
      <c r="J90" s="130"/>
    </row>
    <row r="91" spans="1:10" x14ac:dyDescent="0.4">
      <c r="H91" s="130"/>
      <c r="I91" s="130"/>
      <c r="J91" s="130"/>
    </row>
    <row r="92" spans="1:10" x14ac:dyDescent="0.4">
      <c r="H92" s="130"/>
      <c r="I92" s="130"/>
      <c r="J92" s="130"/>
    </row>
    <row r="93" spans="1:10" x14ac:dyDescent="0.4">
      <c r="H93" s="130"/>
      <c r="I93" s="130"/>
      <c r="J93" s="130"/>
    </row>
    <row r="94" spans="1:10" x14ac:dyDescent="0.4">
      <c r="H94" s="130"/>
      <c r="I94" s="130"/>
      <c r="J94" s="130"/>
    </row>
    <row r="95" spans="1:10" x14ac:dyDescent="0.4">
      <c r="H95" s="130"/>
      <c r="I95" s="130"/>
      <c r="J95" s="130"/>
    </row>
    <row r="96" spans="1:10" x14ac:dyDescent="0.4">
      <c r="H96" s="130"/>
      <c r="I96" s="130"/>
      <c r="J96" s="130"/>
    </row>
    <row r="97" spans="8:10" x14ac:dyDescent="0.4">
      <c r="H97" s="130"/>
      <c r="I97" s="130"/>
      <c r="J97" s="130"/>
    </row>
    <row r="98" spans="8:10" x14ac:dyDescent="0.4">
      <c r="H98" s="130"/>
      <c r="I98" s="130"/>
      <c r="J98" s="130"/>
    </row>
    <row r="99" spans="8:10" x14ac:dyDescent="0.4">
      <c r="H99" s="130"/>
      <c r="I99" s="130"/>
      <c r="J99" s="130"/>
    </row>
    <row r="100" spans="8:10" x14ac:dyDescent="0.4">
      <c r="H100" s="130"/>
      <c r="I100" s="130"/>
      <c r="J100" s="130"/>
    </row>
    <row r="101" spans="8:10" x14ac:dyDescent="0.4">
      <c r="H101" s="130"/>
      <c r="I101" s="130"/>
      <c r="J101" s="130"/>
    </row>
    <row r="102" spans="8:10" x14ac:dyDescent="0.4">
      <c r="H102" s="130"/>
      <c r="I102" s="130"/>
      <c r="J102" s="130"/>
    </row>
  </sheetData>
  <mergeCells count="2">
    <mergeCell ref="B8:C8"/>
    <mergeCell ref="B9:C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229A-7956-4C6D-BE6F-01FAA264485F}">
  <dimension ref="A1:J12"/>
  <sheetViews>
    <sheetView topLeftCell="B1" zoomScale="66" workbookViewId="0">
      <selection activeCell="I7" sqref="I7:I8"/>
    </sheetView>
  </sheetViews>
  <sheetFormatPr defaultRowHeight="14.5" x14ac:dyDescent="0.35"/>
  <cols>
    <col min="1" max="1" width="10.26953125" style="83" customWidth="1"/>
    <col min="2" max="2" width="12.54296875" style="83" customWidth="1"/>
    <col min="3" max="3" width="15.1796875" style="92" customWidth="1"/>
    <col min="4" max="4" width="17.453125" style="83" customWidth="1"/>
    <col min="5" max="5" width="12.36328125" style="83" customWidth="1"/>
    <col min="6" max="6" width="19" customWidth="1"/>
    <col min="7" max="7" width="18.08984375" style="65" customWidth="1"/>
    <col min="8" max="8" width="17.54296875" customWidth="1"/>
    <col min="9" max="9" width="21.54296875" customWidth="1"/>
    <col min="10" max="10" width="8.7265625" style="93"/>
  </cols>
  <sheetData>
    <row r="1" spans="1:10" s="91" customFormat="1" ht="16" thickTop="1" thickBot="1" x14ac:dyDescent="0.4">
      <c r="A1" s="54" t="s">
        <v>725</v>
      </c>
      <c r="B1" s="55" t="s">
        <v>736</v>
      </c>
      <c r="C1" s="55" t="s">
        <v>321</v>
      </c>
      <c r="D1" s="55" t="s">
        <v>322</v>
      </c>
      <c r="E1" s="55" t="s">
        <v>919</v>
      </c>
      <c r="F1" s="55" t="s">
        <v>734</v>
      </c>
      <c r="G1" s="55" t="s">
        <v>738</v>
      </c>
      <c r="H1" s="55" t="s">
        <v>739</v>
      </c>
      <c r="I1" s="55" t="s">
        <v>737</v>
      </c>
      <c r="J1" s="55" t="s">
        <v>726</v>
      </c>
    </row>
    <row r="2" spans="1:10" ht="16.5" thickTop="1" thickBot="1" x14ac:dyDescent="0.4">
      <c r="A2" s="56" t="s">
        <v>727</v>
      </c>
      <c r="B2" s="59">
        <v>6</v>
      </c>
      <c r="C2" s="58">
        <v>45236</v>
      </c>
      <c r="D2" s="58">
        <v>45537</v>
      </c>
      <c r="E2" s="59">
        <f>master!F8</f>
        <v>296</v>
      </c>
      <c r="F2" s="104">
        <f>E2/E9</f>
        <v>0.60040567951318458</v>
      </c>
      <c r="G2" s="104">
        <f>F2/F9</f>
        <v>0.60040567951318458</v>
      </c>
      <c r="H2" s="104">
        <f>G2/F9</f>
        <v>0.60040567951318458</v>
      </c>
      <c r="I2" s="59">
        <f>H2-G2</f>
        <v>0</v>
      </c>
      <c r="J2" s="105" t="s">
        <v>724</v>
      </c>
    </row>
    <row r="3" spans="1:10" ht="16.5" thickTop="1" thickBot="1" x14ac:dyDescent="0.4">
      <c r="A3" s="56" t="s">
        <v>728</v>
      </c>
      <c r="B3" s="59">
        <v>8</v>
      </c>
      <c r="C3" s="58">
        <v>45538</v>
      </c>
      <c r="D3" s="58">
        <v>45568</v>
      </c>
      <c r="E3" s="59">
        <f>master!F17</f>
        <v>31</v>
      </c>
      <c r="F3" s="104">
        <f>E3/E9</f>
        <v>6.2880324543610547E-2</v>
      </c>
      <c r="G3" s="104">
        <f>G2+F3</f>
        <v>0.66328600405679516</v>
      </c>
      <c r="H3" s="104">
        <f>H2+F3</f>
        <v>0.66328600405679516</v>
      </c>
      <c r="I3" s="59">
        <f>H3-G3</f>
        <v>0</v>
      </c>
      <c r="J3" s="105" t="s">
        <v>724</v>
      </c>
    </row>
    <row r="4" spans="1:10" ht="16.5" thickTop="1" thickBot="1" x14ac:dyDescent="0.4">
      <c r="A4" s="56" t="s">
        <v>729</v>
      </c>
      <c r="B4" s="59">
        <v>5</v>
      </c>
      <c r="C4" s="58">
        <v>45568</v>
      </c>
      <c r="D4" s="58">
        <v>45596</v>
      </c>
      <c r="E4" s="59">
        <f>master!F24</f>
        <v>29</v>
      </c>
      <c r="F4" s="104">
        <f>E4/E9</f>
        <v>5.8823529411764705E-2</v>
      </c>
      <c r="G4" s="104">
        <f>G3+F4</f>
        <v>0.72210953346855988</v>
      </c>
      <c r="H4" s="104">
        <f>H3+F4</f>
        <v>0.72210953346855988</v>
      </c>
      <c r="I4" s="59">
        <f>H4-G4</f>
        <v>0</v>
      </c>
      <c r="J4" s="105" t="s">
        <v>724</v>
      </c>
    </row>
    <row r="5" spans="1:10" ht="16.5" thickTop="1" thickBot="1" x14ac:dyDescent="0.4">
      <c r="A5" s="56" t="s">
        <v>730</v>
      </c>
      <c r="B5" s="59">
        <v>11</v>
      </c>
      <c r="C5" s="58">
        <v>45597</v>
      </c>
      <c r="D5" s="58">
        <v>45639</v>
      </c>
      <c r="E5" s="59">
        <f>master!F37</f>
        <v>41</v>
      </c>
      <c r="F5" s="104">
        <f>E5/E9</f>
        <v>8.3164300202839755E-2</v>
      </c>
      <c r="G5" s="104">
        <f>G4+F5</f>
        <v>0.8052738336713996</v>
      </c>
      <c r="H5" s="104">
        <f>H4+F5</f>
        <v>0.8052738336713996</v>
      </c>
      <c r="I5" s="59">
        <f>H5-G5</f>
        <v>0</v>
      </c>
      <c r="J5" s="105" t="s">
        <v>724</v>
      </c>
    </row>
    <row r="6" spans="1:10" ht="16.5" thickTop="1" thickBot="1" x14ac:dyDescent="0.4">
      <c r="A6" s="56" t="s">
        <v>731</v>
      </c>
      <c r="B6" s="59">
        <v>7</v>
      </c>
      <c r="C6" s="58">
        <v>45642</v>
      </c>
      <c r="D6" s="58">
        <v>45688</v>
      </c>
      <c r="E6" s="59">
        <f>master!F46</f>
        <v>35</v>
      </c>
      <c r="F6" s="104">
        <f>E6/E9</f>
        <v>7.099391480730223E-2</v>
      </c>
      <c r="G6" s="104">
        <f>G5+F6</f>
        <v>0.87626774847870181</v>
      </c>
      <c r="H6" s="104">
        <f>H5+F6</f>
        <v>0.87626774847870181</v>
      </c>
      <c r="I6" s="59">
        <f>H6-G6</f>
        <v>0</v>
      </c>
      <c r="J6" s="106" t="s">
        <v>293</v>
      </c>
    </row>
    <row r="7" spans="1:10" ht="16.5" thickTop="1" thickBot="1" x14ac:dyDescent="0.4">
      <c r="A7" s="56" t="s">
        <v>732</v>
      </c>
      <c r="B7" s="59">
        <v>5</v>
      </c>
      <c r="C7" s="58">
        <v>45691</v>
      </c>
      <c r="D7" s="58">
        <v>45723</v>
      </c>
      <c r="E7" s="59">
        <f>master!F52</f>
        <v>20</v>
      </c>
      <c r="F7" s="104">
        <f>E7/E9</f>
        <v>4.0567951318458417E-2</v>
      </c>
      <c r="G7" s="104">
        <f>G6+F7</f>
        <v>0.91683569979716029</v>
      </c>
      <c r="H7" s="104">
        <f>H6+F7</f>
        <v>0.91683569979716029</v>
      </c>
      <c r="I7" s="59">
        <f>H7-G7</f>
        <v>0</v>
      </c>
      <c r="J7" s="106" t="s">
        <v>293</v>
      </c>
    </row>
    <row r="8" spans="1:10" ht="16.5" thickTop="1" thickBot="1" x14ac:dyDescent="0.4">
      <c r="A8" s="56" t="s">
        <v>733</v>
      </c>
      <c r="B8" s="107">
        <v>5</v>
      </c>
      <c r="C8" s="108">
        <v>45726</v>
      </c>
      <c r="D8" s="108">
        <v>45980</v>
      </c>
      <c r="E8" s="107">
        <f>master!F59</f>
        <v>41</v>
      </c>
      <c r="F8" s="109">
        <f>E8/E9</f>
        <v>8.3164300202839755E-2</v>
      </c>
      <c r="G8" s="109">
        <f>G7+F8</f>
        <v>1</v>
      </c>
      <c r="H8" s="109">
        <f>H7+F8</f>
        <v>1</v>
      </c>
      <c r="I8" s="59">
        <f>H8-G8</f>
        <v>0</v>
      </c>
      <c r="J8" s="110" t="s">
        <v>293</v>
      </c>
    </row>
    <row r="9" spans="1:10" ht="16.5" thickTop="1" thickBot="1" x14ac:dyDescent="0.4">
      <c r="A9" s="111"/>
      <c r="B9" s="182" t="s">
        <v>735</v>
      </c>
      <c r="C9" s="183"/>
      <c r="D9" s="183"/>
      <c r="E9" s="112">
        <f>master!F61</f>
        <v>493</v>
      </c>
      <c r="F9" s="115">
        <f>SUM(F2:F8)</f>
        <v>1</v>
      </c>
      <c r="G9" s="115"/>
      <c r="H9" s="113"/>
      <c r="I9" s="113"/>
      <c r="J9" s="114"/>
    </row>
    <row r="10" spans="1:10" ht="15" thickTop="1" x14ac:dyDescent="0.35">
      <c r="G10" s="84"/>
    </row>
    <row r="12" spans="1:10" x14ac:dyDescent="0.35">
      <c r="D12" s="84"/>
    </row>
  </sheetData>
  <mergeCells count="1">
    <mergeCell ref="B9:D9"/>
  </mergeCells>
  <phoneticPr fontId="1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CC4C-C28B-484F-8C83-942D5F0D0C90}">
  <dimension ref="A1:G213"/>
  <sheetViews>
    <sheetView topLeftCell="A198" zoomScaleNormal="100" workbookViewId="0">
      <selection activeCell="A206" sqref="A206:E212"/>
    </sheetView>
  </sheetViews>
  <sheetFormatPr defaultRowHeight="15.5" x14ac:dyDescent="0.35"/>
  <cols>
    <col min="1" max="4" width="8.7265625" style="1"/>
    <col min="5" max="5" width="47.81640625" style="1" customWidth="1"/>
    <col min="6" max="7" width="8.7265625" style="1"/>
    <col min="8" max="8" width="17.90625" style="1" customWidth="1"/>
    <col min="9" max="9" width="35.08984375" style="1" customWidth="1"/>
    <col min="10" max="16384" width="8.7265625" style="1"/>
  </cols>
  <sheetData>
    <row r="1" spans="1:7" ht="30.5" thickBot="1" x14ac:dyDescent="0.4">
      <c r="A1" s="15" t="s">
        <v>319</v>
      </c>
      <c r="B1" s="16" t="s">
        <v>342</v>
      </c>
      <c r="C1" s="16" t="s">
        <v>343</v>
      </c>
      <c r="D1" s="16" t="s">
        <v>344</v>
      </c>
      <c r="E1" s="16" t="s">
        <v>345</v>
      </c>
      <c r="G1" s="17"/>
    </row>
    <row r="2" spans="1:7" ht="31.5" thickBot="1" x14ac:dyDescent="0.4">
      <c r="A2" s="12" t="s">
        <v>369</v>
      </c>
      <c r="B2" s="13" t="s">
        <v>368</v>
      </c>
      <c r="C2" s="13" t="s">
        <v>347</v>
      </c>
      <c r="D2" s="13" t="s">
        <v>348</v>
      </c>
      <c r="E2" s="14" t="s">
        <v>349</v>
      </c>
      <c r="G2" s="17"/>
    </row>
    <row r="3" spans="1:7" ht="31.5" thickBot="1" x14ac:dyDescent="0.4">
      <c r="A3" s="12" t="s">
        <v>370</v>
      </c>
      <c r="B3" s="13" t="s">
        <v>350</v>
      </c>
      <c r="C3" s="13" t="s">
        <v>351</v>
      </c>
      <c r="D3" s="13">
        <v>50</v>
      </c>
      <c r="E3" s="14" t="s">
        <v>352</v>
      </c>
      <c r="G3" s="17"/>
    </row>
    <row r="4" spans="1:7" ht="31.5" thickBot="1" x14ac:dyDescent="0.4">
      <c r="A4" s="12" t="s">
        <v>371</v>
      </c>
      <c r="B4" s="13" t="s">
        <v>353</v>
      </c>
      <c r="C4" s="13" t="s">
        <v>351</v>
      </c>
      <c r="D4" s="13">
        <v>20</v>
      </c>
      <c r="E4" s="14" t="s">
        <v>354</v>
      </c>
    </row>
    <row r="5" spans="1:7" ht="31.5" thickBot="1" x14ac:dyDescent="0.4">
      <c r="A5" s="12" t="s">
        <v>372</v>
      </c>
      <c r="B5" s="13" t="s">
        <v>355</v>
      </c>
      <c r="C5" s="13" t="s">
        <v>356</v>
      </c>
      <c r="D5" s="13" t="s">
        <v>348</v>
      </c>
      <c r="E5" s="14" t="s">
        <v>367</v>
      </c>
    </row>
    <row r="6" spans="1:7" ht="31.5" thickBot="1" x14ac:dyDescent="0.4">
      <c r="A6" s="12" t="s">
        <v>373</v>
      </c>
      <c r="B6" s="13" t="s">
        <v>357</v>
      </c>
      <c r="C6" s="13" t="s">
        <v>351</v>
      </c>
      <c r="D6" s="13">
        <v>50</v>
      </c>
      <c r="E6" s="14" t="s">
        <v>358</v>
      </c>
    </row>
    <row r="7" spans="1:7" ht="31.5" thickBot="1" x14ac:dyDescent="0.4">
      <c r="A7" s="12" t="s">
        <v>374</v>
      </c>
      <c r="B7" s="13" t="s">
        <v>359</v>
      </c>
      <c r="C7" s="13" t="s">
        <v>351</v>
      </c>
      <c r="D7" s="13">
        <v>125</v>
      </c>
      <c r="E7" s="14" t="s">
        <v>360</v>
      </c>
    </row>
    <row r="8" spans="1:7" ht="16" thickBot="1" x14ac:dyDescent="0.4">
      <c r="A8" s="12" t="s">
        <v>375</v>
      </c>
      <c r="B8" s="13" t="s">
        <v>361</v>
      </c>
      <c r="C8" s="13" t="s">
        <v>351</v>
      </c>
      <c r="D8" s="13">
        <v>20</v>
      </c>
      <c r="E8" s="14" t="s">
        <v>362</v>
      </c>
    </row>
    <row r="9" spans="1:7" ht="31.5" thickBot="1" x14ac:dyDescent="0.4">
      <c r="A9" s="12" t="s">
        <v>376</v>
      </c>
      <c r="B9" s="13" t="s">
        <v>363</v>
      </c>
      <c r="C9" s="13" t="s">
        <v>351</v>
      </c>
      <c r="D9" s="13">
        <v>50</v>
      </c>
      <c r="E9" s="14" t="s">
        <v>364</v>
      </c>
    </row>
    <row r="10" spans="1:7" ht="16" thickBot="1" x14ac:dyDescent="0.4">
      <c r="A10" s="12" t="s">
        <v>377</v>
      </c>
      <c r="B10" s="13" t="s">
        <v>365</v>
      </c>
      <c r="C10" s="13" t="s">
        <v>351</v>
      </c>
      <c r="D10" s="13">
        <v>125</v>
      </c>
      <c r="E10" s="14" t="s">
        <v>366</v>
      </c>
    </row>
    <row r="11" spans="1:7" ht="16" thickBot="1" x14ac:dyDescent="0.4"/>
    <row r="12" spans="1:7" ht="30.5" thickBot="1" x14ac:dyDescent="0.4">
      <c r="A12" s="18" t="s">
        <v>319</v>
      </c>
      <c r="B12" s="19" t="s">
        <v>342</v>
      </c>
      <c r="C12" s="19" t="s">
        <v>343</v>
      </c>
      <c r="D12" s="19" t="s">
        <v>344</v>
      </c>
      <c r="E12" s="19" t="s">
        <v>345</v>
      </c>
    </row>
    <row r="13" spans="1:7" ht="141.5" customHeight="1" thickBot="1" x14ac:dyDescent="0.4">
      <c r="A13" s="12" t="s">
        <v>369</v>
      </c>
      <c r="B13" s="13" t="s">
        <v>368</v>
      </c>
      <c r="C13" s="13" t="s">
        <v>347</v>
      </c>
      <c r="D13" s="13" t="s">
        <v>348</v>
      </c>
      <c r="E13" s="20" t="s">
        <v>380</v>
      </c>
    </row>
    <row r="14" spans="1:7" ht="110.5" customHeight="1" thickBot="1" x14ac:dyDescent="0.4">
      <c r="A14" s="12" t="s">
        <v>370</v>
      </c>
      <c r="B14" s="13" t="s">
        <v>382</v>
      </c>
      <c r="C14" s="13" t="s">
        <v>351</v>
      </c>
      <c r="D14" s="13">
        <v>50</v>
      </c>
      <c r="E14" s="21" t="s">
        <v>381</v>
      </c>
    </row>
    <row r="15" spans="1:7" ht="95" customHeight="1" thickBot="1" x14ac:dyDescent="0.4">
      <c r="A15" s="12" t="s">
        <v>371</v>
      </c>
      <c r="B15" s="13" t="s">
        <v>378</v>
      </c>
      <c r="C15" s="13" t="s">
        <v>351</v>
      </c>
      <c r="D15" s="13">
        <v>50</v>
      </c>
      <c r="E15" s="22" t="s">
        <v>379</v>
      </c>
    </row>
    <row r="17" spans="1:5" ht="16" thickBot="1" x14ac:dyDescent="0.4"/>
    <row r="18" spans="1:5" ht="32.5" thickBot="1" x14ac:dyDescent="0.4">
      <c r="A18" s="23" t="s">
        <v>319</v>
      </c>
      <c r="B18" s="24" t="s">
        <v>342</v>
      </c>
      <c r="C18" s="24" t="s">
        <v>343</v>
      </c>
      <c r="D18" s="24" t="s">
        <v>344</v>
      </c>
      <c r="E18" s="24" t="s">
        <v>345</v>
      </c>
    </row>
    <row r="19" spans="1:5" ht="114" customHeight="1" thickBot="1" x14ac:dyDescent="0.4">
      <c r="A19" s="25" t="s">
        <v>369</v>
      </c>
      <c r="B19" s="26" t="s">
        <v>368</v>
      </c>
      <c r="C19" s="26" t="s">
        <v>347</v>
      </c>
      <c r="D19" s="26" t="s">
        <v>348</v>
      </c>
      <c r="E19" s="28" t="s">
        <v>384</v>
      </c>
    </row>
    <row r="20" spans="1:5" ht="80.5" thickBot="1" x14ac:dyDescent="0.4">
      <c r="A20" s="25" t="s">
        <v>370</v>
      </c>
      <c r="B20" s="26" t="s">
        <v>382</v>
      </c>
      <c r="C20" s="26" t="s">
        <v>351</v>
      </c>
      <c r="D20" s="26">
        <v>50</v>
      </c>
      <c r="E20" s="27" t="s">
        <v>385</v>
      </c>
    </row>
    <row r="21" spans="1:5" ht="64.5" thickBot="1" x14ac:dyDescent="0.4">
      <c r="A21" s="25" t="s">
        <v>371</v>
      </c>
      <c r="B21" s="26" t="s">
        <v>378</v>
      </c>
      <c r="C21" s="26" t="s">
        <v>351</v>
      </c>
      <c r="D21" s="26">
        <v>50</v>
      </c>
      <c r="E21" s="27" t="s">
        <v>383</v>
      </c>
    </row>
    <row r="22" spans="1:5" ht="16" thickBot="1" x14ac:dyDescent="0.4"/>
    <row r="23" spans="1:5" ht="31" thickTop="1" thickBot="1" x14ac:dyDescent="0.4">
      <c r="A23" s="31" t="s">
        <v>319</v>
      </c>
      <c r="B23" s="31" t="s">
        <v>342</v>
      </c>
      <c r="C23" s="31" t="s">
        <v>343</v>
      </c>
      <c r="D23" s="31" t="s">
        <v>344</v>
      </c>
      <c r="E23" s="31" t="s">
        <v>345</v>
      </c>
    </row>
    <row r="24" spans="1:5" ht="32" thickTop="1" thickBot="1" x14ac:dyDescent="0.4">
      <c r="A24" s="32" t="s">
        <v>369</v>
      </c>
      <c r="B24" s="32" t="s">
        <v>368</v>
      </c>
      <c r="C24" s="32" t="s">
        <v>347</v>
      </c>
      <c r="D24" s="32" t="s">
        <v>348</v>
      </c>
      <c r="E24" s="36" t="s">
        <v>386</v>
      </c>
    </row>
    <row r="25" spans="1:5" ht="32" thickTop="1" thickBot="1" x14ac:dyDescent="0.4">
      <c r="A25" s="32" t="s">
        <v>370</v>
      </c>
      <c r="B25" s="32" t="s">
        <v>382</v>
      </c>
      <c r="C25" s="32" t="s">
        <v>351</v>
      </c>
      <c r="D25" s="32">
        <v>50</v>
      </c>
      <c r="E25" s="36" t="s">
        <v>387</v>
      </c>
    </row>
    <row r="26" spans="1:5" ht="32" thickTop="1" thickBot="1" x14ac:dyDescent="0.4">
      <c r="A26" s="32" t="s">
        <v>371</v>
      </c>
      <c r="B26" s="32" t="s">
        <v>388</v>
      </c>
      <c r="C26" s="32" t="s">
        <v>389</v>
      </c>
      <c r="D26" s="32">
        <v>125</v>
      </c>
      <c r="E26" s="36" t="s">
        <v>390</v>
      </c>
    </row>
    <row r="27" spans="1:5" ht="47.5" thickTop="1" thickBot="1" x14ac:dyDescent="0.4">
      <c r="A27" s="32" t="s">
        <v>372</v>
      </c>
      <c r="B27" s="32" t="s">
        <v>391</v>
      </c>
      <c r="C27" s="32" t="s">
        <v>389</v>
      </c>
      <c r="D27" s="32">
        <v>125</v>
      </c>
      <c r="E27" s="36" t="s">
        <v>392</v>
      </c>
    </row>
    <row r="28" spans="1:5" ht="51" customHeight="1" thickTop="1" thickBot="1" x14ac:dyDescent="0.4">
      <c r="A28" s="32" t="s">
        <v>373</v>
      </c>
      <c r="B28" s="32" t="s">
        <v>393</v>
      </c>
      <c r="C28" s="32" t="s">
        <v>405</v>
      </c>
      <c r="D28" s="32">
        <v>20</v>
      </c>
      <c r="E28" s="36" t="s">
        <v>406</v>
      </c>
    </row>
    <row r="29" spans="1:5" ht="47.5" thickTop="1" thickBot="1" x14ac:dyDescent="0.4">
      <c r="A29" s="32" t="s">
        <v>374</v>
      </c>
      <c r="B29" s="32" t="s">
        <v>400</v>
      </c>
      <c r="C29" s="32" t="s">
        <v>389</v>
      </c>
      <c r="D29" s="32">
        <v>20</v>
      </c>
      <c r="E29" s="36" t="s">
        <v>395</v>
      </c>
    </row>
    <row r="30" spans="1:5" ht="47.5" thickTop="1" thickBot="1" x14ac:dyDescent="0.4">
      <c r="A30" s="32" t="s">
        <v>375</v>
      </c>
      <c r="B30" s="32" t="s">
        <v>401</v>
      </c>
      <c r="C30" s="32" t="s">
        <v>389</v>
      </c>
      <c r="D30" s="32">
        <v>20</v>
      </c>
      <c r="E30" s="36" t="s">
        <v>396</v>
      </c>
    </row>
    <row r="31" spans="1:5" ht="32" thickTop="1" thickBot="1" x14ac:dyDescent="0.4">
      <c r="A31" s="32" t="s">
        <v>376</v>
      </c>
      <c r="B31" s="32" t="s">
        <v>402</v>
      </c>
      <c r="C31" s="32" t="s">
        <v>389</v>
      </c>
      <c r="D31" s="32">
        <v>20</v>
      </c>
      <c r="E31" s="36" t="s">
        <v>397</v>
      </c>
    </row>
    <row r="32" spans="1:5" ht="47.5" thickTop="1" thickBot="1" x14ac:dyDescent="0.4">
      <c r="A32" s="32" t="s">
        <v>377</v>
      </c>
      <c r="B32" s="32" t="s">
        <v>403</v>
      </c>
      <c r="C32" s="32" t="s">
        <v>389</v>
      </c>
      <c r="D32" s="32">
        <v>125</v>
      </c>
      <c r="E32" s="36" t="s">
        <v>399</v>
      </c>
    </row>
    <row r="33" spans="1:5" ht="16.5" thickTop="1" thickBot="1" x14ac:dyDescent="0.4"/>
    <row r="34" spans="1:5" ht="30.5" thickBot="1" x14ac:dyDescent="0.4">
      <c r="A34" s="15" t="s">
        <v>319</v>
      </c>
      <c r="B34" s="16" t="s">
        <v>342</v>
      </c>
      <c r="C34" s="16" t="s">
        <v>343</v>
      </c>
      <c r="D34" s="16" t="s">
        <v>344</v>
      </c>
      <c r="E34" s="16" t="s">
        <v>345</v>
      </c>
    </row>
    <row r="35" spans="1:5" ht="78" thickBot="1" x14ac:dyDescent="0.4">
      <c r="A35" s="12" t="s">
        <v>369</v>
      </c>
      <c r="B35" s="13" t="s">
        <v>407</v>
      </c>
      <c r="C35" s="13" t="s">
        <v>347</v>
      </c>
      <c r="D35" s="13" t="s">
        <v>348</v>
      </c>
      <c r="E35" s="29" t="s">
        <v>409</v>
      </c>
    </row>
    <row r="36" spans="1:5" ht="78" thickBot="1" x14ac:dyDescent="0.4">
      <c r="A36" s="12" t="s">
        <v>370</v>
      </c>
      <c r="B36" s="13" t="s">
        <v>408</v>
      </c>
      <c r="C36" s="13" t="s">
        <v>347</v>
      </c>
      <c r="D36" s="13" t="s">
        <v>348</v>
      </c>
      <c r="E36" s="29" t="s">
        <v>410</v>
      </c>
    </row>
    <row r="38" spans="1:5" ht="16" thickBot="1" x14ac:dyDescent="0.4">
      <c r="A38" s="30"/>
      <c r="B38"/>
      <c r="C38"/>
      <c r="D38"/>
      <c r="E38"/>
    </row>
    <row r="39" spans="1:5" ht="31" thickTop="1" thickBot="1" x14ac:dyDescent="0.4">
      <c r="A39" s="31" t="s">
        <v>319</v>
      </c>
      <c r="B39" s="31" t="s">
        <v>342</v>
      </c>
      <c r="C39" s="31" t="s">
        <v>343</v>
      </c>
      <c r="D39" s="31" t="s">
        <v>344</v>
      </c>
      <c r="E39" s="31" t="s">
        <v>345</v>
      </c>
    </row>
    <row r="40" spans="1:5" ht="32" thickTop="1" thickBot="1" x14ac:dyDescent="0.4">
      <c r="A40" s="32" t="s">
        <v>369</v>
      </c>
      <c r="B40" s="32" t="s">
        <v>368</v>
      </c>
      <c r="C40" s="32" t="s">
        <v>347</v>
      </c>
      <c r="D40" s="32" t="s">
        <v>348</v>
      </c>
      <c r="E40" s="33" t="s">
        <v>412</v>
      </c>
    </row>
    <row r="41" spans="1:5" ht="32" thickTop="1" thickBot="1" x14ac:dyDescent="0.4">
      <c r="A41" s="32" t="s">
        <v>370</v>
      </c>
      <c r="B41" s="32" t="s">
        <v>350</v>
      </c>
      <c r="C41" s="32" t="s">
        <v>351</v>
      </c>
      <c r="D41" s="32">
        <v>50</v>
      </c>
      <c r="E41" s="33" t="s">
        <v>413</v>
      </c>
    </row>
    <row r="42" spans="1:5" ht="32" thickTop="1" thickBot="1" x14ac:dyDescent="0.4">
      <c r="A42" s="32" t="s">
        <v>371</v>
      </c>
      <c r="B42" s="32" t="s">
        <v>388</v>
      </c>
      <c r="C42" s="32" t="s">
        <v>389</v>
      </c>
      <c r="D42" s="32">
        <v>125</v>
      </c>
      <c r="E42" s="33" t="s">
        <v>390</v>
      </c>
    </row>
    <row r="43" spans="1:5" ht="47.5" thickTop="1" thickBot="1" x14ac:dyDescent="0.4">
      <c r="A43" s="32" t="s">
        <v>372</v>
      </c>
      <c r="B43" s="32" t="s">
        <v>391</v>
      </c>
      <c r="C43" s="32" t="s">
        <v>389</v>
      </c>
      <c r="D43" s="32">
        <v>125</v>
      </c>
      <c r="E43" s="33" t="s">
        <v>414</v>
      </c>
    </row>
    <row r="44" spans="1:5" ht="43.5" customHeight="1" thickTop="1" thickBot="1" x14ac:dyDescent="0.4">
      <c r="A44" s="32" t="s">
        <v>373</v>
      </c>
      <c r="B44" s="32" t="s">
        <v>393</v>
      </c>
      <c r="C44" s="35" t="s">
        <v>405</v>
      </c>
      <c r="D44" s="32">
        <v>20</v>
      </c>
      <c r="E44" s="33" t="s">
        <v>411</v>
      </c>
    </row>
    <row r="45" spans="1:5" ht="47.5" thickTop="1" thickBot="1" x14ac:dyDescent="0.4">
      <c r="A45" s="32" t="s">
        <v>374</v>
      </c>
      <c r="B45" s="32" t="s">
        <v>394</v>
      </c>
      <c r="C45" s="32" t="s">
        <v>389</v>
      </c>
      <c r="D45" s="32">
        <v>20</v>
      </c>
      <c r="E45" s="33" t="s">
        <v>395</v>
      </c>
    </row>
    <row r="46" spans="1:5" ht="47.5" thickTop="1" thickBot="1" x14ac:dyDescent="0.4">
      <c r="A46" s="32" t="s">
        <v>375</v>
      </c>
      <c r="B46" s="32" t="s">
        <v>353</v>
      </c>
      <c r="C46" s="32" t="s">
        <v>389</v>
      </c>
      <c r="D46" s="32">
        <v>20</v>
      </c>
      <c r="E46" s="33" t="s">
        <v>396</v>
      </c>
    </row>
    <row r="47" spans="1:5" ht="32" thickTop="1" thickBot="1" x14ac:dyDescent="0.4">
      <c r="A47" s="32" t="s">
        <v>376</v>
      </c>
      <c r="B47" s="32" t="s">
        <v>361</v>
      </c>
      <c r="C47" s="32" t="s">
        <v>389</v>
      </c>
      <c r="D47" s="32">
        <v>20</v>
      </c>
      <c r="E47" s="33" t="s">
        <v>397</v>
      </c>
    </row>
    <row r="48" spans="1:5" ht="47.5" thickTop="1" thickBot="1" x14ac:dyDescent="0.4">
      <c r="A48" s="32" t="s">
        <v>377</v>
      </c>
      <c r="B48" s="32" t="s">
        <v>398</v>
      </c>
      <c r="C48" s="32" t="s">
        <v>389</v>
      </c>
      <c r="D48" s="32">
        <v>125</v>
      </c>
      <c r="E48" s="33" t="s">
        <v>399</v>
      </c>
    </row>
    <row r="49" spans="1:5" ht="16.5" thickTop="1" thickBot="1" x14ac:dyDescent="0.4"/>
    <row r="50" spans="1:5" ht="30.5" thickBot="1" x14ac:dyDescent="0.4">
      <c r="A50" s="15" t="s">
        <v>319</v>
      </c>
      <c r="B50" s="16" t="s">
        <v>342</v>
      </c>
      <c r="C50" s="16" t="s">
        <v>343</v>
      </c>
      <c r="D50" s="16" t="s">
        <v>344</v>
      </c>
      <c r="E50" s="16" t="s">
        <v>345</v>
      </c>
    </row>
    <row r="51" spans="1:5" ht="78" thickBot="1" x14ac:dyDescent="0.4">
      <c r="A51" s="12" t="s">
        <v>369</v>
      </c>
      <c r="B51" s="13" t="s">
        <v>407</v>
      </c>
      <c r="C51" s="13" t="s">
        <v>347</v>
      </c>
      <c r="D51" s="13" t="s">
        <v>348</v>
      </c>
      <c r="E51" s="29" t="s">
        <v>416</v>
      </c>
    </row>
    <row r="52" spans="1:5" ht="62.5" thickBot="1" x14ac:dyDescent="0.4">
      <c r="A52" s="12" t="s">
        <v>370</v>
      </c>
      <c r="B52" s="13" t="s">
        <v>415</v>
      </c>
      <c r="C52" s="13" t="s">
        <v>347</v>
      </c>
      <c r="D52" s="13" t="s">
        <v>348</v>
      </c>
      <c r="E52" s="29" t="s">
        <v>417</v>
      </c>
    </row>
    <row r="54" spans="1:5" ht="16" thickBot="1" x14ac:dyDescent="0.4"/>
    <row r="55" spans="1:5" ht="31" thickTop="1" thickBot="1" x14ac:dyDescent="0.4">
      <c r="A55" s="31" t="s">
        <v>319</v>
      </c>
      <c r="B55" s="31" t="s">
        <v>342</v>
      </c>
      <c r="C55" s="31" t="s">
        <v>343</v>
      </c>
      <c r="D55" s="31" t="s">
        <v>344</v>
      </c>
      <c r="E55" s="31" t="s">
        <v>345</v>
      </c>
    </row>
    <row r="56" spans="1:5" ht="15.5" customHeight="1" thickTop="1" thickBot="1" x14ac:dyDescent="0.4">
      <c r="A56" s="32" t="s">
        <v>369</v>
      </c>
      <c r="B56" s="32" t="s">
        <v>368</v>
      </c>
      <c r="C56" s="32" t="s">
        <v>347</v>
      </c>
      <c r="D56" s="32" t="s">
        <v>348</v>
      </c>
      <c r="E56" s="33" t="s">
        <v>418</v>
      </c>
    </row>
    <row r="57" spans="1:5" ht="47.5" thickTop="1" thickBot="1" x14ac:dyDescent="0.4">
      <c r="A57" s="32" t="s">
        <v>370</v>
      </c>
      <c r="B57" s="33" t="s">
        <v>419</v>
      </c>
      <c r="C57" s="32" t="s">
        <v>347</v>
      </c>
      <c r="D57" s="32" t="s">
        <v>348</v>
      </c>
      <c r="E57" s="33" t="s">
        <v>420</v>
      </c>
    </row>
    <row r="58" spans="1:5" ht="63" thickTop="1" thickBot="1" x14ac:dyDescent="0.4">
      <c r="A58" s="32" t="s">
        <v>371</v>
      </c>
      <c r="B58" s="33" t="s">
        <v>421</v>
      </c>
      <c r="C58" s="32" t="s">
        <v>347</v>
      </c>
      <c r="D58" s="32" t="s">
        <v>348</v>
      </c>
      <c r="E58" s="33" t="s">
        <v>422</v>
      </c>
    </row>
    <row r="59" spans="1:5" ht="32" thickTop="1" thickBot="1" x14ac:dyDescent="0.4">
      <c r="A59" s="32" t="s">
        <v>372</v>
      </c>
      <c r="B59" s="33" t="s">
        <v>423</v>
      </c>
      <c r="C59" s="32" t="s">
        <v>389</v>
      </c>
      <c r="D59" s="32">
        <v>20</v>
      </c>
      <c r="E59" s="33" t="s">
        <v>424</v>
      </c>
    </row>
    <row r="60" spans="1:5" ht="16.5" thickTop="1" thickBot="1" x14ac:dyDescent="0.4">
      <c r="A60" s="32" t="s">
        <v>373</v>
      </c>
      <c r="B60" s="33" t="s">
        <v>350</v>
      </c>
      <c r="C60" s="32" t="s">
        <v>389</v>
      </c>
      <c r="D60" s="32">
        <v>50</v>
      </c>
      <c r="E60" s="33" t="s">
        <v>425</v>
      </c>
    </row>
    <row r="61" spans="1:5" ht="32" thickTop="1" thickBot="1" x14ac:dyDescent="0.4">
      <c r="A61" s="32" t="s">
        <v>374</v>
      </c>
      <c r="B61" s="33" t="s">
        <v>426</v>
      </c>
      <c r="C61" s="32" t="s">
        <v>427</v>
      </c>
      <c r="D61" s="32" t="s">
        <v>348</v>
      </c>
      <c r="E61" s="33" t="s">
        <v>428</v>
      </c>
    </row>
    <row r="62" spans="1:5" ht="32" thickTop="1" thickBot="1" x14ac:dyDescent="0.4">
      <c r="A62" s="32" t="s">
        <v>375</v>
      </c>
      <c r="B62" s="33" t="s">
        <v>429</v>
      </c>
      <c r="C62" s="32" t="s">
        <v>430</v>
      </c>
      <c r="D62" s="32" t="s">
        <v>348</v>
      </c>
      <c r="E62" s="33" t="s">
        <v>431</v>
      </c>
    </row>
    <row r="63" spans="1:5" ht="47.5" thickTop="1" thickBot="1" x14ac:dyDescent="0.4">
      <c r="A63" s="32" t="s">
        <v>376</v>
      </c>
      <c r="B63" s="33" t="s">
        <v>432</v>
      </c>
      <c r="C63" s="32" t="s">
        <v>430</v>
      </c>
      <c r="D63" s="32" t="s">
        <v>348</v>
      </c>
      <c r="E63" s="33" t="s">
        <v>433</v>
      </c>
    </row>
    <row r="64" spans="1:5" ht="32" thickTop="1" thickBot="1" x14ac:dyDescent="0.4">
      <c r="A64" s="32" t="s">
        <v>377</v>
      </c>
      <c r="B64" s="33" t="s">
        <v>434</v>
      </c>
      <c r="C64" s="32" t="s">
        <v>500</v>
      </c>
      <c r="D64" s="32">
        <v>15.2</v>
      </c>
      <c r="E64" s="33" t="s">
        <v>435</v>
      </c>
    </row>
    <row r="65" spans="1:5" ht="47.5" thickTop="1" thickBot="1" x14ac:dyDescent="0.4">
      <c r="A65" s="32" t="s">
        <v>478</v>
      </c>
      <c r="B65" s="33" t="s">
        <v>436</v>
      </c>
      <c r="C65" s="32" t="s">
        <v>500</v>
      </c>
      <c r="D65" s="32">
        <v>15.2</v>
      </c>
      <c r="E65" s="33" t="s">
        <v>437</v>
      </c>
    </row>
    <row r="66" spans="1:5" ht="47.5" thickTop="1" thickBot="1" x14ac:dyDescent="0.4">
      <c r="A66" s="32" t="s">
        <v>479</v>
      </c>
      <c r="B66" s="33" t="s">
        <v>438</v>
      </c>
      <c r="C66" s="32" t="s">
        <v>500</v>
      </c>
      <c r="D66" s="32">
        <v>5.2</v>
      </c>
      <c r="E66" s="33" t="s">
        <v>439</v>
      </c>
    </row>
    <row r="67" spans="1:5" ht="47.5" thickTop="1" thickBot="1" x14ac:dyDescent="0.4">
      <c r="A67" s="32" t="s">
        <v>480</v>
      </c>
      <c r="B67" s="33" t="s">
        <v>440</v>
      </c>
      <c r="C67" s="32" t="s">
        <v>500</v>
      </c>
      <c r="D67" s="32">
        <v>15.2</v>
      </c>
      <c r="E67" s="33" t="s">
        <v>441</v>
      </c>
    </row>
    <row r="68" spans="1:5" ht="63" thickTop="1" thickBot="1" x14ac:dyDescent="0.4">
      <c r="A68" s="32" t="s">
        <v>481</v>
      </c>
      <c r="B68" s="33" t="s">
        <v>442</v>
      </c>
      <c r="C68" s="32" t="s">
        <v>500</v>
      </c>
      <c r="D68" s="32">
        <v>15.2</v>
      </c>
      <c r="E68" s="33" t="s">
        <v>443</v>
      </c>
    </row>
    <row r="69" spans="1:5" ht="47.5" thickTop="1" thickBot="1" x14ac:dyDescent="0.4">
      <c r="A69" s="32" t="s">
        <v>482</v>
      </c>
      <c r="B69" s="33" t="s">
        <v>444</v>
      </c>
      <c r="C69" s="32" t="s">
        <v>500</v>
      </c>
      <c r="D69" s="32">
        <v>5.2</v>
      </c>
      <c r="E69" s="33" t="s">
        <v>445</v>
      </c>
    </row>
    <row r="70" spans="1:5" ht="47.5" thickTop="1" thickBot="1" x14ac:dyDescent="0.4">
      <c r="A70" s="32" t="s">
        <v>483</v>
      </c>
      <c r="B70" s="33" t="s">
        <v>446</v>
      </c>
      <c r="C70" s="32" t="s">
        <v>500</v>
      </c>
      <c r="D70" s="32">
        <v>15.2</v>
      </c>
      <c r="E70" s="33" t="s">
        <v>447</v>
      </c>
    </row>
    <row r="71" spans="1:5" ht="63" thickTop="1" thickBot="1" x14ac:dyDescent="0.4">
      <c r="A71" s="32" t="s">
        <v>484</v>
      </c>
      <c r="B71" s="33" t="s">
        <v>448</v>
      </c>
      <c r="C71" s="32" t="s">
        <v>500</v>
      </c>
      <c r="D71" s="32">
        <v>15.2</v>
      </c>
      <c r="E71" s="33" t="s">
        <v>449</v>
      </c>
    </row>
    <row r="72" spans="1:5" ht="47.5" thickTop="1" thickBot="1" x14ac:dyDescent="0.4">
      <c r="A72" s="32" t="s">
        <v>485</v>
      </c>
      <c r="B72" s="34" t="s">
        <v>450</v>
      </c>
      <c r="C72" s="32" t="s">
        <v>500</v>
      </c>
      <c r="D72" s="32">
        <v>5.2</v>
      </c>
      <c r="E72" s="33" t="s">
        <v>451</v>
      </c>
    </row>
    <row r="73" spans="1:5" ht="47.5" customHeight="1" thickTop="1" thickBot="1" x14ac:dyDescent="0.4">
      <c r="A73" s="32" t="s">
        <v>487</v>
      </c>
      <c r="B73" s="34" t="s">
        <v>452</v>
      </c>
      <c r="C73" s="32" t="s">
        <v>500</v>
      </c>
      <c r="D73" s="32">
        <v>15.2</v>
      </c>
      <c r="E73" s="33" t="s">
        <v>453</v>
      </c>
    </row>
    <row r="74" spans="1:5" ht="32" thickTop="1" thickBot="1" x14ac:dyDescent="0.4">
      <c r="A74" s="32" t="s">
        <v>488</v>
      </c>
      <c r="B74" s="33" t="s">
        <v>454</v>
      </c>
      <c r="C74" s="32" t="s">
        <v>500</v>
      </c>
      <c r="D74" s="32">
        <v>5.2</v>
      </c>
      <c r="E74" s="33" t="s">
        <v>455</v>
      </c>
    </row>
    <row r="75" spans="1:5" ht="32" thickTop="1" thickBot="1" x14ac:dyDescent="0.4">
      <c r="A75" s="32" t="s">
        <v>489</v>
      </c>
      <c r="B75" s="33" t="s">
        <v>456</v>
      </c>
      <c r="C75" s="32" t="s">
        <v>500</v>
      </c>
      <c r="D75" s="32">
        <v>15.2</v>
      </c>
      <c r="E75" s="33" t="s">
        <v>457</v>
      </c>
    </row>
    <row r="76" spans="1:5" ht="47.5" thickTop="1" thickBot="1" x14ac:dyDescent="0.4">
      <c r="A76" s="32" t="s">
        <v>490</v>
      </c>
      <c r="B76" s="33" t="s">
        <v>458</v>
      </c>
      <c r="C76" s="32" t="s">
        <v>500</v>
      </c>
      <c r="D76" s="32">
        <v>15.2</v>
      </c>
      <c r="E76" s="33" t="s">
        <v>459</v>
      </c>
    </row>
    <row r="77" spans="1:5" ht="16.5" thickTop="1" thickBot="1" x14ac:dyDescent="0.4">
      <c r="A77" s="32" t="s">
        <v>491</v>
      </c>
      <c r="B77" s="33" t="s">
        <v>460</v>
      </c>
      <c r="C77" s="32" t="s">
        <v>500</v>
      </c>
      <c r="D77" s="32">
        <v>5.2</v>
      </c>
      <c r="E77" s="33" t="s">
        <v>461</v>
      </c>
    </row>
    <row r="78" spans="1:5" ht="32" thickTop="1" thickBot="1" x14ac:dyDescent="0.4">
      <c r="A78" s="32" t="s">
        <v>492</v>
      </c>
      <c r="B78" s="33" t="s">
        <v>462</v>
      </c>
      <c r="C78" s="32" t="s">
        <v>500</v>
      </c>
      <c r="D78" s="32">
        <v>15.2</v>
      </c>
      <c r="E78" s="33" t="s">
        <v>463</v>
      </c>
    </row>
    <row r="79" spans="1:5" ht="32" thickTop="1" thickBot="1" x14ac:dyDescent="0.4">
      <c r="A79" s="32" t="s">
        <v>493</v>
      </c>
      <c r="B79" s="33" t="s">
        <v>464</v>
      </c>
      <c r="C79" s="32" t="s">
        <v>500</v>
      </c>
      <c r="D79" s="32">
        <v>15.2</v>
      </c>
      <c r="E79" s="33" t="s">
        <v>465</v>
      </c>
    </row>
    <row r="80" spans="1:5" ht="47.5" thickTop="1" thickBot="1" x14ac:dyDescent="0.4">
      <c r="A80" s="32" t="s">
        <v>494</v>
      </c>
      <c r="B80" s="33" t="s">
        <v>466</v>
      </c>
      <c r="C80" s="32" t="s">
        <v>500</v>
      </c>
      <c r="D80" s="32">
        <v>15.2</v>
      </c>
      <c r="E80" s="33" t="s">
        <v>467</v>
      </c>
    </row>
    <row r="81" spans="1:5" ht="63" thickTop="1" thickBot="1" x14ac:dyDescent="0.4">
      <c r="A81" s="32" t="s">
        <v>495</v>
      </c>
      <c r="B81" s="33" t="s">
        <v>468</v>
      </c>
      <c r="C81" s="32" t="s">
        <v>500</v>
      </c>
      <c r="D81" s="32">
        <v>15.2</v>
      </c>
      <c r="E81" s="33" t="s">
        <v>469</v>
      </c>
    </row>
    <row r="82" spans="1:5" ht="63" thickTop="1" thickBot="1" x14ac:dyDescent="0.4">
      <c r="A82" s="32" t="s">
        <v>496</v>
      </c>
      <c r="B82" s="33" t="s">
        <v>470</v>
      </c>
      <c r="C82" s="32" t="s">
        <v>500</v>
      </c>
      <c r="D82" s="32">
        <v>15.2</v>
      </c>
      <c r="E82" s="33" t="s">
        <v>471</v>
      </c>
    </row>
    <row r="83" spans="1:5" ht="63" thickTop="1" thickBot="1" x14ac:dyDescent="0.4">
      <c r="A83" s="32" t="s">
        <v>497</v>
      </c>
      <c r="B83" s="33" t="s">
        <v>472</v>
      </c>
      <c r="C83" s="32" t="s">
        <v>500</v>
      </c>
      <c r="D83" s="32">
        <v>15.2</v>
      </c>
      <c r="E83" s="33" t="s">
        <v>473</v>
      </c>
    </row>
    <row r="84" spans="1:5" ht="47.5" thickTop="1" thickBot="1" x14ac:dyDescent="0.4">
      <c r="A84" s="32" t="s">
        <v>498</v>
      </c>
      <c r="B84" s="33" t="s">
        <v>474</v>
      </c>
      <c r="C84" s="32" t="s">
        <v>500</v>
      </c>
      <c r="D84" s="32">
        <v>15.2</v>
      </c>
      <c r="E84" s="33" t="s">
        <v>475</v>
      </c>
    </row>
    <row r="85" spans="1:5" ht="63" thickTop="1" thickBot="1" x14ac:dyDescent="0.4">
      <c r="A85" s="32" t="s">
        <v>499</v>
      </c>
      <c r="B85" s="33" t="s">
        <v>476</v>
      </c>
      <c r="C85" s="32" t="s">
        <v>500</v>
      </c>
      <c r="D85" s="32">
        <v>5.2</v>
      </c>
      <c r="E85" s="33" t="s">
        <v>477</v>
      </c>
    </row>
    <row r="86" spans="1:5" ht="16.5" thickTop="1" thickBot="1" x14ac:dyDescent="0.4"/>
    <row r="87" spans="1:5" ht="31" thickTop="1" thickBot="1" x14ac:dyDescent="0.4">
      <c r="A87" s="31" t="s">
        <v>319</v>
      </c>
      <c r="B87" s="31" t="s">
        <v>342</v>
      </c>
      <c r="C87" s="31" t="s">
        <v>343</v>
      </c>
      <c r="D87" s="31" t="s">
        <v>344</v>
      </c>
      <c r="E87" s="31" t="s">
        <v>345</v>
      </c>
    </row>
    <row r="88" spans="1:5" ht="32" thickTop="1" thickBot="1" x14ac:dyDescent="0.4">
      <c r="A88" s="32" t="s">
        <v>369</v>
      </c>
      <c r="B88" s="32" t="s">
        <v>368</v>
      </c>
      <c r="C88" s="32" t="s">
        <v>347</v>
      </c>
      <c r="D88" s="32" t="s">
        <v>348</v>
      </c>
      <c r="E88" s="33" t="s">
        <v>501</v>
      </c>
    </row>
    <row r="89" spans="1:5" ht="63" thickTop="1" thickBot="1" x14ac:dyDescent="0.4">
      <c r="A89" s="32" t="s">
        <v>370</v>
      </c>
      <c r="B89" s="32" t="s">
        <v>509</v>
      </c>
      <c r="C89" s="32" t="s">
        <v>347</v>
      </c>
      <c r="D89" s="32" t="s">
        <v>348</v>
      </c>
      <c r="E89" s="33" t="s">
        <v>503</v>
      </c>
    </row>
    <row r="90" spans="1:5" ht="47.5" thickTop="1" thickBot="1" x14ac:dyDescent="0.4">
      <c r="A90" s="32" t="s">
        <v>371</v>
      </c>
      <c r="B90" s="32" t="s">
        <v>382</v>
      </c>
      <c r="C90" s="32" t="s">
        <v>389</v>
      </c>
      <c r="D90" s="32">
        <v>50</v>
      </c>
      <c r="E90" s="33" t="s">
        <v>504</v>
      </c>
    </row>
    <row r="91" spans="1:5" ht="47.5" thickTop="1" thickBot="1" x14ac:dyDescent="0.4">
      <c r="A91" s="32" t="s">
        <v>372</v>
      </c>
      <c r="B91" s="32" t="s">
        <v>510</v>
      </c>
      <c r="C91" s="32" t="s">
        <v>505</v>
      </c>
      <c r="D91" s="32" t="s">
        <v>348</v>
      </c>
      <c r="E91" s="33" t="s">
        <v>506</v>
      </c>
    </row>
    <row r="92" spans="1:5" ht="63" thickTop="1" thickBot="1" x14ac:dyDescent="0.4">
      <c r="A92" s="32" t="s">
        <v>373</v>
      </c>
      <c r="B92" s="32" t="s">
        <v>511</v>
      </c>
      <c r="C92" s="32" t="s">
        <v>404</v>
      </c>
      <c r="D92" s="32" t="s">
        <v>348</v>
      </c>
      <c r="E92" s="33" t="s">
        <v>508</v>
      </c>
    </row>
    <row r="93" spans="1:5" ht="16.5" thickTop="1" thickBot="1" x14ac:dyDescent="0.4"/>
    <row r="94" spans="1:5" ht="31" thickTop="1" thickBot="1" x14ac:dyDescent="0.4">
      <c r="A94" s="37" t="s">
        <v>319</v>
      </c>
      <c r="B94" s="37" t="s">
        <v>342</v>
      </c>
      <c r="C94" s="37" t="s">
        <v>343</v>
      </c>
      <c r="D94" s="37" t="s">
        <v>344</v>
      </c>
      <c r="E94" s="37" t="s">
        <v>345</v>
      </c>
    </row>
    <row r="95" spans="1:5" ht="32" thickTop="1" thickBot="1" x14ac:dyDescent="0.4">
      <c r="A95" s="38" t="s">
        <v>369</v>
      </c>
      <c r="B95" s="38" t="s">
        <v>346</v>
      </c>
      <c r="C95" s="38" t="s">
        <v>347</v>
      </c>
      <c r="D95" s="38" t="s">
        <v>348</v>
      </c>
      <c r="E95" s="39" t="s">
        <v>512</v>
      </c>
    </row>
    <row r="96" spans="1:5" ht="47.5" thickTop="1" thickBot="1" x14ac:dyDescent="0.4">
      <c r="A96" s="38" t="s">
        <v>370</v>
      </c>
      <c r="B96" s="38" t="s">
        <v>502</v>
      </c>
      <c r="C96" s="38" t="s">
        <v>347</v>
      </c>
      <c r="D96" s="38" t="s">
        <v>348</v>
      </c>
      <c r="E96" s="39" t="s">
        <v>513</v>
      </c>
    </row>
    <row r="97" spans="1:5" ht="47.5" thickTop="1" thickBot="1" x14ac:dyDescent="0.4">
      <c r="A97" s="38" t="s">
        <v>371</v>
      </c>
      <c r="B97" s="38" t="s">
        <v>514</v>
      </c>
      <c r="C97" s="38" t="s">
        <v>347</v>
      </c>
      <c r="D97" s="38" t="s">
        <v>348</v>
      </c>
      <c r="E97" s="39" t="s">
        <v>516</v>
      </c>
    </row>
    <row r="98" spans="1:5" ht="47.5" thickTop="1" thickBot="1" x14ac:dyDescent="0.4">
      <c r="A98" s="38" t="s">
        <v>372</v>
      </c>
      <c r="B98" s="38" t="s">
        <v>517</v>
      </c>
      <c r="C98" s="38" t="s">
        <v>347</v>
      </c>
      <c r="D98" s="38" t="s">
        <v>348</v>
      </c>
      <c r="E98" s="39" t="s">
        <v>518</v>
      </c>
    </row>
    <row r="99" spans="1:5" ht="47.5" thickTop="1" thickBot="1" x14ac:dyDescent="0.4">
      <c r="A99" s="38" t="s">
        <v>373</v>
      </c>
      <c r="B99" s="38" t="s">
        <v>519</v>
      </c>
      <c r="C99" s="38" t="s">
        <v>347</v>
      </c>
      <c r="D99" s="38" t="s">
        <v>348</v>
      </c>
      <c r="E99" s="39" t="s">
        <v>520</v>
      </c>
    </row>
    <row r="100" spans="1:5" ht="32" thickTop="1" thickBot="1" x14ac:dyDescent="0.4">
      <c r="A100" s="38" t="s">
        <v>374</v>
      </c>
      <c r="B100" s="38" t="s">
        <v>521</v>
      </c>
      <c r="C100" s="38" t="s">
        <v>356</v>
      </c>
      <c r="D100" s="38" t="s">
        <v>348</v>
      </c>
      <c r="E100" s="39" t="s">
        <v>522</v>
      </c>
    </row>
    <row r="101" spans="1:5" ht="47.5" thickTop="1" thickBot="1" x14ac:dyDescent="0.4">
      <c r="A101" s="38" t="s">
        <v>375</v>
      </c>
      <c r="B101" s="38" t="s">
        <v>523</v>
      </c>
      <c r="C101" s="38" t="s">
        <v>405</v>
      </c>
      <c r="D101" s="38">
        <v>10</v>
      </c>
      <c r="E101" s="39" t="s">
        <v>524</v>
      </c>
    </row>
    <row r="102" spans="1:5" ht="47.5" thickTop="1" thickBot="1" x14ac:dyDescent="0.4">
      <c r="A102" s="38" t="s">
        <v>376</v>
      </c>
      <c r="B102" s="38" t="s">
        <v>507</v>
      </c>
      <c r="C102" s="38" t="s">
        <v>404</v>
      </c>
      <c r="D102" s="38" t="s">
        <v>348</v>
      </c>
      <c r="E102" s="39" t="s">
        <v>525</v>
      </c>
    </row>
    <row r="103" spans="1:5" ht="32" thickTop="1" thickBot="1" x14ac:dyDescent="0.4">
      <c r="A103" s="38" t="s">
        <v>377</v>
      </c>
      <c r="B103" s="38" t="s">
        <v>350</v>
      </c>
      <c r="C103" s="38" t="s">
        <v>351</v>
      </c>
      <c r="D103" s="38">
        <v>50</v>
      </c>
      <c r="E103" s="39" t="s">
        <v>526</v>
      </c>
    </row>
    <row r="104" spans="1:5" ht="32" thickTop="1" thickBot="1" x14ac:dyDescent="0.4">
      <c r="A104" s="38" t="s">
        <v>478</v>
      </c>
      <c r="B104" s="38" t="s">
        <v>426</v>
      </c>
      <c r="C104" s="38" t="s">
        <v>505</v>
      </c>
      <c r="D104" s="38" t="s">
        <v>348</v>
      </c>
      <c r="E104" s="39" t="s">
        <v>527</v>
      </c>
    </row>
    <row r="105" spans="1:5" ht="32" thickTop="1" thickBot="1" x14ac:dyDescent="0.4">
      <c r="A105" s="38" t="s">
        <v>479</v>
      </c>
      <c r="B105" s="38" t="s">
        <v>429</v>
      </c>
      <c r="C105" s="38" t="s">
        <v>430</v>
      </c>
      <c r="D105" s="38" t="s">
        <v>348</v>
      </c>
      <c r="E105" s="39" t="s">
        <v>528</v>
      </c>
    </row>
    <row r="106" spans="1:5" ht="32" thickTop="1" thickBot="1" x14ac:dyDescent="0.4">
      <c r="A106" s="38" t="s">
        <v>480</v>
      </c>
      <c r="B106" s="38" t="s">
        <v>432</v>
      </c>
      <c r="C106" s="38" t="s">
        <v>430</v>
      </c>
      <c r="D106" s="38" t="s">
        <v>348</v>
      </c>
      <c r="E106" s="39" t="s">
        <v>529</v>
      </c>
    </row>
    <row r="107" spans="1:5" ht="32" thickTop="1" thickBot="1" x14ac:dyDescent="0.4">
      <c r="A107" s="38" t="s">
        <v>481</v>
      </c>
      <c r="B107" s="38" t="s">
        <v>530</v>
      </c>
      <c r="C107" s="38" t="s">
        <v>500</v>
      </c>
      <c r="D107" s="38">
        <v>15.2</v>
      </c>
      <c r="E107" s="39" t="s">
        <v>531</v>
      </c>
    </row>
    <row r="108" spans="1:5" ht="47.5" thickTop="1" thickBot="1" x14ac:dyDescent="0.4">
      <c r="A108" s="38" t="s">
        <v>482</v>
      </c>
      <c r="B108" s="38" t="s">
        <v>532</v>
      </c>
      <c r="C108" s="38" t="s">
        <v>500</v>
      </c>
      <c r="D108" s="38">
        <v>15.2</v>
      </c>
      <c r="E108" s="39" t="s">
        <v>533</v>
      </c>
    </row>
    <row r="109" spans="1:5" ht="47.5" thickTop="1" thickBot="1" x14ac:dyDescent="0.4">
      <c r="A109" s="38" t="s">
        <v>483</v>
      </c>
      <c r="B109" s="38" t="s">
        <v>534</v>
      </c>
      <c r="C109" s="38" t="s">
        <v>500</v>
      </c>
      <c r="D109" s="38">
        <v>8.1999999999999993</v>
      </c>
      <c r="E109" s="39" t="s">
        <v>535</v>
      </c>
    </row>
    <row r="110" spans="1:5" ht="47.5" thickTop="1" thickBot="1" x14ac:dyDescent="0.4">
      <c r="A110" s="38" t="s">
        <v>484</v>
      </c>
      <c r="B110" s="38" t="s">
        <v>536</v>
      </c>
      <c r="C110" s="38" t="s">
        <v>500</v>
      </c>
      <c r="D110" s="38">
        <v>12.2</v>
      </c>
      <c r="E110" s="39" t="s">
        <v>537</v>
      </c>
    </row>
    <row r="111" spans="1:5" ht="32" thickTop="1" thickBot="1" x14ac:dyDescent="0.4">
      <c r="A111" s="38" t="s">
        <v>485</v>
      </c>
      <c r="B111" s="38" t="s">
        <v>538</v>
      </c>
      <c r="C111" s="38" t="s">
        <v>500</v>
      </c>
      <c r="D111" s="38">
        <v>15.2</v>
      </c>
      <c r="E111" s="39" t="s">
        <v>539</v>
      </c>
    </row>
    <row r="112" spans="1:5" ht="32" thickTop="1" thickBot="1" x14ac:dyDescent="0.4">
      <c r="A112" s="38" t="s">
        <v>486</v>
      </c>
      <c r="B112" s="38" t="s">
        <v>540</v>
      </c>
      <c r="C112" s="38" t="s">
        <v>500</v>
      </c>
      <c r="D112" s="38">
        <v>5.2</v>
      </c>
      <c r="E112" s="39" t="s">
        <v>541</v>
      </c>
    </row>
    <row r="113" spans="1:5" ht="32" thickTop="1" thickBot="1" x14ac:dyDescent="0.4">
      <c r="A113" s="38" t="s">
        <v>487</v>
      </c>
      <c r="B113" s="38" t="s">
        <v>542</v>
      </c>
      <c r="C113" s="38" t="s">
        <v>544</v>
      </c>
      <c r="D113" s="38">
        <v>1</v>
      </c>
      <c r="E113" s="39" t="s">
        <v>543</v>
      </c>
    </row>
    <row r="114" spans="1:5" ht="16.5" thickTop="1" thickBot="1" x14ac:dyDescent="0.4"/>
    <row r="115" spans="1:5" ht="31" thickTop="1" thickBot="1" x14ac:dyDescent="0.4">
      <c r="A115" s="37" t="s">
        <v>319</v>
      </c>
      <c r="B115" s="41" t="s">
        <v>342</v>
      </c>
      <c r="C115" s="41" t="s">
        <v>343</v>
      </c>
      <c r="D115" s="41" t="s">
        <v>344</v>
      </c>
      <c r="E115" s="37" t="s">
        <v>345</v>
      </c>
    </row>
    <row r="116" spans="1:5" ht="47.5" thickTop="1" thickBot="1" x14ac:dyDescent="0.4">
      <c r="A116" s="38" t="s">
        <v>369</v>
      </c>
      <c r="B116" s="34" t="s">
        <v>368</v>
      </c>
      <c r="C116" s="34" t="s">
        <v>347</v>
      </c>
      <c r="D116" s="38" t="s">
        <v>348</v>
      </c>
      <c r="E116" s="34" t="s">
        <v>553</v>
      </c>
    </row>
    <row r="117" spans="1:5" ht="47.5" thickTop="1" thickBot="1" x14ac:dyDescent="0.4">
      <c r="A117" s="38" t="s">
        <v>370</v>
      </c>
      <c r="B117" s="34" t="s">
        <v>554</v>
      </c>
      <c r="C117" s="34" t="s">
        <v>347</v>
      </c>
      <c r="D117" s="38" t="s">
        <v>348</v>
      </c>
      <c r="E117" s="34" t="s">
        <v>545</v>
      </c>
    </row>
    <row r="118" spans="1:5" ht="47.5" thickTop="1" thickBot="1" x14ac:dyDescent="0.4">
      <c r="A118" s="38" t="s">
        <v>371</v>
      </c>
      <c r="B118" s="40" t="s">
        <v>555</v>
      </c>
      <c r="C118" s="34" t="s">
        <v>515</v>
      </c>
      <c r="D118" s="38" t="s">
        <v>348</v>
      </c>
      <c r="E118" s="34" t="s">
        <v>547</v>
      </c>
    </row>
    <row r="119" spans="1:5" ht="47.5" thickTop="1" thickBot="1" x14ac:dyDescent="0.4">
      <c r="A119" s="38" t="s">
        <v>372</v>
      </c>
      <c r="B119" s="34" t="s">
        <v>556</v>
      </c>
      <c r="C119" s="34" t="s">
        <v>515</v>
      </c>
      <c r="D119" s="38" t="s">
        <v>348</v>
      </c>
      <c r="E119" s="34" t="s">
        <v>548</v>
      </c>
    </row>
    <row r="120" spans="1:5" ht="47.5" thickTop="1" thickBot="1" x14ac:dyDescent="0.4">
      <c r="A120" s="38" t="s">
        <v>373</v>
      </c>
      <c r="B120" s="34" t="s">
        <v>557</v>
      </c>
      <c r="C120" s="34" t="s">
        <v>560</v>
      </c>
      <c r="D120" s="38">
        <v>15.2</v>
      </c>
      <c r="E120" s="34" t="s">
        <v>549</v>
      </c>
    </row>
    <row r="121" spans="1:5" ht="47.5" thickTop="1" thickBot="1" x14ac:dyDescent="0.4">
      <c r="A121" s="38" t="s">
        <v>374</v>
      </c>
      <c r="B121" s="34" t="s">
        <v>558</v>
      </c>
      <c r="C121" s="34" t="s">
        <v>560</v>
      </c>
      <c r="D121" s="38">
        <v>15.2</v>
      </c>
      <c r="E121" s="34" t="s">
        <v>550</v>
      </c>
    </row>
    <row r="122" spans="1:5" ht="16.5" thickTop="1" thickBot="1" x14ac:dyDescent="0.4">
      <c r="A122" s="38" t="s">
        <v>375</v>
      </c>
      <c r="B122" s="34" t="s">
        <v>559</v>
      </c>
      <c r="C122" s="34" t="s">
        <v>427</v>
      </c>
      <c r="D122" s="38" t="s">
        <v>348</v>
      </c>
      <c r="E122" s="34" t="s">
        <v>552</v>
      </c>
    </row>
    <row r="123" spans="1:5" ht="16.5" thickTop="1" thickBot="1" x14ac:dyDescent="0.4"/>
    <row r="124" spans="1:5" ht="31" thickTop="1" thickBot="1" x14ac:dyDescent="0.4">
      <c r="A124" s="37" t="s">
        <v>319</v>
      </c>
      <c r="B124" s="37" t="s">
        <v>342</v>
      </c>
      <c r="C124" s="37" t="s">
        <v>343</v>
      </c>
      <c r="D124" s="37" t="s">
        <v>344</v>
      </c>
      <c r="E124" s="37" t="s">
        <v>345</v>
      </c>
    </row>
    <row r="125" spans="1:5" ht="32" thickTop="1" thickBot="1" x14ac:dyDescent="0.4">
      <c r="A125" s="38" t="s">
        <v>369</v>
      </c>
      <c r="B125" s="34" t="s">
        <v>368</v>
      </c>
      <c r="C125" s="34" t="s">
        <v>347</v>
      </c>
      <c r="D125" s="38" t="s">
        <v>348</v>
      </c>
      <c r="E125" s="42" t="s">
        <v>561</v>
      </c>
    </row>
    <row r="126" spans="1:5" ht="47.5" thickTop="1" thickBot="1" x14ac:dyDescent="0.4">
      <c r="A126" s="38" t="s">
        <v>370</v>
      </c>
      <c r="B126" s="34" t="s">
        <v>568</v>
      </c>
      <c r="C126" s="34" t="s">
        <v>351</v>
      </c>
      <c r="D126" s="38">
        <v>20</v>
      </c>
      <c r="E126" s="34" t="s">
        <v>562</v>
      </c>
    </row>
    <row r="127" spans="1:5" ht="16.5" thickTop="1" thickBot="1" x14ac:dyDescent="0.4">
      <c r="A127" s="38" t="s">
        <v>371</v>
      </c>
      <c r="B127" s="40" t="s">
        <v>382</v>
      </c>
      <c r="C127" s="34" t="s">
        <v>351</v>
      </c>
      <c r="D127" s="38">
        <v>50</v>
      </c>
      <c r="E127" s="34" t="s">
        <v>563</v>
      </c>
    </row>
    <row r="128" spans="1:5" ht="32" thickTop="1" thickBot="1" x14ac:dyDescent="0.4">
      <c r="A128" s="38" t="s">
        <v>372</v>
      </c>
      <c r="B128" s="34" t="s">
        <v>510</v>
      </c>
      <c r="C128" s="34" t="s">
        <v>505</v>
      </c>
      <c r="D128" s="38" t="s">
        <v>348</v>
      </c>
      <c r="E128" s="34" t="s">
        <v>564</v>
      </c>
    </row>
    <row r="129" spans="1:5" ht="47.5" thickTop="1" thickBot="1" x14ac:dyDescent="0.4">
      <c r="A129" s="38" t="s">
        <v>373</v>
      </c>
      <c r="B129" s="34" t="s">
        <v>569</v>
      </c>
      <c r="C129" s="34" t="s">
        <v>560</v>
      </c>
      <c r="D129" s="38">
        <v>15.2</v>
      </c>
      <c r="E129" s="34" t="s">
        <v>565</v>
      </c>
    </row>
    <row r="130" spans="1:5" ht="47.5" thickTop="1" thickBot="1" x14ac:dyDescent="0.4">
      <c r="A130" s="38" t="s">
        <v>374</v>
      </c>
      <c r="B130" s="34" t="s">
        <v>570</v>
      </c>
      <c r="C130" s="34" t="s">
        <v>560</v>
      </c>
      <c r="D130" s="38">
        <v>15.2</v>
      </c>
      <c r="E130" s="34" t="s">
        <v>566</v>
      </c>
    </row>
    <row r="131" spans="1:5" ht="47.5" thickTop="1" thickBot="1" x14ac:dyDescent="0.4">
      <c r="A131" s="38" t="s">
        <v>375</v>
      </c>
      <c r="B131" s="34" t="s">
        <v>517</v>
      </c>
      <c r="C131" s="34" t="s">
        <v>347</v>
      </c>
      <c r="D131" s="38" t="s">
        <v>348</v>
      </c>
      <c r="E131" s="34" t="s">
        <v>567</v>
      </c>
    </row>
    <row r="132" spans="1:5" ht="16.5" thickTop="1" thickBot="1" x14ac:dyDescent="0.4"/>
    <row r="133" spans="1:5" ht="31" thickTop="1" thickBot="1" x14ac:dyDescent="0.4">
      <c r="A133" s="37" t="s">
        <v>319</v>
      </c>
      <c r="B133" s="37" t="s">
        <v>342</v>
      </c>
      <c r="C133" s="37" t="s">
        <v>343</v>
      </c>
      <c r="D133" s="37" t="s">
        <v>344</v>
      </c>
      <c r="E133" s="37" t="s">
        <v>345</v>
      </c>
    </row>
    <row r="134" spans="1:5" ht="32" thickTop="1" thickBot="1" x14ac:dyDescent="0.4">
      <c r="A134" s="38" t="s">
        <v>369</v>
      </c>
      <c r="B134" s="38" t="s">
        <v>368</v>
      </c>
      <c r="C134" s="38" t="s">
        <v>515</v>
      </c>
      <c r="D134" s="38" t="s">
        <v>348</v>
      </c>
      <c r="E134" s="34" t="s">
        <v>571</v>
      </c>
    </row>
    <row r="135" spans="1:5" ht="32" thickTop="1" thickBot="1" x14ac:dyDescent="0.4">
      <c r="A135" s="38" t="s">
        <v>370</v>
      </c>
      <c r="B135" s="38" t="s">
        <v>546</v>
      </c>
      <c r="C135" s="38" t="s">
        <v>515</v>
      </c>
      <c r="D135" s="38" t="s">
        <v>348</v>
      </c>
      <c r="E135" s="34" t="s">
        <v>572</v>
      </c>
    </row>
    <row r="136" spans="1:5" ht="47.5" thickTop="1" thickBot="1" x14ac:dyDescent="0.4">
      <c r="A136" s="38" t="s">
        <v>371</v>
      </c>
      <c r="B136" s="43" t="s">
        <v>573</v>
      </c>
      <c r="C136" s="38" t="s">
        <v>515</v>
      </c>
      <c r="D136" s="38" t="s">
        <v>348</v>
      </c>
      <c r="E136" s="34" t="s">
        <v>574</v>
      </c>
    </row>
    <row r="137" spans="1:5" ht="47.5" thickTop="1" thickBot="1" x14ac:dyDescent="0.4">
      <c r="A137" s="38" t="s">
        <v>372</v>
      </c>
      <c r="B137" s="43" t="s">
        <v>575</v>
      </c>
      <c r="C137" s="38" t="s">
        <v>515</v>
      </c>
      <c r="D137" s="38" t="s">
        <v>348</v>
      </c>
      <c r="E137" s="34" t="s">
        <v>576</v>
      </c>
    </row>
    <row r="138" spans="1:5" ht="32" thickTop="1" thickBot="1" x14ac:dyDescent="0.4">
      <c r="A138" s="38" t="s">
        <v>373</v>
      </c>
      <c r="B138" s="43" t="s">
        <v>577</v>
      </c>
      <c r="C138" s="38" t="s">
        <v>405</v>
      </c>
      <c r="D138" s="38" t="s">
        <v>578</v>
      </c>
      <c r="E138" s="34" t="s">
        <v>579</v>
      </c>
    </row>
    <row r="139" spans="1:5" ht="16.5" thickTop="1" thickBot="1" x14ac:dyDescent="0.4"/>
    <row r="140" spans="1:5" ht="31" thickTop="1" thickBot="1" x14ac:dyDescent="0.4">
      <c r="A140" s="37" t="s">
        <v>319</v>
      </c>
      <c r="B140" s="37" t="s">
        <v>342</v>
      </c>
      <c r="C140" s="37" t="s">
        <v>343</v>
      </c>
      <c r="D140" s="37" t="s">
        <v>344</v>
      </c>
      <c r="E140" s="37" t="s">
        <v>345</v>
      </c>
    </row>
    <row r="141" spans="1:5" ht="32" thickTop="1" thickBot="1" x14ac:dyDescent="0.4">
      <c r="A141" s="38" t="s">
        <v>369</v>
      </c>
      <c r="B141" s="38" t="s">
        <v>368</v>
      </c>
      <c r="C141" s="38" t="s">
        <v>347</v>
      </c>
      <c r="D141" s="38"/>
      <c r="E141" s="34" t="s">
        <v>580</v>
      </c>
    </row>
    <row r="142" spans="1:5" ht="47.5" thickTop="1" thickBot="1" x14ac:dyDescent="0.4">
      <c r="A142" s="38" t="s">
        <v>370</v>
      </c>
      <c r="B142" s="38" t="s">
        <v>555</v>
      </c>
      <c r="C142" s="38" t="s">
        <v>347</v>
      </c>
      <c r="D142" s="38" t="s">
        <v>348</v>
      </c>
      <c r="E142" s="34" t="s">
        <v>581</v>
      </c>
    </row>
    <row r="143" spans="1:5" ht="63" thickTop="1" thickBot="1" x14ac:dyDescent="0.4">
      <c r="A143" s="38" t="s">
        <v>371</v>
      </c>
      <c r="B143" s="38" t="s">
        <v>582</v>
      </c>
      <c r="C143" s="38" t="s">
        <v>347</v>
      </c>
      <c r="D143" s="38" t="s">
        <v>348</v>
      </c>
      <c r="E143" s="34" t="s">
        <v>583</v>
      </c>
    </row>
    <row r="144" spans="1:5" ht="16.5" thickTop="1" thickBot="1" x14ac:dyDescent="0.4">
      <c r="A144" s="38" t="s">
        <v>372</v>
      </c>
      <c r="B144" s="38" t="s">
        <v>350</v>
      </c>
      <c r="C144" s="38" t="s">
        <v>351</v>
      </c>
      <c r="D144" s="38">
        <v>50</v>
      </c>
      <c r="E144" s="34" t="s">
        <v>584</v>
      </c>
    </row>
    <row r="145" spans="1:5" ht="32" thickTop="1" thickBot="1" x14ac:dyDescent="0.4">
      <c r="A145" s="38" t="s">
        <v>373</v>
      </c>
      <c r="B145" s="38" t="s">
        <v>585</v>
      </c>
      <c r="C145" s="38" t="s">
        <v>430</v>
      </c>
      <c r="D145" s="38" t="s">
        <v>348</v>
      </c>
      <c r="E145" s="34" t="s">
        <v>586</v>
      </c>
    </row>
    <row r="146" spans="1:5" ht="32" thickTop="1" thickBot="1" x14ac:dyDescent="0.4">
      <c r="A146" s="38" t="s">
        <v>374</v>
      </c>
      <c r="B146" s="38" t="s">
        <v>587</v>
      </c>
      <c r="C146" s="38" t="s">
        <v>544</v>
      </c>
      <c r="D146" s="38" t="s">
        <v>578</v>
      </c>
      <c r="E146" s="34" t="s">
        <v>588</v>
      </c>
    </row>
    <row r="147" spans="1:5" ht="32" thickTop="1" thickBot="1" x14ac:dyDescent="0.4">
      <c r="A147" s="38" t="s">
        <v>375</v>
      </c>
      <c r="B147" s="38" t="s">
        <v>589</v>
      </c>
      <c r="C147" s="38" t="s">
        <v>500</v>
      </c>
      <c r="D147" s="38">
        <v>8.3000000000000007</v>
      </c>
      <c r="E147" s="34" t="s">
        <v>590</v>
      </c>
    </row>
    <row r="148" spans="1:5" ht="47.5" thickTop="1" thickBot="1" x14ac:dyDescent="0.4">
      <c r="A148" s="38" t="s">
        <v>376</v>
      </c>
      <c r="B148" s="38" t="s">
        <v>591</v>
      </c>
      <c r="C148" s="38" t="s">
        <v>347</v>
      </c>
      <c r="D148" s="38" t="s">
        <v>348</v>
      </c>
      <c r="E148" s="34" t="s">
        <v>592</v>
      </c>
    </row>
    <row r="149" spans="1:5" ht="32" thickTop="1" thickBot="1" x14ac:dyDescent="0.4">
      <c r="A149" s="38" t="s">
        <v>377</v>
      </c>
      <c r="B149" s="38" t="s">
        <v>593</v>
      </c>
      <c r="C149" s="38" t="s">
        <v>608</v>
      </c>
      <c r="D149" s="38">
        <v>15.2</v>
      </c>
      <c r="E149" s="34" t="s">
        <v>594</v>
      </c>
    </row>
    <row r="150" spans="1:5" ht="32" thickTop="1" thickBot="1" x14ac:dyDescent="0.4">
      <c r="A150" s="38" t="s">
        <v>478</v>
      </c>
      <c r="B150" s="38" t="s">
        <v>595</v>
      </c>
      <c r="C150" s="38" t="s">
        <v>500</v>
      </c>
      <c r="D150" s="38">
        <v>15.2</v>
      </c>
      <c r="E150" s="34" t="s">
        <v>596</v>
      </c>
    </row>
    <row r="151" spans="1:5" ht="32" thickTop="1" thickBot="1" x14ac:dyDescent="0.4">
      <c r="A151" s="38" t="s">
        <v>479</v>
      </c>
      <c r="B151" s="38" t="s">
        <v>597</v>
      </c>
      <c r="C151" s="38" t="s">
        <v>598</v>
      </c>
      <c r="D151" s="38" t="s">
        <v>348</v>
      </c>
      <c r="E151" s="34" t="s">
        <v>599</v>
      </c>
    </row>
    <row r="152" spans="1:5" ht="32" thickTop="1" thickBot="1" x14ac:dyDescent="0.4">
      <c r="A152" s="38" t="s">
        <v>480</v>
      </c>
      <c r="B152" s="38" t="s">
        <v>600</v>
      </c>
      <c r="C152" s="38" t="s">
        <v>598</v>
      </c>
      <c r="D152" s="38" t="s">
        <v>348</v>
      </c>
      <c r="E152" s="34" t="s">
        <v>601</v>
      </c>
    </row>
    <row r="153" spans="1:5" ht="47.5" thickTop="1" thickBot="1" x14ac:dyDescent="0.4">
      <c r="A153" s="38" t="s">
        <v>481</v>
      </c>
      <c r="B153" s="38" t="s">
        <v>602</v>
      </c>
      <c r="C153" s="38" t="s">
        <v>598</v>
      </c>
      <c r="D153" s="38" t="s">
        <v>348</v>
      </c>
      <c r="E153" s="34" t="s">
        <v>603</v>
      </c>
    </row>
    <row r="154" spans="1:5" ht="47.5" thickTop="1" thickBot="1" x14ac:dyDescent="0.4">
      <c r="A154" s="38" t="s">
        <v>482</v>
      </c>
      <c r="B154" s="38" t="s">
        <v>604</v>
      </c>
      <c r="C154" s="38" t="s">
        <v>505</v>
      </c>
      <c r="D154" s="38" t="s">
        <v>348</v>
      </c>
      <c r="E154" s="34" t="s">
        <v>605</v>
      </c>
    </row>
    <row r="155" spans="1:5" ht="16.5" thickTop="1" thickBot="1" x14ac:dyDescent="0.4">
      <c r="A155" s="38">
        <v>15</v>
      </c>
      <c r="B155" s="38" t="s">
        <v>606</v>
      </c>
      <c r="C155" s="38" t="s">
        <v>351</v>
      </c>
      <c r="D155" s="38">
        <v>50</v>
      </c>
      <c r="E155" s="34" t="s">
        <v>607</v>
      </c>
    </row>
    <row r="156" spans="1:5" ht="16.5" thickTop="1" thickBot="1" x14ac:dyDescent="0.4"/>
    <row r="157" spans="1:5" ht="31" thickTop="1" thickBot="1" x14ac:dyDescent="0.4">
      <c r="A157" s="37" t="s">
        <v>319</v>
      </c>
      <c r="B157" s="37" t="s">
        <v>342</v>
      </c>
      <c r="C157" s="37" t="s">
        <v>343</v>
      </c>
      <c r="D157" s="37" t="s">
        <v>344</v>
      </c>
      <c r="E157" s="37" t="s">
        <v>345</v>
      </c>
    </row>
    <row r="158" spans="1:5" ht="47.5" thickTop="1" thickBot="1" x14ac:dyDescent="0.4">
      <c r="A158" s="38" t="s">
        <v>369</v>
      </c>
      <c r="B158" s="38" t="s">
        <v>368</v>
      </c>
      <c r="C158" s="38" t="s">
        <v>347</v>
      </c>
      <c r="D158" s="38" t="s">
        <v>348</v>
      </c>
      <c r="E158" s="34" t="s">
        <v>609</v>
      </c>
    </row>
    <row r="159" spans="1:5" ht="63" thickTop="1" thickBot="1" x14ac:dyDescent="0.4">
      <c r="A159" s="38" t="s">
        <v>370</v>
      </c>
      <c r="B159" s="38" t="s">
        <v>502</v>
      </c>
      <c r="C159" s="38" t="s">
        <v>347</v>
      </c>
      <c r="D159" s="38" t="s">
        <v>348</v>
      </c>
      <c r="E159" s="34" t="s">
        <v>610</v>
      </c>
    </row>
    <row r="160" spans="1:5" ht="32" thickTop="1" thickBot="1" x14ac:dyDescent="0.4">
      <c r="A160" s="38" t="s">
        <v>371</v>
      </c>
      <c r="B160" s="38" t="s">
        <v>555</v>
      </c>
      <c r="C160" s="38" t="s">
        <v>347</v>
      </c>
      <c r="D160" s="38" t="s">
        <v>348</v>
      </c>
      <c r="E160" s="34" t="s">
        <v>611</v>
      </c>
    </row>
    <row r="161" spans="1:5" ht="47.5" thickTop="1" thickBot="1" x14ac:dyDescent="0.4">
      <c r="A161" s="38" t="s">
        <v>372</v>
      </c>
      <c r="B161" s="38" t="s">
        <v>612</v>
      </c>
      <c r="C161" s="38" t="s">
        <v>347</v>
      </c>
      <c r="D161" s="38" t="s">
        <v>348</v>
      </c>
      <c r="E161" s="34" t="s">
        <v>613</v>
      </c>
    </row>
    <row r="162" spans="1:5" ht="32" thickTop="1" thickBot="1" x14ac:dyDescent="0.4">
      <c r="A162" s="38" t="s">
        <v>373</v>
      </c>
      <c r="B162" s="38" t="s">
        <v>614</v>
      </c>
      <c r="C162" s="38" t="s">
        <v>347</v>
      </c>
      <c r="D162" s="38" t="s">
        <v>348</v>
      </c>
      <c r="E162" s="34" t="s">
        <v>615</v>
      </c>
    </row>
    <row r="163" spans="1:5" ht="32" thickTop="1" thickBot="1" x14ac:dyDescent="0.4">
      <c r="A163" s="38" t="s">
        <v>374</v>
      </c>
      <c r="B163" s="38" t="s">
        <v>350</v>
      </c>
      <c r="C163" s="38" t="s">
        <v>351</v>
      </c>
      <c r="D163" s="38">
        <v>50</v>
      </c>
      <c r="E163" s="34" t="s">
        <v>616</v>
      </c>
    </row>
    <row r="164" spans="1:5" ht="32" thickTop="1" thickBot="1" x14ac:dyDescent="0.4">
      <c r="A164" s="38" t="s">
        <v>375</v>
      </c>
      <c r="B164" s="38" t="s">
        <v>617</v>
      </c>
      <c r="C164" s="38" t="s">
        <v>351</v>
      </c>
      <c r="D164" s="38">
        <v>125</v>
      </c>
      <c r="E164" s="34" t="s">
        <v>618</v>
      </c>
    </row>
    <row r="165" spans="1:5" ht="16.5" thickTop="1" thickBot="1" x14ac:dyDescent="0.4">
      <c r="A165" s="38" t="s">
        <v>376</v>
      </c>
      <c r="B165" s="38" t="s">
        <v>619</v>
      </c>
      <c r="C165" s="38" t="s">
        <v>351</v>
      </c>
      <c r="D165" s="38">
        <v>125</v>
      </c>
      <c r="E165" s="34" t="s">
        <v>620</v>
      </c>
    </row>
    <row r="166" spans="1:5" ht="47.5" thickTop="1" thickBot="1" x14ac:dyDescent="0.4">
      <c r="A166" s="38" t="s">
        <v>377</v>
      </c>
      <c r="B166" s="38" t="s">
        <v>621</v>
      </c>
      <c r="C166" s="38" t="s">
        <v>622</v>
      </c>
      <c r="D166" s="38">
        <v>125</v>
      </c>
      <c r="E166" s="34" t="s">
        <v>623</v>
      </c>
    </row>
    <row r="167" spans="1:5" ht="32" thickTop="1" thickBot="1" x14ac:dyDescent="0.4">
      <c r="A167" s="38" t="s">
        <v>478</v>
      </c>
      <c r="B167" s="38" t="s">
        <v>624</v>
      </c>
      <c r="C167" s="38" t="s">
        <v>351</v>
      </c>
      <c r="D167" s="38">
        <v>125</v>
      </c>
      <c r="E167" s="34" t="s">
        <v>625</v>
      </c>
    </row>
    <row r="168" spans="1:5" ht="32" thickTop="1" thickBot="1" x14ac:dyDescent="0.4">
      <c r="A168" s="38" t="s">
        <v>479</v>
      </c>
      <c r="B168" s="38" t="s">
        <v>626</v>
      </c>
      <c r="C168" s="38" t="s">
        <v>351</v>
      </c>
      <c r="D168" s="38">
        <v>125</v>
      </c>
      <c r="E168" s="34" t="s">
        <v>627</v>
      </c>
    </row>
    <row r="169" spans="1:5" ht="16.5" thickTop="1" thickBot="1" x14ac:dyDescent="0.4">
      <c r="A169" s="38" t="s">
        <v>480</v>
      </c>
      <c r="B169" s="38" t="s">
        <v>628</v>
      </c>
      <c r="C169" s="38" t="s">
        <v>347</v>
      </c>
      <c r="D169" s="38" t="s">
        <v>348</v>
      </c>
      <c r="E169" s="34" t="s">
        <v>629</v>
      </c>
    </row>
    <row r="170" spans="1:5" ht="47.5" thickTop="1" thickBot="1" x14ac:dyDescent="0.4">
      <c r="A170" s="38" t="s">
        <v>481</v>
      </c>
      <c r="B170" s="38" t="s">
        <v>630</v>
      </c>
      <c r="C170" s="38" t="s">
        <v>544</v>
      </c>
      <c r="D170" s="38" t="s">
        <v>348</v>
      </c>
      <c r="E170" s="34" t="s">
        <v>631</v>
      </c>
    </row>
    <row r="171" spans="1:5" ht="16.5" thickTop="1" thickBot="1" x14ac:dyDescent="0.4"/>
    <row r="172" spans="1:5" ht="31" thickTop="1" thickBot="1" x14ac:dyDescent="0.4">
      <c r="A172" s="37" t="s">
        <v>319</v>
      </c>
      <c r="B172" s="37" t="s">
        <v>342</v>
      </c>
      <c r="C172" s="37" t="s">
        <v>343</v>
      </c>
      <c r="D172" s="37" t="s">
        <v>344</v>
      </c>
      <c r="E172" s="37" t="s">
        <v>345</v>
      </c>
    </row>
    <row r="173" spans="1:5" ht="32" thickTop="1" thickBot="1" x14ac:dyDescent="0.4">
      <c r="A173" s="38" t="s">
        <v>369</v>
      </c>
      <c r="B173" s="38" t="s">
        <v>368</v>
      </c>
      <c r="C173" s="38" t="s">
        <v>347</v>
      </c>
      <c r="D173" s="38" t="s">
        <v>348</v>
      </c>
      <c r="E173" s="34" t="s">
        <v>632</v>
      </c>
    </row>
    <row r="174" spans="1:5" ht="32" thickTop="1" thickBot="1" x14ac:dyDescent="0.4">
      <c r="A174" s="38" t="s">
        <v>370</v>
      </c>
      <c r="B174" s="38" t="s">
        <v>614</v>
      </c>
      <c r="C174" s="38" t="s">
        <v>347</v>
      </c>
      <c r="D174" s="38" t="s">
        <v>348</v>
      </c>
      <c r="E174" s="34" t="s">
        <v>633</v>
      </c>
    </row>
    <row r="175" spans="1:5" ht="32" thickTop="1" thickBot="1" x14ac:dyDescent="0.4">
      <c r="A175" s="38" t="s">
        <v>371</v>
      </c>
      <c r="B175" s="38" t="s">
        <v>555</v>
      </c>
      <c r="C175" s="38" t="s">
        <v>347</v>
      </c>
      <c r="D175" s="38" t="s">
        <v>348</v>
      </c>
      <c r="E175" s="34" t="s">
        <v>634</v>
      </c>
    </row>
    <row r="176" spans="1:5" ht="16.5" thickTop="1" thickBot="1" x14ac:dyDescent="0.4">
      <c r="A176" s="184" t="s">
        <v>372</v>
      </c>
      <c r="B176" s="184" t="s">
        <v>637</v>
      </c>
      <c r="C176" s="184" t="s">
        <v>505</v>
      </c>
      <c r="D176" s="184" t="s">
        <v>348</v>
      </c>
      <c r="E176" s="34" t="s">
        <v>635</v>
      </c>
    </row>
    <row r="177" spans="1:5" ht="32" thickTop="1" thickBot="1" x14ac:dyDescent="0.4">
      <c r="A177" s="184"/>
      <c r="B177" s="184"/>
      <c r="C177" s="184"/>
      <c r="D177" s="184"/>
      <c r="E177" s="34" t="s">
        <v>636</v>
      </c>
    </row>
    <row r="178" spans="1:5" ht="16.5" thickTop="1" thickBot="1" x14ac:dyDescent="0.4"/>
    <row r="179" spans="1:5" ht="31" thickTop="1" thickBot="1" x14ac:dyDescent="0.4">
      <c r="A179" s="37" t="s">
        <v>319</v>
      </c>
      <c r="B179" s="37" t="s">
        <v>342</v>
      </c>
      <c r="C179" s="37" t="s">
        <v>343</v>
      </c>
      <c r="D179" s="37" t="s">
        <v>344</v>
      </c>
      <c r="E179" s="37" t="s">
        <v>345</v>
      </c>
    </row>
    <row r="180" spans="1:5" ht="47.5" thickTop="1" thickBot="1" x14ac:dyDescent="0.4">
      <c r="A180" s="38" t="s">
        <v>369</v>
      </c>
      <c r="B180" s="38" t="s">
        <v>368</v>
      </c>
      <c r="C180" s="38" t="s">
        <v>347</v>
      </c>
      <c r="D180" s="38" t="s">
        <v>348</v>
      </c>
      <c r="E180" s="34" t="s">
        <v>638</v>
      </c>
    </row>
    <row r="181" spans="1:5" ht="63" thickTop="1" thickBot="1" x14ac:dyDescent="0.4">
      <c r="A181" s="38" t="s">
        <v>370</v>
      </c>
      <c r="B181" s="38" t="s">
        <v>502</v>
      </c>
      <c r="C181" s="38" t="s">
        <v>515</v>
      </c>
      <c r="D181" s="38" t="s">
        <v>348</v>
      </c>
      <c r="E181" s="34" t="s">
        <v>653</v>
      </c>
    </row>
    <row r="182" spans="1:5" ht="15.5" customHeight="1" thickTop="1" thickBot="1" x14ac:dyDescent="0.4">
      <c r="A182" s="38" t="s">
        <v>371</v>
      </c>
      <c r="B182" s="38" t="s">
        <v>585</v>
      </c>
      <c r="C182" s="38" t="s">
        <v>639</v>
      </c>
      <c r="D182" s="38" t="s">
        <v>348</v>
      </c>
      <c r="E182" s="34" t="s">
        <v>654</v>
      </c>
    </row>
    <row r="183" spans="1:5" ht="63" thickTop="1" thickBot="1" x14ac:dyDescent="0.4">
      <c r="A183" s="38" t="s">
        <v>372</v>
      </c>
      <c r="B183" s="38" t="s">
        <v>640</v>
      </c>
      <c r="C183" s="38" t="s">
        <v>500</v>
      </c>
      <c r="D183" s="38">
        <v>15.2</v>
      </c>
      <c r="E183" s="34" t="s">
        <v>655</v>
      </c>
    </row>
    <row r="184" spans="1:5" ht="63" thickTop="1" thickBot="1" x14ac:dyDescent="0.4">
      <c r="A184" s="38" t="s">
        <v>373</v>
      </c>
      <c r="B184" s="38" t="s">
        <v>641</v>
      </c>
      <c r="C184" s="38" t="s">
        <v>500</v>
      </c>
      <c r="D184" s="38">
        <v>15.2</v>
      </c>
      <c r="E184" s="34" t="s">
        <v>657</v>
      </c>
    </row>
    <row r="185" spans="1:5" ht="63" thickTop="1" thickBot="1" x14ac:dyDescent="0.4">
      <c r="A185" s="38" t="s">
        <v>374</v>
      </c>
      <c r="B185" s="38" t="s">
        <v>642</v>
      </c>
      <c r="C185" s="38" t="s">
        <v>500</v>
      </c>
      <c r="D185" s="38">
        <v>15.2</v>
      </c>
      <c r="E185" s="34" t="s">
        <v>656</v>
      </c>
    </row>
    <row r="186" spans="1:5" ht="47.5" thickTop="1" thickBot="1" x14ac:dyDescent="0.4">
      <c r="A186" s="38" t="s">
        <v>375</v>
      </c>
      <c r="B186" s="38" t="s">
        <v>593</v>
      </c>
      <c r="C186" s="38" t="s">
        <v>500</v>
      </c>
      <c r="D186" s="38">
        <v>15.2</v>
      </c>
      <c r="E186" s="34" t="s">
        <v>658</v>
      </c>
    </row>
    <row r="187" spans="1:5" ht="31" customHeight="1" thickTop="1" thickBot="1" x14ac:dyDescent="0.4">
      <c r="A187" s="38" t="s">
        <v>376</v>
      </c>
      <c r="B187" s="38" t="s">
        <v>643</v>
      </c>
      <c r="C187" s="38" t="s">
        <v>500</v>
      </c>
      <c r="D187" s="38">
        <v>15.2</v>
      </c>
      <c r="E187" s="34" t="s">
        <v>659</v>
      </c>
    </row>
    <row r="188" spans="1:5" ht="47.5" thickTop="1" thickBot="1" x14ac:dyDescent="0.4">
      <c r="A188" s="38" t="s">
        <v>377</v>
      </c>
      <c r="B188" s="38" t="s">
        <v>644</v>
      </c>
      <c r="C188" s="38" t="s">
        <v>500</v>
      </c>
      <c r="D188" s="38">
        <v>15.2</v>
      </c>
      <c r="E188" s="34" t="s">
        <v>660</v>
      </c>
    </row>
    <row r="189" spans="1:5" ht="30.5" customHeight="1" thickTop="1" thickBot="1" x14ac:dyDescent="0.4">
      <c r="A189" s="38" t="s">
        <v>478</v>
      </c>
      <c r="B189" s="38" t="s">
        <v>645</v>
      </c>
      <c r="C189" s="38" t="s">
        <v>560</v>
      </c>
      <c r="D189" s="38">
        <v>8.4</v>
      </c>
      <c r="E189" s="34" t="s">
        <v>661</v>
      </c>
    </row>
    <row r="190" spans="1:5" ht="30.5" customHeight="1" thickTop="1" thickBot="1" x14ac:dyDescent="0.4">
      <c r="A190" s="38" t="s">
        <v>479</v>
      </c>
      <c r="B190" s="38" t="s">
        <v>646</v>
      </c>
      <c r="C190" s="38" t="s">
        <v>560</v>
      </c>
      <c r="D190" s="38">
        <v>15.2</v>
      </c>
      <c r="E190" s="34" t="s">
        <v>662</v>
      </c>
    </row>
    <row r="191" spans="1:5" ht="31" customHeight="1" thickTop="1" thickBot="1" x14ac:dyDescent="0.4">
      <c r="A191" s="38" t="s">
        <v>480</v>
      </c>
      <c r="B191" s="38" t="s">
        <v>647</v>
      </c>
      <c r="C191" s="38" t="s">
        <v>500</v>
      </c>
      <c r="D191" s="38">
        <v>15.2</v>
      </c>
      <c r="E191" s="34" t="s">
        <v>663</v>
      </c>
    </row>
    <row r="192" spans="1:5" ht="31" customHeight="1" thickTop="1" thickBot="1" x14ac:dyDescent="0.4">
      <c r="A192" s="38" t="s">
        <v>481</v>
      </c>
      <c r="B192" s="38" t="s">
        <v>648</v>
      </c>
      <c r="C192" s="38" t="s">
        <v>500</v>
      </c>
      <c r="D192" s="38">
        <v>15.2</v>
      </c>
      <c r="E192" s="34" t="s">
        <v>664</v>
      </c>
    </row>
    <row r="193" spans="1:5" ht="15.5" customHeight="1" thickTop="1" thickBot="1" x14ac:dyDescent="0.4">
      <c r="A193" s="38" t="s">
        <v>482</v>
      </c>
      <c r="B193" s="38" t="s">
        <v>649</v>
      </c>
      <c r="C193" s="38" t="s">
        <v>500</v>
      </c>
      <c r="D193" s="38">
        <v>15.2</v>
      </c>
      <c r="E193" s="34" t="s">
        <v>650</v>
      </c>
    </row>
    <row r="194" spans="1:5" ht="78.5" thickTop="1" thickBot="1" x14ac:dyDescent="0.4">
      <c r="A194" s="38" t="s">
        <v>483</v>
      </c>
      <c r="B194" s="38" t="s">
        <v>651</v>
      </c>
      <c r="C194" s="38" t="s">
        <v>500</v>
      </c>
      <c r="D194" s="38">
        <v>8.4</v>
      </c>
      <c r="E194" s="40" t="s">
        <v>665</v>
      </c>
    </row>
    <row r="195" spans="1:5" ht="78.5" thickTop="1" thickBot="1" x14ac:dyDescent="0.4">
      <c r="A195" s="38" t="s">
        <v>484</v>
      </c>
      <c r="B195" s="38" t="s">
        <v>652</v>
      </c>
      <c r="C195" s="38" t="s">
        <v>500</v>
      </c>
      <c r="D195" s="38">
        <v>8.4</v>
      </c>
      <c r="E195" s="34" t="s">
        <v>666</v>
      </c>
    </row>
    <row r="196" spans="1:5" ht="63" thickTop="1" thickBot="1" x14ac:dyDescent="0.4">
      <c r="A196" s="38" t="s">
        <v>485</v>
      </c>
      <c r="B196" s="38" t="s">
        <v>551</v>
      </c>
      <c r="C196" s="38" t="s">
        <v>505</v>
      </c>
      <c r="D196" s="38" t="s">
        <v>348</v>
      </c>
      <c r="E196" s="34" t="s">
        <v>667</v>
      </c>
    </row>
    <row r="197" spans="1:5" ht="16.5" thickTop="1" thickBot="1" x14ac:dyDescent="0.4"/>
    <row r="198" spans="1:5" ht="31" thickTop="1" thickBot="1" x14ac:dyDescent="0.4">
      <c r="A198" s="37" t="s">
        <v>319</v>
      </c>
      <c r="B198" s="37" t="s">
        <v>342</v>
      </c>
      <c r="C198" s="37" t="s">
        <v>343</v>
      </c>
      <c r="D198" s="37" t="s">
        <v>344</v>
      </c>
      <c r="E198" s="37" t="s">
        <v>345</v>
      </c>
    </row>
    <row r="199" spans="1:5" ht="32" thickTop="1" thickBot="1" x14ac:dyDescent="0.4">
      <c r="A199" s="38" t="s">
        <v>369</v>
      </c>
      <c r="B199" s="38" t="s">
        <v>368</v>
      </c>
      <c r="C199" s="38" t="s">
        <v>668</v>
      </c>
      <c r="D199" s="38">
        <v>36</v>
      </c>
      <c r="E199" s="34" t="s">
        <v>669</v>
      </c>
    </row>
    <row r="200" spans="1:5" ht="16.5" thickTop="1" thickBot="1" x14ac:dyDescent="0.4">
      <c r="A200" s="38" t="s">
        <v>370</v>
      </c>
      <c r="B200" s="38" t="s">
        <v>670</v>
      </c>
      <c r="C200" s="38" t="s">
        <v>351</v>
      </c>
      <c r="D200" s="38">
        <v>50</v>
      </c>
      <c r="E200" s="34" t="s">
        <v>671</v>
      </c>
    </row>
    <row r="201" spans="1:5" ht="32" thickTop="1" thickBot="1" x14ac:dyDescent="0.4">
      <c r="A201" s="38" t="s">
        <v>371</v>
      </c>
      <c r="B201" s="38" t="s">
        <v>672</v>
      </c>
      <c r="C201" s="38" t="s">
        <v>389</v>
      </c>
      <c r="D201" s="38">
        <v>50</v>
      </c>
      <c r="E201" s="34" t="s">
        <v>673</v>
      </c>
    </row>
    <row r="202" spans="1:5" ht="32" thickTop="1" thickBot="1" x14ac:dyDescent="0.4">
      <c r="A202" s="38" t="s">
        <v>372</v>
      </c>
      <c r="B202" s="38" t="s">
        <v>674</v>
      </c>
      <c r="C202" s="38" t="s">
        <v>347</v>
      </c>
      <c r="D202" s="38" t="s">
        <v>348</v>
      </c>
      <c r="E202" s="34" t="s">
        <v>675</v>
      </c>
    </row>
    <row r="203" spans="1:5" ht="32" thickTop="1" thickBot="1" x14ac:dyDescent="0.4">
      <c r="A203" s="38" t="s">
        <v>373</v>
      </c>
      <c r="B203" s="38" t="s">
        <v>676</v>
      </c>
      <c r="C203" s="38" t="s">
        <v>505</v>
      </c>
      <c r="D203" s="38" t="s">
        <v>348</v>
      </c>
      <c r="E203" s="34" t="s">
        <v>677</v>
      </c>
    </row>
    <row r="204" spans="1:5" ht="32" thickTop="1" thickBot="1" x14ac:dyDescent="0.4">
      <c r="A204" s="38" t="s">
        <v>374</v>
      </c>
      <c r="B204" s="38" t="s">
        <v>678</v>
      </c>
      <c r="C204" s="38" t="s">
        <v>356</v>
      </c>
      <c r="D204" s="38" t="s">
        <v>348</v>
      </c>
      <c r="E204" s="34" t="s">
        <v>679</v>
      </c>
    </row>
    <row r="205" spans="1:5" ht="16.5" thickTop="1" thickBot="1" x14ac:dyDescent="0.4"/>
    <row r="206" spans="1:5" ht="31" thickTop="1" thickBot="1" x14ac:dyDescent="0.4">
      <c r="A206" s="37" t="s">
        <v>319</v>
      </c>
      <c r="B206" s="37" t="s">
        <v>342</v>
      </c>
      <c r="C206" s="37" t="s">
        <v>343</v>
      </c>
      <c r="D206" s="37" t="s">
        <v>344</v>
      </c>
      <c r="E206" s="37" t="s">
        <v>345</v>
      </c>
    </row>
    <row r="207" spans="1:5" ht="32" thickTop="1" thickBot="1" x14ac:dyDescent="0.4">
      <c r="A207" s="38" t="s">
        <v>369</v>
      </c>
      <c r="B207" s="38" t="s">
        <v>368</v>
      </c>
      <c r="C207" s="38" t="s">
        <v>347</v>
      </c>
      <c r="D207" s="38" t="s">
        <v>348</v>
      </c>
      <c r="E207" s="34" t="s">
        <v>680</v>
      </c>
    </row>
    <row r="208" spans="1:5" ht="16.5" thickTop="1" thickBot="1" x14ac:dyDescent="0.4">
      <c r="A208" s="38" t="s">
        <v>370</v>
      </c>
      <c r="B208" s="38" t="s">
        <v>350</v>
      </c>
      <c r="C208" s="38" t="s">
        <v>351</v>
      </c>
      <c r="D208" s="38">
        <v>20</v>
      </c>
      <c r="E208" s="34" t="s">
        <v>681</v>
      </c>
    </row>
    <row r="209" spans="1:5" ht="32" thickTop="1" thickBot="1" x14ac:dyDescent="0.4">
      <c r="A209" s="38" t="s">
        <v>371</v>
      </c>
      <c r="B209" s="38" t="s">
        <v>682</v>
      </c>
      <c r="C209" s="38" t="s">
        <v>351</v>
      </c>
      <c r="D209" s="38">
        <v>20</v>
      </c>
      <c r="E209" s="34" t="s">
        <v>683</v>
      </c>
    </row>
    <row r="210" spans="1:5" ht="47.5" thickTop="1" thickBot="1" x14ac:dyDescent="0.4">
      <c r="A210" s="38" t="s">
        <v>372</v>
      </c>
      <c r="B210" s="38" t="s">
        <v>670</v>
      </c>
      <c r="C210" s="38" t="s">
        <v>351</v>
      </c>
      <c r="D210" s="38">
        <v>20</v>
      </c>
      <c r="E210" s="34" t="s">
        <v>684</v>
      </c>
    </row>
    <row r="211" spans="1:5" ht="32" thickTop="1" thickBot="1" x14ac:dyDescent="0.4">
      <c r="A211" s="38" t="s">
        <v>373</v>
      </c>
      <c r="B211" s="38" t="s">
        <v>685</v>
      </c>
      <c r="C211" s="38" t="s">
        <v>389</v>
      </c>
      <c r="D211" s="38">
        <v>20</v>
      </c>
      <c r="E211" s="34" t="s">
        <v>686</v>
      </c>
    </row>
    <row r="212" spans="1:5" ht="32" thickTop="1" thickBot="1" x14ac:dyDescent="0.4">
      <c r="A212" s="38" t="s">
        <v>374</v>
      </c>
      <c r="B212" s="38" t="s">
        <v>687</v>
      </c>
      <c r="C212" s="38" t="s">
        <v>351</v>
      </c>
      <c r="D212" s="38">
        <v>20</v>
      </c>
      <c r="E212" s="34" t="s">
        <v>688</v>
      </c>
    </row>
    <row r="213" spans="1:5" ht="16" thickTop="1" x14ac:dyDescent="0.35"/>
  </sheetData>
  <mergeCells count="4">
    <mergeCell ref="A176:A177"/>
    <mergeCell ref="B176:B177"/>
    <mergeCell ref="C176:C177"/>
    <mergeCell ref="D176:D17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46C3-ECAD-4A5D-96BD-5FB61F3EE717}">
  <dimension ref="A1:C5"/>
  <sheetViews>
    <sheetView workbookViewId="0">
      <selection sqref="A1:C4"/>
    </sheetView>
  </sheetViews>
  <sheetFormatPr defaultRowHeight="14.5" x14ac:dyDescent="0.35"/>
  <cols>
    <col min="2" max="2" width="1.453125" customWidth="1"/>
    <col min="3" max="3" width="34.90625" customWidth="1"/>
  </cols>
  <sheetData>
    <row r="1" spans="1:3" ht="15.5" x14ac:dyDescent="0.35">
      <c r="A1" s="185" t="s">
        <v>345</v>
      </c>
      <c r="B1" s="185"/>
      <c r="C1" s="185"/>
    </row>
    <row r="2" spans="1:3" ht="15.5" x14ac:dyDescent="0.35">
      <c r="A2" s="44" t="s">
        <v>690</v>
      </c>
      <c r="B2" s="45" t="s">
        <v>689</v>
      </c>
      <c r="C2" s="47" t="s">
        <v>693</v>
      </c>
    </row>
    <row r="3" spans="1:3" ht="46.5" x14ac:dyDescent="0.35">
      <c r="A3" s="44" t="s">
        <v>691</v>
      </c>
      <c r="B3" s="45" t="s">
        <v>689</v>
      </c>
      <c r="C3" s="46" t="s">
        <v>694</v>
      </c>
    </row>
    <row r="4" spans="1:3" ht="31" x14ac:dyDescent="0.35">
      <c r="A4" s="44" t="s">
        <v>692</v>
      </c>
      <c r="B4" s="45" t="s">
        <v>689</v>
      </c>
      <c r="C4" s="46" t="s">
        <v>695</v>
      </c>
    </row>
    <row r="5" spans="1:3" ht="15.5" x14ac:dyDescent="0.35">
      <c r="C5" s="1"/>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913C-1819-4A4E-A8CE-01D7F3FE1171}">
  <dimension ref="A1:F43"/>
  <sheetViews>
    <sheetView tabSelected="1" topLeftCell="A21" zoomScale="50" zoomScaleNormal="50" workbookViewId="0">
      <selection activeCell="B40" sqref="B40:F42"/>
    </sheetView>
  </sheetViews>
  <sheetFormatPr defaultRowHeight="15.5" x14ac:dyDescent="0.35"/>
  <cols>
    <col min="1" max="1" width="3.453125" style="48" bestFit="1" customWidth="1"/>
    <col min="2" max="2" width="11.81640625" style="48" customWidth="1"/>
    <col min="3" max="3" width="21.26953125" style="48" customWidth="1"/>
    <col min="4" max="4" width="40.81640625" style="48" bestFit="1" customWidth="1"/>
    <col min="5" max="5" width="49" style="48" bestFit="1" customWidth="1"/>
    <col min="6" max="6" width="62" style="48" bestFit="1" customWidth="1"/>
    <col min="7" max="16384" width="8.7265625" style="48"/>
  </cols>
  <sheetData>
    <row r="1" spans="1:6" ht="16.5" thickTop="1" thickBot="1" x14ac:dyDescent="0.4">
      <c r="A1" s="49" t="s">
        <v>319</v>
      </c>
      <c r="B1" s="50" t="s">
        <v>696</v>
      </c>
      <c r="C1" s="50" t="s">
        <v>697</v>
      </c>
      <c r="D1" s="50" t="s">
        <v>510</v>
      </c>
      <c r="E1" s="50" t="s">
        <v>707</v>
      </c>
      <c r="F1" s="50" t="s">
        <v>698</v>
      </c>
    </row>
    <row r="2" spans="1:6" ht="16.5" thickTop="1" thickBot="1" x14ac:dyDescent="0.4">
      <c r="A2" s="51" t="s">
        <v>369</v>
      </c>
      <c r="B2" s="52" t="s">
        <v>699</v>
      </c>
      <c r="C2" s="52" t="s">
        <v>700</v>
      </c>
      <c r="D2" s="52" t="s">
        <v>712</v>
      </c>
      <c r="E2" s="52" t="s">
        <v>701</v>
      </c>
      <c r="F2" s="52" t="s">
        <v>717</v>
      </c>
    </row>
    <row r="3" spans="1:6" ht="32" thickTop="1" thickBot="1" x14ac:dyDescent="0.4">
      <c r="A3" s="51" t="s">
        <v>370</v>
      </c>
      <c r="B3" s="52" t="s">
        <v>702</v>
      </c>
      <c r="C3" s="52" t="s">
        <v>700</v>
      </c>
      <c r="D3" s="52" t="s">
        <v>710</v>
      </c>
      <c r="E3" s="52" t="s">
        <v>708</v>
      </c>
      <c r="F3" s="53" t="s">
        <v>718</v>
      </c>
    </row>
    <row r="4" spans="1:6" ht="16.5" thickTop="1" thickBot="1" x14ac:dyDescent="0.4">
      <c r="A4" s="51" t="s">
        <v>371</v>
      </c>
      <c r="B4" s="52" t="s">
        <v>702</v>
      </c>
      <c r="C4" s="52" t="s">
        <v>703</v>
      </c>
      <c r="D4" s="52" t="s">
        <v>711</v>
      </c>
      <c r="E4" s="52" t="s">
        <v>709</v>
      </c>
      <c r="F4" s="52" t="s">
        <v>719</v>
      </c>
    </row>
    <row r="5" spans="1:6" ht="16.5" thickTop="1" thickBot="1" x14ac:dyDescent="0.4">
      <c r="A5" s="51" t="s">
        <v>372</v>
      </c>
      <c r="B5" s="52" t="s">
        <v>699</v>
      </c>
      <c r="C5" s="52" t="s">
        <v>704</v>
      </c>
      <c r="D5" s="52" t="s">
        <v>713</v>
      </c>
      <c r="E5" s="52" t="s">
        <v>701</v>
      </c>
      <c r="F5" s="52" t="s">
        <v>720</v>
      </c>
    </row>
    <row r="6" spans="1:6" ht="16.5" thickTop="1" thickBot="1" x14ac:dyDescent="0.4">
      <c r="A6" s="51" t="s">
        <v>373</v>
      </c>
      <c r="B6" s="52" t="s">
        <v>702</v>
      </c>
      <c r="C6" s="52" t="s">
        <v>704</v>
      </c>
      <c r="D6" s="52" t="s">
        <v>714</v>
      </c>
      <c r="E6" s="52" t="s">
        <v>708</v>
      </c>
      <c r="F6" s="52" t="s">
        <v>721</v>
      </c>
    </row>
    <row r="7" spans="1:6" ht="16.5" thickTop="1" thickBot="1" x14ac:dyDescent="0.4">
      <c r="A7" s="51" t="s">
        <v>374</v>
      </c>
      <c r="B7" s="52" t="s">
        <v>699</v>
      </c>
      <c r="C7" s="52" t="s">
        <v>705</v>
      </c>
      <c r="D7" s="52" t="s">
        <v>715</v>
      </c>
      <c r="E7" s="52" t="s">
        <v>701</v>
      </c>
      <c r="F7" s="52" t="s">
        <v>722</v>
      </c>
    </row>
    <row r="8" spans="1:6" ht="16.5" thickTop="1" thickBot="1" x14ac:dyDescent="0.4">
      <c r="A8" s="51" t="s">
        <v>375</v>
      </c>
      <c r="B8" s="52" t="s">
        <v>702</v>
      </c>
      <c r="C8" s="52" t="s">
        <v>706</v>
      </c>
      <c r="D8" s="52" t="s">
        <v>716</v>
      </c>
      <c r="E8" s="52" t="s">
        <v>708</v>
      </c>
      <c r="F8" s="52" t="s">
        <v>723</v>
      </c>
    </row>
    <row r="9" spans="1:6" ht="16" thickTop="1" x14ac:dyDescent="0.35"/>
    <row r="11" spans="1:6" ht="16" thickBot="1" x14ac:dyDescent="0.4"/>
    <row r="12" spans="1:6" ht="16.5" thickTop="1" thickBot="1" x14ac:dyDescent="0.4">
      <c r="B12" s="37" t="s">
        <v>696</v>
      </c>
      <c r="C12" s="37" t="s">
        <v>697</v>
      </c>
      <c r="D12" s="37" t="s">
        <v>749</v>
      </c>
      <c r="E12" s="37" t="s">
        <v>750</v>
      </c>
      <c r="F12" s="37" t="s">
        <v>698</v>
      </c>
    </row>
    <row r="13" spans="1:6" ht="32" thickTop="1" thickBot="1" x14ac:dyDescent="0.4">
      <c r="B13" s="38" t="s">
        <v>699</v>
      </c>
      <c r="C13" s="39" t="s">
        <v>1211</v>
      </c>
      <c r="D13" s="38" t="s">
        <v>1212</v>
      </c>
      <c r="E13" s="38" t="s">
        <v>848</v>
      </c>
      <c r="F13" s="38" t="s">
        <v>1213</v>
      </c>
    </row>
    <row r="14" spans="1:6" ht="47.5" thickTop="1" thickBot="1" x14ac:dyDescent="0.4">
      <c r="B14" s="38" t="s">
        <v>699</v>
      </c>
      <c r="C14" s="39" t="s">
        <v>1214</v>
      </c>
      <c r="D14" s="38" t="s">
        <v>1215</v>
      </c>
      <c r="E14" s="38" t="s">
        <v>848</v>
      </c>
      <c r="F14" s="38" t="s">
        <v>1216</v>
      </c>
    </row>
    <row r="15" spans="1:6" ht="16.5" thickTop="1" thickBot="1" x14ac:dyDescent="0.4">
      <c r="B15" s="38" t="s">
        <v>702</v>
      </c>
      <c r="C15" s="39" t="s">
        <v>1211</v>
      </c>
      <c r="D15" s="38" t="s">
        <v>1217</v>
      </c>
      <c r="E15" s="38" t="s">
        <v>1218</v>
      </c>
      <c r="F15" s="38" t="s">
        <v>1219</v>
      </c>
    </row>
    <row r="16" spans="1:6" ht="32" thickTop="1" thickBot="1" x14ac:dyDescent="0.4">
      <c r="B16" s="38" t="s">
        <v>699</v>
      </c>
      <c r="C16" s="39" t="s">
        <v>1220</v>
      </c>
      <c r="D16" s="38" t="s">
        <v>1221</v>
      </c>
      <c r="E16" s="38" t="s">
        <v>848</v>
      </c>
      <c r="F16" s="38" t="s">
        <v>1222</v>
      </c>
    </row>
    <row r="17" spans="2:6" ht="32" thickTop="1" thickBot="1" x14ac:dyDescent="0.4">
      <c r="B17" s="38" t="s">
        <v>934</v>
      </c>
      <c r="C17" s="39" t="s">
        <v>1223</v>
      </c>
      <c r="D17" s="38" t="s">
        <v>1224</v>
      </c>
      <c r="E17" s="38" t="s">
        <v>1218</v>
      </c>
      <c r="F17" s="38" t="s">
        <v>1225</v>
      </c>
    </row>
    <row r="18" spans="2:6" ht="32" thickTop="1" thickBot="1" x14ac:dyDescent="0.4">
      <c r="B18" s="38" t="s">
        <v>759</v>
      </c>
      <c r="C18" s="39" t="s">
        <v>1223</v>
      </c>
      <c r="D18" s="38" t="s">
        <v>1226</v>
      </c>
      <c r="E18" s="38" t="s">
        <v>848</v>
      </c>
      <c r="F18" s="38" t="s">
        <v>1227</v>
      </c>
    </row>
    <row r="19" spans="2:6" ht="32" thickTop="1" thickBot="1" x14ac:dyDescent="0.4">
      <c r="B19" s="38" t="s">
        <v>759</v>
      </c>
      <c r="C19" s="39" t="s">
        <v>1228</v>
      </c>
      <c r="D19" s="38" t="s">
        <v>1229</v>
      </c>
      <c r="E19" s="38" t="s">
        <v>848</v>
      </c>
      <c r="F19" s="38" t="s">
        <v>1230</v>
      </c>
    </row>
    <row r="20" spans="2:6" ht="32" thickTop="1" thickBot="1" x14ac:dyDescent="0.4">
      <c r="B20" s="38" t="s">
        <v>702</v>
      </c>
      <c r="C20" s="39" t="s">
        <v>1231</v>
      </c>
      <c r="D20" s="38" t="s">
        <v>1232</v>
      </c>
      <c r="E20" s="38" t="s">
        <v>848</v>
      </c>
      <c r="F20" s="38" t="s">
        <v>1233</v>
      </c>
    </row>
    <row r="21" spans="2:6" ht="16" thickTop="1" x14ac:dyDescent="0.35"/>
    <row r="22" spans="2:6" ht="16" thickBot="1" x14ac:dyDescent="0.4"/>
    <row r="23" spans="2:6" ht="16.5" thickTop="1" thickBot="1" x14ac:dyDescent="0.4">
      <c r="B23" s="37" t="s">
        <v>696</v>
      </c>
      <c r="C23" s="37" t="s">
        <v>697</v>
      </c>
      <c r="D23" s="37" t="s">
        <v>749</v>
      </c>
      <c r="E23" s="37" t="s">
        <v>707</v>
      </c>
      <c r="F23" s="37" t="s">
        <v>698</v>
      </c>
    </row>
    <row r="24" spans="2:6" ht="32" thickTop="1" thickBot="1" x14ac:dyDescent="0.4">
      <c r="B24" s="42" t="s">
        <v>702</v>
      </c>
      <c r="C24" s="42" t="s">
        <v>1234</v>
      </c>
      <c r="D24" s="38" t="s">
        <v>1235</v>
      </c>
      <c r="E24" s="197" t="s">
        <v>1247</v>
      </c>
      <c r="F24" s="38" t="s">
        <v>1236</v>
      </c>
    </row>
    <row r="25" spans="2:6" ht="47.5" thickTop="1" thickBot="1" x14ac:dyDescent="0.4">
      <c r="B25" s="42" t="s">
        <v>759</v>
      </c>
      <c r="C25" s="42" t="s">
        <v>1237</v>
      </c>
      <c r="D25" s="38" t="s">
        <v>1238</v>
      </c>
      <c r="E25" s="38" t="s">
        <v>848</v>
      </c>
      <c r="F25" s="38" t="s">
        <v>1239</v>
      </c>
    </row>
    <row r="26" spans="2:6" ht="32" thickTop="1" thickBot="1" x14ac:dyDescent="0.4">
      <c r="B26" s="42" t="s">
        <v>759</v>
      </c>
      <c r="C26" s="42" t="s">
        <v>1240</v>
      </c>
      <c r="D26" s="38" t="s">
        <v>1241</v>
      </c>
      <c r="E26" s="38" t="s">
        <v>848</v>
      </c>
      <c r="F26" s="38" t="s">
        <v>1239</v>
      </c>
    </row>
    <row r="27" spans="2:6" ht="32" thickTop="1" thickBot="1" x14ac:dyDescent="0.4">
      <c r="B27" s="42" t="s">
        <v>702</v>
      </c>
      <c r="C27" s="42" t="s">
        <v>1242</v>
      </c>
      <c r="D27" s="38" t="s">
        <v>1243</v>
      </c>
      <c r="E27" s="197" t="s">
        <v>1248</v>
      </c>
      <c r="F27" s="38" t="s">
        <v>1244</v>
      </c>
    </row>
    <row r="28" spans="2:6" ht="32" thickTop="1" thickBot="1" x14ac:dyDescent="0.4">
      <c r="B28" s="42" t="s">
        <v>759</v>
      </c>
      <c r="C28" s="42" t="s">
        <v>1245</v>
      </c>
      <c r="D28" s="38" t="s">
        <v>1246</v>
      </c>
      <c r="E28" s="38" t="s">
        <v>848</v>
      </c>
      <c r="F28" s="38" t="s">
        <v>1239</v>
      </c>
    </row>
    <row r="29" spans="2:6" ht="16.5" thickTop="1" thickBot="1" x14ac:dyDescent="0.4"/>
    <row r="30" spans="2:6" ht="16.5" thickTop="1" thickBot="1" x14ac:dyDescent="0.4">
      <c r="B30" s="37" t="s">
        <v>696</v>
      </c>
      <c r="C30" s="37" t="s">
        <v>697</v>
      </c>
      <c r="D30" s="37" t="s">
        <v>749</v>
      </c>
      <c r="E30" s="37" t="s">
        <v>707</v>
      </c>
      <c r="F30" s="37" t="s">
        <v>698</v>
      </c>
    </row>
    <row r="31" spans="2:6" ht="63" thickTop="1" thickBot="1" x14ac:dyDescent="0.4">
      <c r="B31" s="42" t="s">
        <v>699</v>
      </c>
      <c r="C31" s="42" t="s">
        <v>1249</v>
      </c>
      <c r="D31" s="38" t="s">
        <v>1250</v>
      </c>
      <c r="E31" s="38" t="s">
        <v>848</v>
      </c>
      <c r="F31" s="38" t="s">
        <v>1251</v>
      </c>
    </row>
    <row r="32" spans="2:6" ht="16.5" thickTop="1" thickBot="1" x14ac:dyDescent="0.4"/>
    <row r="33" spans="2:6" ht="16.5" thickTop="1" thickBot="1" x14ac:dyDescent="0.4">
      <c r="B33" s="37" t="s">
        <v>696</v>
      </c>
      <c r="C33" s="37" t="s">
        <v>697</v>
      </c>
      <c r="D33" s="37" t="s">
        <v>749</v>
      </c>
      <c r="E33" s="37" t="s">
        <v>707</v>
      </c>
      <c r="F33" s="37" t="s">
        <v>698</v>
      </c>
    </row>
    <row r="34" spans="2:6" ht="32" thickTop="1" thickBot="1" x14ac:dyDescent="0.4">
      <c r="B34" s="42" t="s">
        <v>699</v>
      </c>
      <c r="C34" s="42" t="s">
        <v>1252</v>
      </c>
      <c r="D34" s="42" t="s">
        <v>1253</v>
      </c>
      <c r="E34" s="38" t="s">
        <v>848</v>
      </c>
      <c r="F34" s="38" t="s">
        <v>1265</v>
      </c>
    </row>
    <row r="35" spans="2:6" ht="32" thickTop="1" thickBot="1" x14ac:dyDescent="0.4">
      <c r="B35" s="42" t="s">
        <v>757</v>
      </c>
      <c r="C35" s="42" t="s">
        <v>1254</v>
      </c>
      <c r="D35" s="42" t="s">
        <v>1261</v>
      </c>
      <c r="E35" s="38" t="s">
        <v>848</v>
      </c>
      <c r="F35" s="38" t="s">
        <v>1255</v>
      </c>
    </row>
    <row r="36" spans="2:6" ht="32" thickTop="1" thickBot="1" x14ac:dyDescent="0.4">
      <c r="B36" s="42" t="s">
        <v>757</v>
      </c>
      <c r="C36" s="42" t="s">
        <v>1256</v>
      </c>
      <c r="D36" s="42" t="s">
        <v>1262</v>
      </c>
      <c r="E36" s="38" t="s">
        <v>848</v>
      </c>
      <c r="F36" s="38" t="s">
        <v>1257</v>
      </c>
    </row>
    <row r="37" spans="2:6" ht="32" thickTop="1" thickBot="1" x14ac:dyDescent="0.4">
      <c r="B37" s="42" t="s">
        <v>759</v>
      </c>
      <c r="C37" s="42" t="s">
        <v>1258</v>
      </c>
      <c r="D37" s="42" t="s">
        <v>1263</v>
      </c>
      <c r="E37" s="38" t="s">
        <v>848</v>
      </c>
      <c r="F37" s="38" t="s">
        <v>1259</v>
      </c>
    </row>
    <row r="38" spans="2:6" ht="16.5" thickTop="1" thickBot="1" x14ac:dyDescent="0.4">
      <c r="B38" s="42" t="s">
        <v>759</v>
      </c>
      <c r="C38" s="42" t="s">
        <v>1260</v>
      </c>
      <c r="D38" s="42" t="s">
        <v>1264</v>
      </c>
      <c r="E38" s="38" t="s">
        <v>848</v>
      </c>
      <c r="F38" s="38" t="s">
        <v>1257</v>
      </c>
    </row>
    <row r="39" spans="2:6" ht="16.5" thickTop="1" thickBot="1" x14ac:dyDescent="0.4">
      <c r="F39" s="198"/>
    </row>
    <row r="40" spans="2:6" ht="16.5" thickTop="1" thickBot="1" x14ac:dyDescent="0.4">
      <c r="B40" s="37" t="s">
        <v>696</v>
      </c>
      <c r="C40" s="37" t="s">
        <v>697</v>
      </c>
      <c r="D40" s="37" t="s">
        <v>749</v>
      </c>
      <c r="E40" s="37" t="s">
        <v>707</v>
      </c>
      <c r="F40" s="37" t="s">
        <v>698</v>
      </c>
    </row>
    <row r="41" spans="2:6" ht="32" thickTop="1" thickBot="1" x14ac:dyDescent="0.4">
      <c r="B41" s="42" t="s">
        <v>699</v>
      </c>
      <c r="C41" s="42" t="s">
        <v>991</v>
      </c>
      <c r="D41" s="42" t="s">
        <v>1269</v>
      </c>
      <c r="E41" s="38" t="s">
        <v>848</v>
      </c>
      <c r="F41" s="38" t="s">
        <v>1266</v>
      </c>
    </row>
    <row r="42" spans="2:6" ht="47.5" thickTop="1" thickBot="1" x14ac:dyDescent="0.4">
      <c r="B42" s="42" t="s">
        <v>702</v>
      </c>
      <c r="C42" s="42" t="s">
        <v>994</v>
      </c>
      <c r="D42" s="42" t="s">
        <v>1270</v>
      </c>
      <c r="E42" s="38" t="s">
        <v>1267</v>
      </c>
      <c r="F42" s="38" t="s">
        <v>1268</v>
      </c>
    </row>
    <row r="43" spans="2:6" ht="16" thickTop="1"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480B-A3BD-4ADB-87B4-7E520CA15532}">
  <dimension ref="A1:H65"/>
  <sheetViews>
    <sheetView topLeftCell="A14" workbookViewId="0">
      <selection activeCell="E21" sqref="E21"/>
    </sheetView>
  </sheetViews>
  <sheetFormatPr defaultRowHeight="14.5" x14ac:dyDescent="0.35"/>
  <cols>
    <col min="4" max="4" width="15.90625" customWidth="1"/>
    <col min="5" max="5" width="10.81640625" bestFit="1" customWidth="1"/>
  </cols>
  <sheetData>
    <row r="1" spans="1:8" ht="16" thickTop="1" thickBot="1" x14ac:dyDescent="0.4">
      <c r="A1" s="54" t="s">
        <v>0</v>
      </c>
      <c r="B1" s="55" t="s">
        <v>1</v>
      </c>
      <c r="C1" s="55" t="s">
        <v>2</v>
      </c>
      <c r="D1" s="55" t="s">
        <v>289</v>
      </c>
      <c r="E1" s="55" t="s">
        <v>290</v>
      </c>
      <c r="F1" s="55" t="s">
        <v>291</v>
      </c>
      <c r="G1" s="55" t="s">
        <v>292</v>
      </c>
      <c r="H1" s="55" t="s">
        <v>7</v>
      </c>
    </row>
    <row r="2" spans="1:8" ht="16.5" thickTop="1" thickBot="1" x14ac:dyDescent="0.4">
      <c r="A2" s="56">
        <v>1</v>
      </c>
      <c r="B2" s="57" t="s">
        <v>26</v>
      </c>
      <c r="C2" s="57" t="s">
        <v>27</v>
      </c>
      <c r="D2" s="58">
        <v>45236</v>
      </c>
      <c r="E2" s="58">
        <v>45240</v>
      </c>
      <c r="F2" s="59">
        <v>5</v>
      </c>
      <c r="G2" s="60">
        <v>0.02</v>
      </c>
      <c r="H2" s="61" t="s">
        <v>293</v>
      </c>
    </row>
    <row r="3" spans="1:8" ht="16.5" thickTop="1" thickBot="1" x14ac:dyDescent="0.4">
      <c r="A3" s="56">
        <v>2</v>
      </c>
      <c r="B3" s="57" t="s">
        <v>26</v>
      </c>
      <c r="C3" s="57" t="s">
        <v>33</v>
      </c>
      <c r="D3" s="58">
        <v>45243</v>
      </c>
      <c r="E3" s="58">
        <v>45406</v>
      </c>
      <c r="F3" s="59">
        <v>164</v>
      </c>
      <c r="G3" s="60">
        <v>0.55000000000000004</v>
      </c>
      <c r="H3" s="61" t="s">
        <v>293</v>
      </c>
    </row>
    <row r="4" spans="1:8" ht="16.5" thickTop="1" thickBot="1" x14ac:dyDescent="0.4">
      <c r="A4" s="56">
        <v>3</v>
      </c>
      <c r="B4" s="57" t="s">
        <v>26</v>
      </c>
      <c r="C4" s="57" t="s">
        <v>39</v>
      </c>
      <c r="D4" s="58">
        <v>45407</v>
      </c>
      <c r="E4" s="58">
        <v>45441</v>
      </c>
      <c r="F4" s="59">
        <v>35</v>
      </c>
      <c r="G4" s="60">
        <v>0.12</v>
      </c>
      <c r="H4" s="61" t="s">
        <v>293</v>
      </c>
    </row>
    <row r="5" spans="1:8" ht="16.5" thickTop="1" thickBot="1" x14ac:dyDescent="0.4">
      <c r="A5" s="56">
        <v>4</v>
      </c>
      <c r="B5" s="57" t="s">
        <v>26</v>
      </c>
      <c r="C5" s="57" t="s">
        <v>44</v>
      </c>
      <c r="D5" s="58">
        <v>45442</v>
      </c>
      <c r="E5" s="58">
        <v>45485</v>
      </c>
      <c r="F5" s="59">
        <v>44</v>
      </c>
      <c r="G5" s="60">
        <v>0.15</v>
      </c>
      <c r="H5" s="61" t="s">
        <v>293</v>
      </c>
    </row>
    <row r="6" spans="1:8" ht="16.5" thickTop="1" thickBot="1" x14ac:dyDescent="0.4">
      <c r="A6" s="56">
        <v>5</v>
      </c>
      <c r="B6" s="57" t="s">
        <v>26</v>
      </c>
      <c r="C6" s="57" t="s">
        <v>48</v>
      </c>
      <c r="D6" s="58">
        <v>45488</v>
      </c>
      <c r="E6" s="58">
        <v>45527</v>
      </c>
      <c r="F6" s="59">
        <v>40</v>
      </c>
      <c r="G6" s="60">
        <v>0.14000000000000001</v>
      </c>
      <c r="H6" s="61" t="s">
        <v>293</v>
      </c>
    </row>
    <row r="7" spans="1:8" ht="16.5" thickTop="1" thickBot="1" x14ac:dyDescent="0.4">
      <c r="A7" s="56">
        <v>6</v>
      </c>
      <c r="B7" s="57" t="s">
        <v>26</v>
      </c>
      <c r="C7" s="57" t="s">
        <v>51</v>
      </c>
      <c r="D7" s="58">
        <v>45530</v>
      </c>
      <c r="E7" s="58">
        <v>45537</v>
      </c>
      <c r="F7" s="59">
        <v>8</v>
      </c>
      <c r="G7" s="60">
        <v>0.03</v>
      </c>
      <c r="H7" s="61" t="s">
        <v>293</v>
      </c>
    </row>
    <row r="8" spans="1:8" ht="16.5" thickTop="1" thickBot="1" x14ac:dyDescent="0.4">
      <c r="A8" s="62"/>
      <c r="B8" s="188" t="s">
        <v>294</v>
      </c>
      <c r="C8" s="189"/>
      <c r="D8" s="63">
        <v>45236</v>
      </c>
      <c r="E8" s="63">
        <v>45537</v>
      </c>
      <c r="F8" s="64">
        <v>296</v>
      </c>
      <c r="G8" s="190">
        <v>0.42349999999999999</v>
      </c>
      <c r="H8" s="66"/>
    </row>
    <row r="9" spans="1:8" ht="16.5" thickTop="1" thickBot="1" x14ac:dyDescent="0.4">
      <c r="A9" s="62"/>
      <c r="B9" s="188" t="s">
        <v>295</v>
      </c>
      <c r="C9" s="189"/>
      <c r="D9" s="67"/>
      <c r="E9" s="67"/>
      <c r="F9" s="68"/>
      <c r="G9" s="191"/>
      <c r="H9" s="66"/>
    </row>
    <row r="10" spans="1:8" ht="16.5" thickTop="1" thickBot="1" x14ac:dyDescent="0.4">
      <c r="A10" s="56">
        <v>1</v>
      </c>
      <c r="B10" s="57" t="s">
        <v>56</v>
      </c>
      <c r="C10" s="57" t="s">
        <v>57</v>
      </c>
      <c r="D10" s="58">
        <v>45538</v>
      </c>
      <c r="E10" s="58">
        <v>45538</v>
      </c>
      <c r="F10" s="59">
        <v>1</v>
      </c>
      <c r="G10" s="60">
        <v>0.03</v>
      </c>
      <c r="H10" s="61" t="s">
        <v>293</v>
      </c>
    </row>
    <row r="11" spans="1:8" ht="16.5" thickTop="1" thickBot="1" x14ac:dyDescent="0.4">
      <c r="A11" s="56">
        <v>2</v>
      </c>
      <c r="B11" s="57" t="s">
        <v>56</v>
      </c>
      <c r="C11" s="57" t="s">
        <v>60</v>
      </c>
      <c r="D11" s="58">
        <v>45539</v>
      </c>
      <c r="E11" s="58">
        <v>45545</v>
      </c>
      <c r="F11" s="59">
        <v>7</v>
      </c>
      <c r="G11" s="60">
        <v>0.23</v>
      </c>
      <c r="H11" s="61" t="s">
        <v>293</v>
      </c>
    </row>
    <row r="12" spans="1:8" ht="16.5" thickTop="1" thickBot="1" x14ac:dyDescent="0.4">
      <c r="A12" s="56">
        <v>3</v>
      </c>
      <c r="B12" s="57" t="s">
        <v>56</v>
      </c>
      <c r="C12" s="57" t="s">
        <v>63</v>
      </c>
      <c r="D12" s="58">
        <v>45546</v>
      </c>
      <c r="E12" s="58">
        <v>45553</v>
      </c>
      <c r="F12" s="59">
        <v>8</v>
      </c>
      <c r="G12" s="60">
        <v>0.26</v>
      </c>
      <c r="H12" s="61" t="s">
        <v>293</v>
      </c>
    </row>
    <row r="13" spans="1:8" ht="16.5" thickTop="1" thickBot="1" x14ac:dyDescent="0.4">
      <c r="A13" s="56">
        <v>4</v>
      </c>
      <c r="B13" s="57" t="s">
        <v>56</v>
      </c>
      <c r="C13" s="57" t="s">
        <v>66</v>
      </c>
      <c r="D13" s="58">
        <v>45554</v>
      </c>
      <c r="E13" s="58">
        <v>45554</v>
      </c>
      <c r="F13" s="59">
        <v>1</v>
      </c>
      <c r="G13" s="60">
        <v>0.03</v>
      </c>
      <c r="H13" s="61" t="s">
        <v>293</v>
      </c>
    </row>
    <row r="14" spans="1:8" ht="16.5" thickTop="1" thickBot="1" x14ac:dyDescent="0.4">
      <c r="A14" s="56">
        <v>5</v>
      </c>
      <c r="B14" s="57" t="s">
        <v>56</v>
      </c>
      <c r="C14" s="57" t="s">
        <v>68</v>
      </c>
      <c r="D14" s="58">
        <v>45555</v>
      </c>
      <c r="E14" s="58">
        <v>45561</v>
      </c>
      <c r="F14" s="59">
        <v>7</v>
      </c>
      <c r="G14" s="60">
        <v>0.23</v>
      </c>
      <c r="H14" s="61" t="s">
        <v>293</v>
      </c>
    </row>
    <row r="15" spans="1:8" ht="16.5" thickTop="1" thickBot="1" x14ac:dyDescent="0.4">
      <c r="A15" s="56">
        <v>6</v>
      </c>
      <c r="B15" s="57" t="s">
        <v>56</v>
      </c>
      <c r="C15" s="57" t="s">
        <v>71</v>
      </c>
      <c r="D15" s="58">
        <v>45562</v>
      </c>
      <c r="E15" s="58">
        <v>45565</v>
      </c>
      <c r="F15" s="59">
        <v>4</v>
      </c>
      <c r="G15" s="60">
        <v>0.13</v>
      </c>
      <c r="H15" s="61" t="s">
        <v>293</v>
      </c>
    </row>
    <row r="16" spans="1:8" ht="16.5" thickTop="1" thickBot="1" x14ac:dyDescent="0.4">
      <c r="A16" s="56">
        <v>7</v>
      </c>
      <c r="B16" s="57" t="s">
        <v>56</v>
      </c>
      <c r="C16" s="57" t="s">
        <v>75</v>
      </c>
      <c r="D16" s="58">
        <v>45566</v>
      </c>
      <c r="E16" s="58">
        <v>45568</v>
      </c>
      <c r="F16" s="59">
        <v>3</v>
      </c>
      <c r="G16" s="60">
        <v>0.1</v>
      </c>
      <c r="H16" s="61" t="s">
        <v>293</v>
      </c>
    </row>
    <row r="17" spans="1:8" ht="16.5" thickTop="1" thickBot="1" x14ac:dyDescent="0.4">
      <c r="A17" s="62"/>
      <c r="B17" s="69"/>
      <c r="C17" s="64" t="s">
        <v>296</v>
      </c>
      <c r="D17" s="63">
        <v>45538</v>
      </c>
      <c r="E17" s="63">
        <v>45568</v>
      </c>
      <c r="F17" s="64">
        <v>31</v>
      </c>
      <c r="G17" s="190">
        <v>4.4299999999999999E-2</v>
      </c>
      <c r="H17" s="66"/>
    </row>
    <row r="18" spans="1:8" ht="16.5" thickTop="1" thickBot="1" x14ac:dyDescent="0.4">
      <c r="A18" s="62"/>
      <c r="B18" s="69"/>
      <c r="C18" s="64" t="s">
        <v>297</v>
      </c>
      <c r="D18" s="68"/>
      <c r="E18" s="68"/>
      <c r="F18" s="68"/>
      <c r="G18" s="191"/>
      <c r="H18" s="66"/>
    </row>
    <row r="19" spans="1:8" ht="16.5" thickTop="1" thickBot="1" x14ac:dyDescent="0.4">
      <c r="A19" s="56">
        <v>1</v>
      </c>
      <c r="B19" s="57" t="s">
        <v>78</v>
      </c>
      <c r="C19" s="57" t="s">
        <v>298</v>
      </c>
      <c r="D19" s="58">
        <v>45568</v>
      </c>
      <c r="E19" s="58">
        <v>45568</v>
      </c>
      <c r="F19" s="59">
        <v>1</v>
      </c>
      <c r="G19" s="60">
        <v>0.03</v>
      </c>
      <c r="H19" s="61" t="s">
        <v>293</v>
      </c>
    </row>
    <row r="20" spans="1:8" ht="16.5" thickTop="1" thickBot="1" x14ac:dyDescent="0.4">
      <c r="A20" s="56">
        <v>2</v>
      </c>
      <c r="B20" s="57" t="s">
        <v>78</v>
      </c>
      <c r="C20" s="57" t="s">
        <v>80</v>
      </c>
      <c r="D20" s="58">
        <v>45569</v>
      </c>
      <c r="E20" s="58">
        <v>45575</v>
      </c>
      <c r="F20" s="59">
        <v>7</v>
      </c>
      <c r="G20" s="60">
        <v>0.24</v>
      </c>
      <c r="H20" s="61" t="s">
        <v>293</v>
      </c>
    </row>
    <row r="21" spans="1:8" ht="16.5" thickTop="1" thickBot="1" x14ac:dyDescent="0.4">
      <c r="A21" s="56">
        <v>3</v>
      </c>
      <c r="B21" s="57" t="s">
        <v>78</v>
      </c>
      <c r="C21" s="57" t="s">
        <v>299</v>
      </c>
      <c r="D21" s="58">
        <v>45576</v>
      </c>
      <c r="E21" s="58">
        <v>45582</v>
      </c>
      <c r="F21" s="59">
        <v>7</v>
      </c>
      <c r="G21" s="60">
        <v>0.24</v>
      </c>
      <c r="H21" s="61" t="s">
        <v>293</v>
      </c>
    </row>
    <row r="22" spans="1:8" ht="16.5" thickTop="1" thickBot="1" x14ac:dyDescent="0.4">
      <c r="A22" s="56">
        <v>4</v>
      </c>
      <c r="B22" s="57" t="s">
        <v>78</v>
      </c>
      <c r="C22" s="57" t="s">
        <v>86</v>
      </c>
      <c r="D22" s="58">
        <v>45583</v>
      </c>
      <c r="E22" s="58">
        <v>45589</v>
      </c>
      <c r="F22" s="59">
        <v>7</v>
      </c>
      <c r="G22" s="60">
        <v>0.24</v>
      </c>
      <c r="H22" s="61" t="s">
        <v>293</v>
      </c>
    </row>
    <row r="23" spans="1:8" ht="16.5" thickTop="1" thickBot="1" x14ac:dyDescent="0.4">
      <c r="A23" s="56">
        <v>5</v>
      </c>
      <c r="B23" s="57" t="s">
        <v>78</v>
      </c>
      <c r="C23" s="57" t="s">
        <v>89</v>
      </c>
      <c r="D23" s="58">
        <v>45590</v>
      </c>
      <c r="E23" s="58">
        <v>45596</v>
      </c>
      <c r="F23" s="59">
        <v>7</v>
      </c>
      <c r="G23" s="60">
        <v>0.24</v>
      </c>
      <c r="H23" s="61" t="s">
        <v>293</v>
      </c>
    </row>
    <row r="24" spans="1:8" ht="16.5" thickTop="1" thickBot="1" x14ac:dyDescent="0.4">
      <c r="A24" s="70"/>
      <c r="B24" s="71"/>
      <c r="C24" s="72" t="s">
        <v>300</v>
      </c>
      <c r="D24" s="73">
        <v>45568</v>
      </c>
      <c r="E24" s="73">
        <v>45596</v>
      </c>
      <c r="F24" s="72">
        <v>29</v>
      </c>
      <c r="G24" s="192">
        <v>4.1500000000000002E-2</v>
      </c>
      <c r="H24" s="66"/>
    </row>
    <row r="25" spans="1:8" ht="16.5" thickTop="1" thickBot="1" x14ac:dyDescent="0.4">
      <c r="A25" s="70"/>
      <c r="B25" s="71"/>
      <c r="C25" s="72" t="s">
        <v>301</v>
      </c>
      <c r="D25" s="74"/>
      <c r="E25" s="75"/>
      <c r="F25" s="74"/>
      <c r="G25" s="193"/>
      <c r="H25" s="66"/>
    </row>
    <row r="26" spans="1:8" ht="16.5" thickTop="1" thickBot="1" x14ac:dyDescent="0.4">
      <c r="A26" s="56">
        <v>1</v>
      </c>
      <c r="B26" s="57" t="s">
        <v>92</v>
      </c>
      <c r="C26" s="57" t="s">
        <v>93</v>
      </c>
      <c r="D26" s="58">
        <v>45597</v>
      </c>
      <c r="E26" s="58">
        <v>45597</v>
      </c>
      <c r="F26" s="59">
        <v>1</v>
      </c>
      <c r="G26" s="60">
        <v>0.02</v>
      </c>
      <c r="H26" s="61" t="s">
        <v>293</v>
      </c>
    </row>
    <row r="27" spans="1:8" ht="16.5" thickTop="1" thickBot="1" x14ac:dyDescent="0.4">
      <c r="A27" s="56">
        <v>2</v>
      </c>
      <c r="B27" s="57" t="s">
        <v>92</v>
      </c>
      <c r="C27" s="57" t="s">
        <v>95</v>
      </c>
      <c r="D27" s="58">
        <v>45600</v>
      </c>
      <c r="E27" s="58">
        <v>45604</v>
      </c>
      <c r="F27" s="59">
        <v>5</v>
      </c>
      <c r="G27" s="60">
        <v>0.12</v>
      </c>
      <c r="H27" s="61" t="s">
        <v>293</v>
      </c>
    </row>
    <row r="28" spans="1:8" ht="16.5" thickTop="1" thickBot="1" x14ac:dyDescent="0.4">
      <c r="A28" s="56">
        <v>3</v>
      </c>
      <c r="B28" s="57" t="s">
        <v>92</v>
      </c>
      <c r="C28" s="57" t="s">
        <v>98</v>
      </c>
      <c r="D28" s="58">
        <v>45607</v>
      </c>
      <c r="E28" s="58">
        <v>45611</v>
      </c>
      <c r="F28" s="59">
        <v>5</v>
      </c>
      <c r="G28" s="60">
        <v>0.12</v>
      </c>
      <c r="H28" s="61" t="s">
        <v>293</v>
      </c>
    </row>
    <row r="29" spans="1:8" ht="16.5" thickTop="1" thickBot="1" x14ac:dyDescent="0.4">
      <c r="A29" s="56">
        <v>4</v>
      </c>
      <c r="B29" s="57" t="s">
        <v>92</v>
      </c>
      <c r="C29" s="57" t="s">
        <v>302</v>
      </c>
      <c r="D29" s="58">
        <v>45614</v>
      </c>
      <c r="E29" s="58">
        <v>45618</v>
      </c>
      <c r="F29" s="59">
        <v>5</v>
      </c>
      <c r="G29" s="60">
        <v>0.12</v>
      </c>
      <c r="H29" s="61" t="s">
        <v>293</v>
      </c>
    </row>
    <row r="30" spans="1:8" ht="16.5" thickTop="1" thickBot="1" x14ac:dyDescent="0.4">
      <c r="A30" s="56">
        <v>5</v>
      </c>
      <c r="B30" s="57" t="s">
        <v>92</v>
      </c>
      <c r="C30" s="57" t="s">
        <v>303</v>
      </c>
      <c r="D30" s="58">
        <v>45621</v>
      </c>
      <c r="E30" s="58">
        <v>45625</v>
      </c>
      <c r="F30" s="59">
        <v>5</v>
      </c>
      <c r="G30" s="60">
        <v>0.12</v>
      </c>
      <c r="H30" s="61" t="s">
        <v>293</v>
      </c>
    </row>
    <row r="31" spans="1:8" ht="16.5" thickTop="1" thickBot="1" x14ac:dyDescent="0.4">
      <c r="A31" s="56">
        <v>6</v>
      </c>
      <c r="B31" s="57" t="s">
        <v>92</v>
      </c>
      <c r="C31" s="57" t="s">
        <v>304</v>
      </c>
      <c r="D31" s="58">
        <v>45628</v>
      </c>
      <c r="E31" s="58">
        <v>45629</v>
      </c>
      <c r="F31" s="59">
        <v>2</v>
      </c>
      <c r="G31" s="60">
        <v>0.05</v>
      </c>
      <c r="H31" s="61" t="s">
        <v>293</v>
      </c>
    </row>
    <row r="32" spans="1:8" ht="16.5" thickTop="1" thickBot="1" x14ac:dyDescent="0.4">
      <c r="A32" s="56">
        <v>7</v>
      </c>
      <c r="B32" s="57" t="s">
        <v>92</v>
      </c>
      <c r="C32" s="57" t="s">
        <v>305</v>
      </c>
      <c r="D32" s="58">
        <v>45630</v>
      </c>
      <c r="E32" s="76">
        <v>45632</v>
      </c>
      <c r="F32" s="59">
        <v>3</v>
      </c>
      <c r="G32" s="60">
        <v>7.0000000000000007E-2</v>
      </c>
      <c r="H32" s="61" t="s">
        <v>293</v>
      </c>
    </row>
    <row r="33" spans="1:8" ht="16.5" thickTop="1" thickBot="1" x14ac:dyDescent="0.4">
      <c r="A33" s="56">
        <v>8</v>
      </c>
      <c r="B33" s="57" t="s">
        <v>92</v>
      </c>
      <c r="C33" s="57" t="s">
        <v>306</v>
      </c>
      <c r="D33" s="58">
        <v>45635</v>
      </c>
      <c r="E33" s="76">
        <v>45636</v>
      </c>
      <c r="F33" s="59">
        <v>2</v>
      </c>
      <c r="G33" s="60">
        <v>0.05</v>
      </c>
      <c r="H33" s="61" t="s">
        <v>293</v>
      </c>
    </row>
    <row r="34" spans="1:8" ht="16.5" thickTop="1" thickBot="1" x14ac:dyDescent="0.4">
      <c r="A34" s="56">
        <v>9</v>
      </c>
      <c r="B34" s="57" t="s">
        <v>92</v>
      </c>
      <c r="C34" s="57" t="s">
        <v>307</v>
      </c>
      <c r="D34" s="58">
        <v>45637</v>
      </c>
      <c r="E34" s="58">
        <v>45639</v>
      </c>
      <c r="F34" s="59">
        <v>3</v>
      </c>
      <c r="G34" s="60">
        <v>7.0000000000000007E-2</v>
      </c>
      <c r="H34" s="61" t="s">
        <v>293</v>
      </c>
    </row>
    <row r="35" spans="1:8" ht="16.5" thickTop="1" thickBot="1" x14ac:dyDescent="0.4">
      <c r="A35" s="56">
        <v>10</v>
      </c>
      <c r="B35" s="57" t="s">
        <v>92</v>
      </c>
      <c r="C35" s="57" t="s">
        <v>107</v>
      </c>
      <c r="D35" s="58">
        <v>45628</v>
      </c>
      <c r="E35" s="58">
        <v>45632</v>
      </c>
      <c r="F35" s="59">
        <v>5</v>
      </c>
      <c r="G35" s="60">
        <v>0.12</v>
      </c>
      <c r="H35" s="61" t="s">
        <v>293</v>
      </c>
    </row>
    <row r="36" spans="1:8" ht="16.5" thickTop="1" thickBot="1" x14ac:dyDescent="0.4">
      <c r="A36" s="56">
        <v>11</v>
      </c>
      <c r="B36" s="57" t="s">
        <v>92</v>
      </c>
      <c r="C36" s="57" t="s">
        <v>75</v>
      </c>
      <c r="D36" s="58">
        <v>45635</v>
      </c>
      <c r="E36" s="58">
        <v>45639</v>
      </c>
      <c r="F36" s="59">
        <v>5</v>
      </c>
      <c r="G36" s="60">
        <v>0.12</v>
      </c>
      <c r="H36" s="61" t="s">
        <v>293</v>
      </c>
    </row>
    <row r="37" spans="1:8" ht="16.5" thickTop="1" thickBot="1" x14ac:dyDescent="0.4">
      <c r="A37" s="70"/>
      <c r="B37" s="71"/>
      <c r="C37" s="72" t="s">
        <v>308</v>
      </c>
      <c r="D37" s="73">
        <v>45597</v>
      </c>
      <c r="E37" s="73">
        <v>45639</v>
      </c>
      <c r="F37" s="72">
        <v>41</v>
      </c>
      <c r="G37" s="192">
        <v>5.8700000000000002E-2</v>
      </c>
      <c r="H37" s="66"/>
    </row>
    <row r="38" spans="1:8" ht="16.5" thickTop="1" thickBot="1" x14ac:dyDescent="0.4">
      <c r="A38" s="70"/>
      <c r="B38" s="71"/>
      <c r="C38" s="72" t="s">
        <v>309</v>
      </c>
      <c r="D38" s="74"/>
      <c r="E38" s="75"/>
      <c r="F38" s="74"/>
      <c r="G38" s="193"/>
      <c r="H38" s="66"/>
    </row>
    <row r="39" spans="1:8" ht="16.5" thickTop="1" thickBot="1" x14ac:dyDescent="0.4">
      <c r="A39" s="56">
        <v>1</v>
      </c>
      <c r="B39" s="57" t="s">
        <v>112</v>
      </c>
      <c r="C39" s="57" t="s">
        <v>113</v>
      </c>
      <c r="D39" s="58">
        <v>45642</v>
      </c>
      <c r="E39" s="58">
        <v>45646</v>
      </c>
      <c r="F39" s="59">
        <v>5</v>
      </c>
      <c r="G39" s="60">
        <v>0.14000000000000001</v>
      </c>
      <c r="H39" s="61" t="s">
        <v>293</v>
      </c>
    </row>
    <row r="40" spans="1:8" ht="16.5" thickTop="1" thickBot="1" x14ac:dyDescent="0.4">
      <c r="A40" s="56">
        <v>2</v>
      </c>
      <c r="B40" s="57" t="s">
        <v>112</v>
      </c>
      <c r="C40" s="57" t="s">
        <v>116</v>
      </c>
      <c r="D40" s="58">
        <v>45649</v>
      </c>
      <c r="E40" s="58">
        <v>45653</v>
      </c>
      <c r="F40" s="59">
        <v>5</v>
      </c>
      <c r="G40" s="60">
        <v>0.14000000000000001</v>
      </c>
      <c r="H40" s="61" t="s">
        <v>293</v>
      </c>
    </row>
    <row r="41" spans="1:8" ht="16.5" thickTop="1" thickBot="1" x14ac:dyDescent="0.4">
      <c r="A41" s="56">
        <v>3</v>
      </c>
      <c r="B41" s="57" t="s">
        <v>112</v>
      </c>
      <c r="C41" s="57" t="s">
        <v>119</v>
      </c>
      <c r="D41" s="58">
        <v>45656</v>
      </c>
      <c r="E41" s="58">
        <v>45660</v>
      </c>
      <c r="F41" s="59">
        <v>5</v>
      </c>
      <c r="G41" s="60">
        <v>0.14000000000000001</v>
      </c>
      <c r="H41" s="61" t="s">
        <v>293</v>
      </c>
    </row>
    <row r="42" spans="1:8" ht="16.5" thickTop="1" thickBot="1" x14ac:dyDescent="0.4">
      <c r="A42" s="56">
        <v>4</v>
      </c>
      <c r="B42" s="57" t="s">
        <v>112</v>
      </c>
      <c r="C42" s="57" t="s">
        <v>122</v>
      </c>
      <c r="D42" s="58">
        <v>45663</v>
      </c>
      <c r="E42" s="58">
        <v>45667</v>
      </c>
      <c r="F42" s="59">
        <v>5</v>
      </c>
      <c r="G42" s="60">
        <v>0.14000000000000001</v>
      </c>
      <c r="H42" s="61" t="s">
        <v>293</v>
      </c>
    </row>
    <row r="43" spans="1:8" ht="16.5" thickTop="1" thickBot="1" x14ac:dyDescent="0.4">
      <c r="A43" s="56">
        <v>5</v>
      </c>
      <c r="B43" s="57" t="s">
        <v>112</v>
      </c>
      <c r="C43" s="57" t="s">
        <v>125</v>
      </c>
      <c r="D43" s="58">
        <v>45670</v>
      </c>
      <c r="E43" s="58">
        <v>45674</v>
      </c>
      <c r="F43" s="59">
        <v>5</v>
      </c>
      <c r="G43" s="60">
        <v>0.14000000000000001</v>
      </c>
      <c r="H43" s="61" t="s">
        <v>293</v>
      </c>
    </row>
    <row r="44" spans="1:8" ht="16.5" thickTop="1" thickBot="1" x14ac:dyDescent="0.4">
      <c r="A44" s="56">
        <v>6</v>
      </c>
      <c r="B44" s="57" t="s">
        <v>112</v>
      </c>
      <c r="C44" s="57" t="s">
        <v>128</v>
      </c>
      <c r="D44" s="58">
        <v>45677</v>
      </c>
      <c r="E44" s="58">
        <v>45681</v>
      </c>
      <c r="F44" s="59">
        <v>5</v>
      </c>
      <c r="G44" s="60">
        <v>0.14000000000000001</v>
      </c>
      <c r="H44" s="61" t="s">
        <v>293</v>
      </c>
    </row>
    <row r="45" spans="1:8" ht="16.5" thickTop="1" thickBot="1" x14ac:dyDescent="0.4">
      <c r="A45" s="56">
        <v>7</v>
      </c>
      <c r="B45" s="57" t="s">
        <v>112</v>
      </c>
      <c r="C45" s="57" t="s">
        <v>131</v>
      </c>
      <c r="D45" s="58">
        <v>45684</v>
      </c>
      <c r="E45" s="58">
        <v>45688</v>
      </c>
      <c r="F45" s="59">
        <v>5</v>
      </c>
      <c r="G45" s="60">
        <v>0.14000000000000001</v>
      </c>
      <c r="H45" s="61" t="s">
        <v>293</v>
      </c>
    </row>
    <row r="46" spans="1:8" ht="16.5" thickTop="1" thickBot="1" x14ac:dyDescent="0.4">
      <c r="A46" s="70"/>
      <c r="B46" s="71"/>
      <c r="C46" s="72" t="s">
        <v>310</v>
      </c>
      <c r="D46" s="73">
        <v>45642</v>
      </c>
      <c r="E46" s="73">
        <v>45688</v>
      </c>
      <c r="F46" s="72">
        <v>35</v>
      </c>
      <c r="G46" s="192">
        <v>5.0099999999999999E-2</v>
      </c>
      <c r="H46" s="66"/>
    </row>
    <row r="47" spans="1:8" ht="16.5" thickTop="1" thickBot="1" x14ac:dyDescent="0.4">
      <c r="A47" s="70"/>
      <c r="B47" s="71"/>
      <c r="C47" s="72" t="s">
        <v>311</v>
      </c>
      <c r="D47" s="74"/>
      <c r="E47" s="75"/>
      <c r="F47" s="74"/>
      <c r="G47" s="193"/>
      <c r="H47" s="66"/>
    </row>
    <row r="48" spans="1:8" ht="16.5" thickTop="1" thickBot="1" x14ac:dyDescent="0.4">
      <c r="A48" s="56">
        <v>1</v>
      </c>
      <c r="B48" s="57" t="s">
        <v>134</v>
      </c>
      <c r="C48" s="57" t="s">
        <v>135</v>
      </c>
      <c r="D48" s="58">
        <v>45691</v>
      </c>
      <c r="E48" s="58">
        <v>45695</v>
      </c>
      <c r="F48" s="59">
        <v>5</v>
      </c>
      <c r="G48" s="60">
        <v>0.25</v>
      </c>
      <c r="H48" s="61" t="s">
        <v>293</v>
      </c>
    </row>
    <row r="49" spans="1:8" ht="16.5" thickTop="1" thickBot="1" x14ac:dyDescent="0.4">
      <c r="A49" s="56">
        <v>2</v>
      </c>
      <c r="B49" s="57" t="s">
        <v>134</v>
      </c>
      <c r="C49" s="57" t="s">
        <v>138</v>
      </c>
      <c r="D49" s="58">
        <v>45698</v>
      </c>
      <c r="E49" s="58">
        <v>45702</v>
      </c>
      <c r="F49" s="59">
        <v>5</v>
      </c>
      <c r="G49" s="60">
        <v>0.25</v>
      </c>
      <c r="H49" s="61" t="s">
        <v>293</v>
      </c>
    </row>
    <row r="50" spans="1:8" ht="16.5" thickTop="1" thickBot="1" x14ac:dyDescent="0.4">
      <c r="A50" s="56">
        <v>3</v>
      </c>
      <c r="B50" s="57" t="s">
        <v>134</v>
      </c>
      <c r="C50" s="57" t="s">
        <v>141</v>
      </c>
      <c r="D50" s="58">
        <v>45705</v>
      </c>
      <c r="E50" s="58">
        <v>45709</v>
      </c>
      <c r="F50" s="59">
        <v>5</v>
      </c>
      <c r="G50" s="60">
        <v>0.25</v>
      </c>
      <c r="H50" s="61" t="s">
        <v>293</v>
      </c>
    </row>
    <row r="51" spans="1:8" ht="16.5" thickTop="1" thickBot="1" x14ac:dyDescent="0.4">
      <c r="A51" s="56">
        <v>5</v>
      </c>
      <c r="B51" s="57" t="s">
        <v>134</v>
      </c>
      <c r="C51" s="57" t="s">
        <v>147</v>
      </c>
      <c r="D51" s="58">
        <v>45719</v>
      </c>
      <c r="E51" s="58">
        <v>45723</v>
      </c>
      <c r="F51" s="59">
        <v>5</v>
      </c>
      <c r="G51" s="60">
        <v>0.25</v>
      </c>
      <c r="H51" s="61" t="s">
        <v>293</v>
      </c>
    </row>
    <row r="52" spans="1:8" ht="16.5" thickTop="1" thickBot="1" x14ac:dyDescent="0.4">
      <c r="A52" s="70"/>
      <c r="B52" s="71"/>
      <c r="C52" s="72" t="s">
        <v>312</v>
      </c>
      <c r="D52" s="73">
        <v>45691</v>
      </c>
      <c r="E52" s="73">
        <v>45723</v>
      </c>
      <c r="F52" s="72">
        <v>20</v>
      </c>
      <c r="G52" s="192">
        <v>2.86E-2</v>
      </c>
      <c r="H52" s="66"/>
    </row>
    <row r="53" spans="1:8" ht="16.5" thickTop="1" thickBot="1" x14ac:dyDescent="0.4">
      <c r="A53" s="70"/>
      <c r="B53" s="71"/>
      <c r="C53" s="72" t="s">
        <v>313</v>
      </c>
      <c r="D53" s="74"/>
      <c r="E53" s="75"/>
      <c r="F53" s="74"/>
      <c r="G53" s="193"/>
      <c r="H53" s="66"/>
    </row>
    <row r="54" spans="1:8" ht="16.5" thickTop="1" thickBot="1" x14ac:dyDescent="0.4">
      <c r="A54" s="56">
        <v>1</v>
      </c>
      <c r="B54" s="57" t="s">
        <v>150</v>
      </c>
      <c r="C54" s="57" t="s">
        <v>151</v>
      </c>
      <c r="D54" s="58">
        <v>45726</v>
      </c>
      <c r="E54" s="58">
        <v>45730</v>
      </c>
      <c r="F54" s="59">
        <v>5</v>
      </c>
      <c r="G54" s="60">
        <v>0.02</v>
      </c>
      <c r="H54" s="61" t="s">
        <v>293</v>
      </c>
    </row>
    <row r="55" spans="1:8" ht="16.5" thickTop="1" thickBot="1" x14ac:dyDescent="0.4">
      <c r="A55" s="56">
        <v>2</v>
      </c>
      <c r="B55" s="57" t="s">
        <v>150</v>
      </c>
      <c r="C55" s="57" t="s">
        <v>154</v>
      </c>
      <c r="D55" s="58">
        <v>45733</v>
      </c>
      <c r="E55" s="58">
        <v>45737</v>
      </c>
      <c r="F55" s="59">
        <v>5</v>
      </c>
      <c r="G55" s="60">
        <v>0.02</v>
      </c>
      <c r="H55" s="61" t="s">
        <v>293</v>
      </c>
    </row>
    <row r="56" spans="1:8" ht="16.5" thickTop="1" thickBot="1" x14ac:dyDescent="0.4">
      <c r="A56" s="56">
        <v>3</v>
      </c>
      <c r="B56" s="57" t="s">
        <v>150</v>
      </c>
      <c r="C56" s="57" t="s">
        <v>157</v>
      </c>
      <c r="D56" s="58">
        <v>45740</v>
      </c>
      <c r="E56" s="58">
        <v>45744</v>
      </c>
      <c r="F56" s="59">
        <v>5</v>
      </c>
      <c r="G56" s="60">
        <v>0.02</v>
      </c>
      <c r="H56" s="61" t="s">
        <v>293</v>
      </c>
    </row>
    <row r="57" spans="1:8" ht="16.5" thickTop="1" thickBot="1" x14ac:dyDescent="0.4">
      <c r="A57" s="56">
        <v>4</v>
      </c>
      <c r="B57" s="57" t="s">
        <v>150</v>
      </c>
      <c r="C57" s="57" t="s">
        <v>160</v>
      </c>
      <c r="D57" s="58">
        <v>45747</v>
      </c>
      <c r="E57" s="58">
        <v>45751</v>
      </c>
      <c r="F57" s="59">
        <v>5</v>
      </c>
      <c r="G57" s="60">
        <v>0.02</v>
      </c>
      <c r="H57" s="61" t="s">
        <v>293</v>
      </c>
    </row>
    <row r="58" spans="1:8" ht="16.5" thickTop="1" thickBot="1" x14ac:dyDescent="0.4">
      <c r="A58" s="56">
        <v>5</v>
      </c>
      <c r="B58" s="57" t="s">
        <v>150</v>
      </c>
      <c r="C58" s="57" t="s">
        <v>163</v>
      </c>
      <c r="D58" s="58">
        <v>45754</v>
      </c>
      <c r="E58" s="58">
        <v>45980</v>
      </c>
      <c r="F58" s="59">
        <v>227</v>
      </c>
      <c r="G58" s="60">
        <v>0.92</v>
      </c>
      <c r="H58" s="61" t="s">
        <v>293</v>
      </c>
    </row>
    <row r="59" spans="1:8" ht="16.5" thickTop="1" thickBot="1" x14ac:dyDescent="0.4">
      <c r="A59" s="70"/>
      <c r="B59" s="71"/>
      <c r="C59" s="72" t="s">
        <v>314</v>
      </c>
      <c r="D59" s="73">
        <v>45726</v>
      </c>
      <c r="E59" s="73">
        <v>45980</v>
      </c>
      <c r="F59" s="72">
        <v>247</v>
      </c>
      <c r="G59" s="192">
        <v>0.35339999999999999</v>
      </c>
      <c r="H59" s="66"/>
    </row>
    <row r="60" spans="1:8" ht="16.5" thickTop="1" thickBot="1" x14ac:dyDescent="0.4">
      <c r="A60" s="70"/>
      <c r="B60" s="71"/>
      <c r="C60" s="72" t="s">
        <v>315</v>
      </c>
      <c r="D60" s="74"/>
      <c r="E60" s="75"/>
      <c r="F60" s="74"/>
      <c r="G60" s="193"/>
      <c r="H60" s="66"/>
    </row>
    <row r="61" spans="1:8" ht="16.5" thickTop="1" thickBot="1" x14ac:dyDescent="0.4">
      <c r="A61" s="70"/>
      <c r="B61" s="71"/>
      <c r="C61" s="72"/>
      <c r="D61" s="74"/>
      <c r="E61" s="75"/>
      <c r="F61" s="74"/>
      <c r="G61" s="72"/>
      <c r="H61" s="66"/>
    </row>
    <row r="62" spans="1:8" ht="16.5" thickTop="1" thickBot="1" x14ac:dyDescent="0.4">
      <c r="A62" s="77"/>
      <c r="B62" s="78"/>
      <c r="C62" s="66"/>
      <c r="D62" s="186" t="s">
        <v>316</v>
      </c>
      <c r="E62" s="187"/>
      <c r="F62" s="79">
        <v>699</v>
      </c>
      <c r="G62" s="80"/>
      <c r="H62" s="66"/>
    </row>
    <row r="63" spans="1:8" ht="16.5" thickTop="1" thickBot="1" x14ac:dyDescent="0.4">
      <c r="A63" s="77"/>
      <c r="B63" s="78"/>
      <c r="C63" s="78"/>
      <c r="D63" s="186" t="s">
        <v>317</v>
      </c>
      <c r="E63" s="187"/>
      <c r="F63" s="81"/>
      <c r="G63" s="82">
        <v>1</v>
      </c>
      <c r="H63" s="78"/>
    </row>
    <row r="64" spans="1:8" ht="16.5" thickTop="1" thickBot="1" x14ac:dyDescent="0.4">
      <c r="A64" s="77"/>
      <c r="B64" s="78"/>
      <c r="C64" s="78"/>
      <c r="D64" s="186" t="s">
        <v>318</v>
      </c>
      <c r="E64" s="187"/>
      <c r="F64" s="79">
        <v>23.3</v>
      </c>
      <c r="G64" s="80"/>
      <c r="H64" s="78"/>
    </row>
    <row r="65" ht="15" thickTop="1" x14ac:dyDescent="0.35"/>
  </sheetData>
  <mergeCells count="12">
    <mergeCell ref="D64:E64"/>
    <mergeCell ref="B8:C8"/>
    <mergeCell ref="G8:G9"/>
    <mergeCell ref="B9:C9"/>
    <mergeCell ref="G17:G18"/>
    <mergeCell ref="G24:G25"/>
    <mergeCell ref="G37:G38"/>
    <mergeCell ref="G46:G47"/>
    <mergeCell ref="G52:G53"/>
    <mergeCell ref="G59:G60"/>
    <mergeCell ref="D62:E62"/>
    <mergeCell ref="D63:E6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1E41F-6769-47E8-BA99-FB287A0226A0}">
  <dimension ref="A1:G86"/>
  <sheetViews>
    <sheetView topLeftCell="B76" workbookViewId="0">
      <selection activeCell="F85" sqref="A83:F85"/>
    </sheetView>
  </sheetViews>
  <sheetFormatPr defaultRowHeight="14.5" x14ac:dyDescent="0.35"/>
  <cols>
    <col min="1" max="1" width="12.26953125" customWidth="1"/>
    <col min="2" max="2" width="42.7265625" customWidth="1"/>
    <col min="3" max="3" width="33.81640625" customWidth="1"/>
    <col min="4" max="4" width="43.08984375" customWidth="1"/>
    <col min="5" max="5" width="19.90625" customWidth="1"/>
    <col min="6" max="6" width="26.453125" customWidth="1"/>
  </cols>
  <sheetData>
    <row r="1" spans="1:7" ht="16.5" thickTop="1" thickBot="1" x14ac:dyDescent="0.4">
      <c r="A1" s="94" t="s">
        <v>319</v>
      </c>
      <c r="B1" s="94" t="s">
        <v>742</v>
      </c>
      <c r="C1" s="94" t="s">
        <v>740</v>
      </c>
      <c r="D1" s="94" t="s">
        <v>741</v>
      </c>
    </row>
    <row r="2" spans="1:7" ht="16.5" thickTop="1" thickBot="1" x14ac:dyDescent="0.4">
      <c r="A2" s="35" t="s">
        <v>369</v>
      </c>
      <c r="B2" s="35" t="s">
        <v>743</v>
      </c>
      <c r="C2" s="88">
        <v>13</v>
      </c>
      <c r="D2" s="88" t="s">
        <v>746</v>
      </c>
    </row>
    <row r="3" spans="1:7" ht="16.5" thickTop="1" thickBot="1" x14ac:dyDescent="0.4">
      <c r="A3" s="35" t="s">
        <v>370</v>
      </c>
      <c r="B3" s="35" t="s">
        <v>744</v>
      </c>
      <c r="C3" s="88">
        <v>13</v>
      </c>
      <c r="D3" s="88" t="s">
        <v>747</v>
      </c>
    </row>
    <row r="4" spans="1:7" ht="16.5" thickTop="1" thickBot="1" x14ac:dyDescent="0.4">
      <c r="A4" s="35" t="s">
        <v>371</v>
      </c>
      <c r="B4" s="35" t="s">
        <v>745</v>
      </c>
      <c r="C4" s="88">
        <v>15</v>
      </c>
      <c r="D4" s="88" t="s">
        <v>748</v>
      </c>
    </row>
    <row r="5" spans="1:7" ht="15" thickTop="1" x14ac:dyDescent="0.35">
      <c r="A5" s="83"/>
      <c r="B5" s="83"/>
    </row>
    <row r="6" spans="1:7" ht="15" thickBot="1" x14ac:dyDescent="0.4"/>
    <row r="7" spans="1:7" ht="16.5" thickTop="1" thickBot="1" x14ac:dyDescent="0.4">
      <c r="A7" s="85" t="s">
        <v>696</v>
      </c>
      <c r="B7" s="85" t="s">
        <v>697</v>
      </c>
      <c r="C7" s="85" t="s">
        <v>749</v>
      </c>
      <c r="D7" s="85" t="s">
        <v>750</v>
      </c>
      <c r="E7" s="85" t="s">
        <v>751</v>
      </c>
      <c r="F7" s="85" t="s">
        <v>698</v>
      </c>
      <c r="G7" s="1"/>
    </row>
    <row r="8" spans="1:7" ht="16.5" thickTop="1" thickBot="1" x14ac:dyDescent="0.4">
      <c r="A8" s="38" t="s">
        <v>699</v>
      </c>
      <c r="B8" s="39" t="s">
        <v>764</v>
      </c>
      <c r="C8" s="38" t="s">
        <v>768</v>
      </c>
      <c r="D8" s="38" t="s">
        <v>752</v>
      </c>
      <c r="E8" s="38" t="s">
        <v>348</v>
      </c>
      <c r="F8" s="88" t="s">
        <v>753</v>
      </c>
      <c r="G8" s="1"/>
    </row>
    <row r="9" spans="1:7" ht="47.5" thickTop="1" thickBot="1" x14ac:dyDescent="0.4">
      <c r="A9" s="38" t="s">
        <v>702</v>
      </c>
      <c r="B9" s="39" t="s">
        <v>764</v>
      </c>
      <c r="C9" s="38" t="s">
        <v>769</v>
      </c>
      <c r="D9" s="38" t="s">
        <v>754</v>
      </c>
      <c r="E9" s="38" t="s">
        <v>770</v>
      </c>
      <c r="F9" s="88" t="s">
        <v>756</v>
      </c>
      <c r="G9" s="1"/>
    </row>
    <row r="10" spans="1:7" ht="47.5" thickTop="1" thickBot="1" x14ac:dyDescent="0.4">
      <c r="A10" s="38" t="s">
        <v>757</v>
      </c>
      <c r="B10" s="39" t="s">
        <v>765</v>
      </c>
      <c r="C10" s="38" t="s">
        <v>758</v>
      </c>
      <c r="D10" s="38" t="s">
        <v>754</v>
      </c>
      <c r="E10" s="38" t="s">
        <v>770</v>
      </c>
      <c r="F10" s="88" t="s">
        <v>756</v>
      </c>
      <c r="G10" s="1"/>
    </row>
    <row r="11" spans="1:7" ht="16.5" thickTop="1" thickBot="1" x14ac:dyDescent="0.4">
      <c r="A11" s="38" t="s">
        <v>759</v>
      </c>
      <c r="B11" s="39" t="s">
        <v>765</v>
      </c>
      <c r="C11" s="38" t="s">
        <v>760</v>
      </c>
      <c r="D11" s="38" t="s">
        <v>754</v>
      </c>
      <c r="E11" s="38" t="s">
        <v>348</v>
      </c>
      <c r="F11" s="88" t="s">
        <v>761</v>
      </c>
      <c r="G11" s="1"/>
    </row>
    <row r="12" spans="1:7" ht="16.5" thickTop="1" thickBot="1" x14ac:dyDescent="0.4">
      <c r="A12" s="88" t="s">
        <v>759</v>
      </c>
      <c r="B12" s="96" t="s">
        <v>766</v>
      </c>
      <c r="C12" s="88" t="s">
        <v>762</v>
      </c>
      <c r="D12" s="88" t="s">
        <v>754</v>
      </c>
      <c r="E12" s="88" t="s">
        <v>348</v>
      </c>
      <c r="F12" s="88" t="s">
        <v>761</v>
      </c>
      <c r="G12" s="1"/>
    </row>
    <row r="13" spans="1:7" ht="16.5" thickTop="1" thickBot="1" x14ac:dyDescent="0.4">
      <c r="A13" s="88" t="s">
        <v>702</v>
      </c>
      <c r="B13" s="96" t="s">
        <v>767</v>
      </c>
      <c r="C13" s="88" t="s">
        <v>763</v>
      </c>
      <c r="D13" s="88" t="s">
        <v>754</v>
      </c>
      <c r="E13" s="88" t="s">
        <v>348</v>
      </c>
      <c r="F13" s="88" t="s">
        <v>756</v>
      </c>
      <c r="G13" s="1"/>
    </row>
    <row r="14" spans="1:7" ht="15.5" thickTop="1" thickBot="1" x14ac:dyDescent="0.4"/>
    <row r="15" spans="1:7" ht="16" thickTop="1" thickBot="1" x14ac:dyDescent="0.4">
      <c r="A15" s="85" t="s">
        <v>696</v>
      </c>
      <c r="B15" s="85" t="s">
        <v>697</v>
      </c>
      <c r="C15" s="85" t="s">
        <v>749</v>
      </c>
      <c r="D15" s="85" t="s">
        <v>750</v>
      </c>
      <c r="E15" s="85" t="s">
        <v>751</v>
      </c>
      <c r="F15" s="85" t="s">
        <v>698</v>
      </c>
    </row>
    <row r="16" spans="1:7" ht="16.5" thickTop="1" thickBot="1" x14ac:dyDescent="0.4">
      <c r="A16" s="35" t="s">
        <v>699</v>
      </c>
      <c r="B16" s="97" t="s">
        <v>780</v>
      </c>
      <c r="C16" s="35" t="s">
        <v>771</v>
      </c>
      <c r="D16" s="35" t="s">
        <v>772</v>
      </c>
      <c r="E16" s="35" t="s">
        <v>348</v>
      </c>
      <c r="F16" s="35" t="s">
        <v>753</v>
      </c>
    </row>
    <row r="17" spans="1:6" ht="16.5" thickTop="1" thickBot="1" x14ac:dyDescent="0.4">
      <c r="A17" s="35" t="s">
        <v>702</v>
      </c>
      <c r="B17" s="97" t="s">
        <v>780</v>
      </c>
      <c r="C17" s="35" t="s">
        <v>773</v>
      </c>
      <c r="D17" s="35" t="s">
        <v>754</v>
      </c>
      <c r="E17" s="35" t="s">
        <v>774</v>
      </c>
      <c r="F17" s="35" t="s">
        <v>756</v>
      </c>
    </row>
    <row r="18" spans="1:6" ht="16.5" thickTop="1" thickBot="1" x14ac:dyDescent="0.4">
      <c r="A18" s="35" t="s">
        <v>757</v>
      </c>
      <c r="B18" s="97" t="s">
        <v>781</v>
      </c>
      <c r="C18" s="35" t="s">
        <v>775</v>
      </c>
      <c r="D18" s="35" t="s">
        <v>754</v>
      </c>
      <c r="E18" s="35" t="s">
        <v>776</v>
      </c>
      <c r="F18" s="35" t="s">
        <v>756</v>
      </c>
    </row>
    <row r="19" spans="1:6" ht="16.5" thickTop="1" thickBot="1" x14ac:dyDescent="0.4">
      <c r="A19" s="35" t="s">
        <v>759</v>
      </c>
      <c r="B19" s="97" t="s">
        <v>781</v>
      </c>
      <c r="C19" s="35" t="s">
        <v>777</v>
      </c>
      <c r="D19" s="35" t="s">
        <v>754</v>
      </c>
      <c r="E19" s="35" t="s">
        <v>348</v>
      </c>
      <c r="F19" s="35" t="s">
        <v>761</v>
      </c>
    </row>
    <row r="20" spans="1:6" ht="16.5" thickTop="1" thickBot="1" x14ac:dyDescent="0.4">
      <c r="A20" s="35" t="s">
        <v>759</v>
      </c>
      <c r="B20" s="97" t="s">
        <v>782</v>
      </c>
      <c r="C20" s="35" t="s">
        <v>778</v>
      </c>
      <c r="D20" s="35" t="s">
        <v>754</v>
      </c>
      <c r="E20" s="35" t="s">
        <v>348</v>
      </c>
      <c r="F20" s="35" t="s">
        <v>761</v>
      </c>
    </row>
    <row r="21" spans="1:6" ht="16.5" thickTop="1" thickBot="1" x14ac:dyDescent="0.4">
      <c r="A21" s="35" t="s">
        <v>702</v>
      </c>
      <c r="B21" s="97" t="s">
        <v>783</v>
      </c>
      <c r="C21" s="35" t="s">
        <v>779</v>
      </c>
      <c r="D21" s="35" t="s">
        <v>754</v>
      </c>
      <c r="E21" s="35" t="s">
        <v>348</v>
      </c>
      <c r="F21" s="35" t="s">
        <v>756</v>
      </c>
    </row>
    <row r="22" spans="1:6" ht="15.5" thickTop="1" thickBot="1" x14ac:dyDescent="0.4"/>
    <row r="23" spans="1:6" ht="16" thickTop="1" thickBot="1" x14ac:dyDescent="0.4">
      <c r="A23" s="85" t="s">
        <v>696</v>
      </c>
      <c r="B23" s="85" t="s">
        <v>697</v>
      </c>
      <c r="C23" s="85" t="s">
        <v>749</v>
      </c>
      <c r="D23" s="85" t="s">
        <v>750</v>
      </c>
      <c r="E23" s="85" t="s">
        <v>751</v>
      </c>
      <c r="F23" s="85" t="s">
        <v>698</v>
      </c>
    </row>
    <row r="24" spans="1:6" ht="16.5" thickTop="1" thickBot="1" x14ac:dyDescent="0.4">
      <c r="A24" s="35" t="s">
        <v>699</v>
      </c>
      <c r="B24" s="95" t="s">
        <v>791</v>
      </c>
      <c r="C24" s="35" t="s">
        <v>784</v>
      </c>
      <c r="D24" s="35" t="s">
        <v>785</v>
      </c>
      <c r="E24" s="35" t="s">
        <v>348</v>
      </c>
      <c r="F24" s="35" t="s">
        <v>753</v>
      </c>
    </row>
    <row r="25" spans="1:6" ht="16.5" thickTop="1" thickBot="1" x14ac:dyDescent="0.4">
      <c r="A25" s="35" t="s">
        <v>702</v>
      </c>
      <c r="B25" s="95" t="s">
        <v>791</v>
      </c>
      <c r="C25" s="35" t="s">
        <v>786</v>
      </c>
      <c r="D25" s="35" t="s">
        <v>754</v>
      </c>
      <c r="E25" s="35" t="s">
        <v>755</v>
      </c>
      <c r="F25" s="35" t="s">
        <v>756</v>
      </c>
    </row>
    <row r="26" spans="1:6" ht="16.5" thickTop="1" thickBot="1" x14ac:dyDescent="0.4">
      <c r="A26" s="35" t="s">
        <v>757</v>
      </c>
      <c r="B26" s="95" t="s">
        <v>792</v>
      </c>
      <c r="C26" s="35" t="s">
        <v>787</v>
      </c>
      <c r="D26" s="35" t="s">
        <v>754</v>
      </c>
      <c r="E26" s="35" t="s">
        <v>755</v>
      </c>
      <c r="F26" s="35" t="s">
        <v>756</v>
      </c>
    </row>
    <row r="27" spans="1:6" ht="16.5" thickTop="1" thickBot="1" x14ac:dyDescent="0.4">
      <c r="A27" s="35" t="s">
        <v>759</v>
      </c>
      <c r="B27" s="95" t="s">
        <v>792</v>
      </c>
      <c r="C27" s="35" t="s">
        <v>788</v>
      </c>
      <c r="D27" s="35" t="s">
        <v>754</v>
      </c>
      <c r="E27" s="35" t="s">
        <v>348</v>
      </c>
      <c r="F27" s="35" t="s">
        <v>761</v>
      </c>
    </row>
    <row r="28" spans="1:6" ht="16.5" thickTop="1" thickBot="1" x14ac:dyDescent="0.4">
      <c r="A28" s="35" t="s">
        <v>759</v>
      </c>
      <c r="B28" s="95" t="s">
        <v>793</v>
      </c>
      <c r="C28" s="35" t="s">
        <v>789</v>
      </c>
      <c r="D28" s="35" t="s">
        <v>754</v>
      </c>
      <c r="E28" s="35" t="s">
        <v>348</v>
      </c>
      <c r="F28" s="35" t="s">
        <v>761</v>
      </c>
    </row>
    <row r="29" spans="1:6" ht="16.5" thickTop="1" thickBot="1" x14ac:dyDescent="0.4">
      <c r="A29" s="35" t="s">
        <v>702</v>
      </c>
      <c r="B29" s="95" t="s">
        <v>794</v>
      </c>
      <c r="C29" s="35" t="s">
        <v>790</v>
      </c>
      <c r="D29" s="35" t="s">
        <v>754</v>
      </c>
      <c r="E29" s="35" t="s">
        <v>348</v>
      </c>
      <c r="F29" s="35" t="s">
        <v>756</v>
      </c>
    </row>
    <row r="30" spans="1:6" ht="15.5" thickTop="1" thickBot="1" x14ac:dyDescent="0.4"/>
    <row r="31" spans="1:6" ht="16" thickTop="1" thickBot="1" x14ac:dyDescent="0.4">
      <c r="A31" s="85" t="s">
        <v>696</v>
      </c>
      <c r="B31" s="85" t="s">
        <v>697</v>
      </c>
      <c r="C31" s="85" t="s">
        <v>749</v>
      </c>
      <c r="D31" s="85" t="s">
        <v>750</v>
      </c>
      <c r="E31" s="85" t="s">
        <v>751</v>
      </c>
      <c r="F31" s="85" t="s">
        <v>698</v>
      </c>
    </row>
    <row r="32" spans="1:6" ht="16.5" thickTop="1" thickBot="1" x14ac:dyDescent="0.4">
      <c r="A32" s="35" t="s">
        <v>699</v>
      </c>
      <c r="B32" s="97" t="s">
        <v>797</v>
      </c>
      <c r="C32" s="35" t="s">
        <v>811</v>
      </c>
      <c r="D32" s="35" t="s">
        <v>754</v>
      </c>
      <c r="E32" s="35" t="s">
        <v>348</v>
      </c>
      <c r="F32" s="35" t="s">
        <v>795</v>
      </c>
    </row>
    <row r="33" spans="1:6" ht="16.5" thickTop="1" thickBot="1" x14ac:dyDescent="0.4">
      <c r="A33" s="35" t="s">
        <v>757</v>
      </c>
      <c r="B33" s="97" t="s">
        <v>797</v>
      </c>
      <c r="C33" s="35" t="s">
        <v>812</v>
      </c>
      <c r="D33" s="35" t="s">
        <v>754</v>
      </c>
      <c r="E33" s="35" t="s">
        <v>796</v>
      </c>
      <c r="F33" s="35" t="s">
        <v>756</v>
      </c>
    </row>
    <row r="34" spans="1:6" ht="16.5" thickTop="1" thickBot="1" x14ac:dyDescent="0.4">
      <c r="A34" s="3"/>
      <c r="B34" s="3"/>
      <c r="C34" s="3"/>
      <c r="D34" s="3"/>
      <c r="E34" s="3"/>
      <c r="F34" s="3"/>
    </row>
    <row r="35" spans="1:6" ht="16" thickTop="1" thickBot="1" x14ac:dyDescent="0.4">
      <c r="A35" s="85" t="s">
        <v>696</v>
      </c>
      <c r="B35" s="85" t="s">
        <v>697</v>
      </c>
      <c r="C35" s="85" t="s">
        <v>749</v>
      </c>
      <c r="D35" s="85" t="s">
        <v>750</v>
      </c>
      <c r="E35" s="85" t="s">
        <v>751</v>
      </c>
      <c r="F35" s="85" t="s">
        <v>698</v>
      </c>
    </row>
    <row r="36" spans="1:6" ht="16.5" thickTop="1" thickBot="1" x14ac:dyDescent="0.4">
      <c r="A36" s="35" t="s">
        <v>699</v>
      </c>
      <c r="B36" s="95" t="s">
        <v>798</v>
      </c>
      <c r="C36" s="95" t="s">
        <v>813</v>
      </c>
      <c r="D36" s="95" t="s">
        <v>754</v>
      </c>
      <c r="E36" s="95" t="s">
        <v>348</v>
      </c>
      <c r="F36" s="95" t="s">
        <v>799</v>
      </c>
    </row>
    <row r="37" spans="1:6" ht="16.5" thickTop="1" thickBot="1" x14ac:dyDescent="0.4">
      <c r="A37" s="35" t="s">
        <v>699</v>
      </c>
      <c r="B37" s="95" t="s">
        <v>800</v>
      </c>
      <c r="C37" s="95" t="s">
        <v>814</v>
      </c>
      <c r="D37" s="95" t="s">
        <v>801</v>
      </c>
      <c r="E37" s="95" t="s">
        <v>348</v>
      </c>
      <c r="F37" s="95" t="s">
        <v>802</v>
      </c>
    </row>
    <row r="38" spans="1:6" ht="16.5" thickTop="1" thickBot="1" x14ac:dyDescent="0.4">
      <c r="A38" s="35" t="s">
        <v>702</v>
      </c>
      <c r="B38" s="95" t="s">
        <v>803</v>
      </c>
      <c r="C38" s="95" t="s">
        <v>815</v>
      </c>
      <c r="D38" s="95" t="s">
        <v>754</v>
      </c>
      <c r="E38" s="95" t="s">
        <v>348</v>
      </c>
      <c r="F38" s="95" t="s">
        <v>804</v>
      </c>
    </row>
    <row r="39" spans="1:6" ht="16.5" thickTop="1" thickBot="1" x14ac:dyDescent="0.4">
      <c r="A39" s="4"/>
      <c r="B39" s="3"/>
      <c r="C39" s="3"/>
      <c r="D39" s="3"/>
      <c r="E39" s="3"/>
      <c r="F39" s="3"/>
    </row>
    <row r="40" spans="1:6" ht="16" thickTop="1" thickBot="1" x14ac:dyDescent="0.4">
      <c r="A40" s="85" t="s">
        <v>696</v>
      </c>
      <c r="B40" s="85" t="s">
        <v>697</v>
      </c>
      <c r="C40" s="85" t="s">
        <v>749</v>
      </c>
      <c r="D40" s="85" t="s">
        <v>750</v>
      </c>
      <c r="E40" s="85" t="s">
        <v>751</v>
      </c>
      <c r="F40" s="85" t="s">
        <v>698</v>
      </c>
    </row>
    <row r="41" spans="1:6" ht="16.5" thickTop="1" thickBot="1" x14ac:dyDescent="0.4">
      <c r="A41" s="35" t="s">
        <v>699</v>
      </c>
      <c r="B41" s="95" t="s">
        <v>805</v>
      </c>
      <c r="C41" s="95" t="s">
        <v>816</v>
      </c>
      <c r="D41" s="95" t="s">
        <v>754</v>
      </c>
      <c r="E41" s="95" t="s">
        <v>348</v>
      </c>
      <c r="F41" s="95" t="s">
        <v>806</v>
      </c>
    </row>
    <row r="42" spans="1:6" ht="16.5" thickTop="1" thickBot="1" x14ac:dyDescent="0.4">
      <c r="A42" s="35" t="s">
        <v>702</v>
      </c>
      <c r="B42" s="95" t="s">
        <v>805</v>
      </c>
      <c r="C42" s="95" t="s">
        <v>817</v>
      </c>
      <c r="D42" s="95" t="s">
        <v>754</v>
      </c>
      <c r="E42" s="95" t="s">
        <v>807</v>
      </c>
      <c r="F42" s="95" t="s">
        <v>808</v>
      </c>
    </row>
    <row r="43" spans="1:6" ht="16.5" thickTop="1" thickBot="1" x14ac:dyDescent="0.4">
      <c r="A43" s="35" t="s">
        <v>702</v>
      </c>
      <c r="B43" s="95" t="s">
        <v>809</v>
      </c>
      <c r="C43" s="95" t="s">
        <v>818</v>
      </c>
      <c r="D43" s="95" t="s">
        <v>754</v>
      </c>
      <c r="E43" s="95" t="s">
        <v>348</v>
      </c>
      <c r="F43" s="95" t="s">
        <v>810</v>
      </c>
    </row>
    <row r="44" spans="1:6" ht="15.5" thickTop="1" thickBot="1" x14ac:dyDescent="0.4"/>
    <row r="45" spans="1:6" ht="16" thickTop="1" thickBot="1" x14ac:dyDescent="0.4">
      <c r="A45" s="85" t="s">
        <v>696</v>
      </c>
      <c r="B45" s="85" t="s">
        <v>697</v>
      </c>
      <c r="C45" s="85" t="s">
        <v>749</v>
      </c>
      <c r="D45" s="85" t="s">
        <v>750</v>
      </c>
      <c r="E45" s="85" t="s">
        <v>751</v>
      </c>
      <c r="F45" s="85" t="s">
        <v>698</v>
      </c>
    </row>
    <row r="46" spans="1:6" ht="16.5" thickTop="1" thickBot="1" x14ac:dyDescent="0.4">
      <c r="A46" s="35" t="s">
        <v>699</v>
      </c>
      <c r="B46" s="124" t="s">
        <v>704</v>
      </c>
      <c r="C46" s="121" t="s">
        <v>713</v>
      </c>
      <c r="D46" s="121" t="s">
        <v>701</v>
      </c>
      <c r="E46" s="91" t="s">
        <v>348</v>
      </c>
      <c r="F46" s="121" t="s">
        <v>720</v>
      </c>
    </row>
    <row r="47" spans="1:6" ht="16.5" thickTop="1" thickBot="1" x14ac:dyDescent="0.4">
      <c r="A47" s="122" t="s">
        <v>702</v>
      </c>
      <c r="B47" s="125" t="s">
        <v>704</v>
      </c>
      <c r="C47" s="123" t="s">
        <v>714</v>
      </c>
      <c r="D47" s="123" t="s">
        <v>708</v>
      </c>
      <c r="E47" s="91" t="s">
        <v>348</v>
      </c>
      <c r="F47" s="123" t="s">
        <v>721</v>
      </c>
    </row>
    <row r="48" spans="1:6" ht="16.5" thickTop="1" thickBot="1" x14ac:dyDescent="0.4">
      <c r="A48" s="122" t="s">
        <v>699</v>
      </c>
      <c r="B48" s="125" t="s">
        <v>705</v>
      </c>
      <c r="C48" s="123" t="s">
        <v>715</v>
      </c>
      <c r="D48" s="123" t="s">
        <v>701</v>
      </c>
      <c r="E48" s="91" t="s">
        <v>348</v>
      </c>
      <c r="F48" s="123" t="s">
        <v>722</v>
      </c>
    </row>
    <row r="49" spans="1:6" ht="16.5" thickTop="1" thickBot="1" x14ac:dyDescent="0.4">
      <c r="A49" s="122" t="s">
        <v>702</v>
      </c>
      <c r="B49" s="125" t="s">
        <v>706</v>
      </c>
      <c r="C49" s="123" t="s">
        <v>716</v>
      </c>
      <c r="D49" s="123" t="s">
        <v>708</v>
      </c>
      <c r="E49" s="91" t="s">
        <v>348</v>
      </c>
      <c r="F49" s="123" t="s">
        <v>723</v>
      </c>
    </row>
    <row r="50" spans="1:6" ht="15.5" thickTop="1" thickBot="1" x14ac:dyDescent="0.4"/>
    <row r="51" spans="1:6" ht="16" thickTop="1" thickBot="1" x14ac:dyDescent="0.4">
      <c r="A51" s="37" t="s">
        <v>696</v>
      </c>
      <c r="B51" s="37" t="s">
        <v>697</v>
      </c>
      <c r="C51" s="37" t="s">
        <v>749</v>
      </c>
      <c r="D51" s="37" t="s">
        <v>750</v>
      </c>
      <c r="E51" s="37" t="s">
        <v>751</v>
      </c>
      <c r="F51" s="37" t="s">
        <v>698</v>
      </c>
    </row>
    <row r="52" spans="1:6" ht="16.5" thickTop="1" thickBot="1" x14ac:dyDescent="0.4">
      <c r="A52" s="42" t="s">
        <v>699</v>
      </c>
      <c r="B52" s="42" t="s">
        <v>920</v>
      </c>
      <c r="C52" s="42" t="s">
        <v>921</v>
      </c>
      <c r="D52" s="38" t="s">
        <v>701</v>
      </c>
      <c r="E52" s="38" t="s">
        <v>848</v>
      </c>
      <c r="F52" s="42" t="s">
        <v>922</v>
      </c>
    </row>
    <row r="53" spans="1:6" ht="16.5" thickTop="1" thickBot="1" x14ac:dyDescent="0.4">
      <c r="A53" s="42" t="s">
        <v>699</v>
      </c>
      <c r="B53" s="42" t="s">
        <v>923</v>
      </c>
      <c r="C53" s="42" t="s">
        <v>924</v>
      </c>
      <c r="D53" s="38" t="s">
        <v>701</v>
      </c>
      <c r="E53" s="38" t="s">
        <v>848</v>
      </c>
      <c r="F53" s="42" t="s">
        <v>925</v>
      </c>
    </row>
    <row r="54" spans="1:6" ht="16.5" thickTop="1" thickBot="1" x14ac:dyDescent="0.4">
      <c r="A54" s="42" t="s">
        <v>702</v>
      </c>
      <c r="B54" s="42" t="s">
        <v>920</v>
      </c>
      <c r="C54" s="42" t="s">
        <v>926</v>
      </c>
      <c r="D54" s="38" t="s">
        <v>927</v>
      </c>
      <c r="E54" s="38" t="s">
        <v>928</v>
      </c>
      <c r="F54" s="42" t="s">
        <v>929</v>
      </c>
    </row>
    <row r="55" spans="1:6" ht="16.5" thickTop="1" thickBot="1" x14ac:dyDescent="0.4">
      <c r="A55" s="42" t="s">
        <v>699</v>
      </c>
      <c r="B55" s="42" t="s">
        <v>930</v>
      </c>
      <c r="C55" s="42" t="s">
        <v>931</v>
      </c>
      <c r="D55" s="38" t="s">
        <v>932</v>
      </c>
      <c r="E55" s="38" t="s">
        <v>848</v>
      </c>
      <c r="F55" s="42" t="s">
        <v>933</v>
      </c>
    </row>
    <row r="56" spans="1:6" ht="32" thickTop="1" thickBot="1" x14ac:dyDescent="0.4">
      <c r="A56" s="42" t="s">
        <v>934</v>
      </c>
      <c r="B56" s="42" t="s">
        <v>935</v>
      </c>
      <c r="C56" s="42" t="s">
        <v>936</v>
      </c>
      <c r="D56" s="38" t="s">
        <v>932</v>
      </c>
      <c r="E56" s="38" t="s">
        <v>928</v>
      </c>
      <c r="F56" s="42" t="s">
        <v>929</v>
      </c>
    </row>
    <row r="57" spans="1:6" ht="16.5" thickTop="1" thickBot="1" x14ac:dyDescent="0.4">
      <c r="A57" s="42" t="s">
        <v>759</v>
      </c>
      <c r="B57" s="42" t="s">
        <v>935</v>
      </c>
      <c r="C57" s="42" t="s">
        <v>937</v>
      </c>
      <c r="D57" s="38" t="s">
        <v>932</v>
      </c>
      <c r="E57" s="38" t="s">
        <v>848</v>
      </c>
      <c r="F57" s="42" t="s">
        <v>929</v>
      </c>
    </row>
    <row r="58" spans="1:6" ht="15.5" thickTop="1" thickBot="1" x14ac:dyDescent="0.4"/>
    <row r="59" spans="1:6" ht="16" thickTop="1" thickBot="1" x14ac:dyDescent="0.4">
      <c r="A59" s="37" t="s">
        <v>696</v>
      </c>
      <c r="B59" s="37" t="s">
        <v>697</v>
      </c>
      <c r="C59" s="37" t="s">
        <v>749</v>
      </c>
      <c r="D59" s="37" t="s">
        <v>750</v>
      </c>
      <c r="E59" s="37" t="s">
        <v>751</v>
      </c>
      <c r="F59" s="37" t="s">
        <v>698</v>
      </c>
    </row>
    <row r="60" spans="1:6" ht="32" thickTop="1" thickBot="1" x14ac:dyDescent="0.4">
      <c r="A60" s="42" t="s">
        <v>699</v>
      </c>
      <c r="B60" s="42" t="s">
        <v>938</v>
      </c>
      <c r="C60" s="42" t="s">
        <v>939</v>
      </c>
      <c r="D60" s="38" t="s">
        <v>848</v>
      </c>
      <c r="E60" s="38" t="s">
        <v>848</v>
      </c>
      <c r="F60" s="42" t="s">
        <v>940</v>
      </c>
    </row>
    <row r="61" spans="1:6" ht="47.5" thickTop="1" thickBot="1" x14ac:dyDescent="0.4">
      <c r="A61" s="42" t="s">
        <v>702</v>
      </c>
      <c r="B61" s="42" t="s">
        <v>938</v>
      </c>
      <c r="C61" s="42" t="s">
        <v>941</v>
      </c>
      <c r="D61" s="38" t="s">
        <v>957</v>
      </c>
      <c r="E61" s="38" t="s">
        <v>942</v>
      </c>
      <c r="F61" s="42" t="s">
        <v>943</v>
      </c>
    </row>
    <row r="62" spans="1:6" ht="16.5" thickTop="1" thickBot="1" x14ac:dyDescent="0.4">
      <c r="A62" s="42" t="s">
        <v>699</v>
      </c>
      <c r="B62" s="42" t="s">
        <v>944</v>
      </c>
      <c r="C62" s="42" t="s">
        <v>945</v>
      </c>
      <c r="D62" s="38" t="s">
        <v>958</v>
      </c>
      <c r="E62" s="38" t="s">
        <v>848</v>
      </c>
      <c r="F62" s="42" t="s">
        <v>947</v>
      </c>
    </row>
    <row r="63" spans="1:6" ht="47.5" thickTop="1" thickBot="1" x14ac:dyDescent="0.4">
      <c r="A63" s="42" t="s">
        <v>757</v>
      </c>
      <c r="B63" s="42" t="s">
        <v>948</v>
      </c>
      <c r="C63" s="42" t="s">
        <v>949</v>
      </c>
      <c r="D63" s="38" t="s">
        <v>958</v>
      </c>
      <c r="E63" s="38" t="s">
        <v>959</v>
      </c>
      <c r="F63" s="42" t="s">
        <v>950</v>
      </c>
    </row>
    <row r="64" spans="1:6" ht="15.5" thickTop="1" thickBot="1" x14ac:dyDescent="0.4">
      <c r="A64" s="126" t="s">
        <v>759</v>
      </c>
      <c r="B64" s="127" t="s">
        <v>948</v>
      </c>
      <c r="C64" s="126" t="s">
        <v>951</v>
      </c>
      <c r="D64" s="128" t="s">
        <v>946</v>
      </c>
      <c r="E64" s="128" t="s">
        <v>848</v>
      </c>
      <c r="F64" s="126" t="s">
        <v>952</v>
      </c>
    </row>
    <row r="65" spans="1:6" ht="15.5" thickTop="1" thickBot="1" x14ac:dyDescent="0.4">
      <c r="A65" s="126" t="s">
        <v>759</v>
      </c>
      <c r="B65" s="127" t="s">
        <v>953</v>
      </c>
      <c r="C65" s="126" t="s">
        <v>954</v>
      </c>
      <c r="D65" s="128" t="s">
        <v>946</v>
      </c>
      <c r="E65" s="128" t="s">
        <v>848</v>
      </c>
      <c r="F65" s="126" t="s">
        <v>952</v>
      </c>
    </row>
    <row r="66" spans="1:6" ht="15.5" thickTop="1" thickBot="1" x14ac:dyDescent="0.4">
      <c r="A66" s="126" t="s">
        <v>702</v>
      </c>
      <c r="B66" s="127" t="s">
        <v>955</v>
      </c>
      <c r="C66" s="126" t="s">
        <v>956</v>
      </c>
      <c r="D66" s="128" t="s">
        <v>946</v>
      </c>
      <c r="E66" s="128" t="s">
        <v>848</v>
      </c>
      <c r="F66" s="126" t="s">
        <v>952</v>
      </c>
    </row>
    <row r="67" spans="1:6" ht="15.5" thickTop="1" thickBot="1" x14ac:dyDescent="0.4"/>
    <row r="68" spans="1:6" ht="16" thickTop="1" thickBot="1" x14ac:dyDescent="0.4">
      <c r="A68" s="37" t="s">
        <v>696</v>
      </c>
      <c r="B68" s="37" t="s">
        <v>697</v>
      </c>
      <c r="C68" s="37" t="s">
        <v>749</v>
      </c>
      <c r="D68" s="37" t="s">
        <v>750</v>
      </c>
      <c r="E68" s="37" t="s">
        <v>751</v>
      </c>
      <c r="F68" s="37" t="s">
        <v>698</v>
      </c>
    </row>
    <row r="69" spans="1:6" ht="32" thickTop="1" thickBot="1" x14ac:dyDescent="0.4">
      <c r="A69" s="42" t="s">
        <v>699</v>
      </c>
      <c r="B69" s="42" t="s">
        <v>960</v>
      </c>
      <c r="C69" s="42" t="s">
        <v>961</v>
      </c>
      <c r="D69" s="42" t="s">
        <v>984</v>
      </c>
      <c r="E69" s="38" t="s">
        <v>848</v>
      </c>
      <c r="F69" s="42" t="s">
        <v>962</v>
      </c>
    </row>
    <row r="70" spans="1:6" ht="47.5" thickTop="1" thickBot="1" x14ac:dyDescent="0.4">
      <c r="A70" s="42" t="s">
        <v>702</v>
      </c>
      <c r="B70" s="42" t="s">
        <v>960</v>
      </c>
      <c r="C70" s="42" t="s">
        <v>963</v>
      </c>
      <c r="D70" s="42" t="s">
        <v>985</v>
      </c>
      <c r="E70" s="38" t="s">
        <v>964</v>
      </c>
      <c r="F70" s="42" t="s">
        <v>965</v>
      </c>
    </row>
    <row r="71" spans="1:6" ht="32" thickTop="1" thickBot="1" x14ac:dyDescent="0.4">
      <c r="A71" s="42" t="s">
        <v>757</v>
      </c>
      <c r="B71" s="42" t="s">
        <v>966</v>
      </c>
      <c r="C71" s="42" t="s">
        <v>967</v>
      </c>
      <c r="D71" s="42" t="s">
        <v>986</v>
      </c>
      <c r="E71" s="38" t="s">
        <v>968</v>
      </c>
      <c r="F71" s="42" t="s">
        <v>969</v>
      </c>
    </row>
    <row r="72" spans="1:6" ht="47.5" thickTop="1" thickBot="1" x14ac:dyDescent="0.4">
      <c r="A72" s="42" t="s">
        <v>970</v>
      </c>
      <c r="B72" s="42" t="s">
        <v>971</v>
      </c>
      <c r="C72" s="42" t="s">
        <v>972</v>
      </c>
      <c r="D72" s="42" t="s">
        <v>986</v>
      </c>
      <c r="E72" s="38" t="s">
        <v>973</v>
      </c>
      <c r="F72" s="42" t="s">
        <v>974</v>
      </c>
    </row>
    <row r="73" spans="1:6" ht="47.5" thickTop="1" thickBot="1" x14ac:dyDescent="0.4">
      <c r="A73" s="42" t="s">
        <v>970</v>
      </c>
      <c r="B73" s="42" t="s">
        <v>975</v>
      </c>
      <c r="C73" s="42" t="s">
        <v>976</v>
      </c>
      <c r="D73" s="42" t="s">
        <v>986</v>
      </c>
      <c r="E73" s="38" t="s">
        <v>987</v>
      </c>
      <c r="F73" s="42" t="s">
        <v>977</v>
      </c>
    </row>
    <row r="74" spans="1:6" ht="32" thickTop="1" thickBot="1" x14ac:dyDescent="0.4">
      <c r="A74" s="42" t="s">
        <v>702</v>
      </c>
      <c r="B74" s="42" t="s">
        <v>978</v>
      </c>
      <c r="C74" s="42" t="s">
        <v>979</v>
      </c>
      <c r="D74" s="42" t="s">
        <v>988</v>
      </c>
      <c r="E74" s="38" t="s">
        <v>989</v>
      </c>
      <c r="F74" s="42" t="s">
        <v>980</v>
      </c>
    </row>
    <row r="75" spans="1:6" ht="32" thickTop="1" thickBot="1" x14ac:dyDescent="0.4">
      <c r="A75" s="42" t="s">
        <v>759</v>
      </c>
      <c r="B75" s="42" t="s">
        <v>966</v>
      </c>
      <c r="C75" s="42" t="s">
        <v>981</v>
      </c>
      <c r="D75" s="42" t="s">
        <v>986</v>
      </c>
      <c r="E75" s="38" t="s">
        <v>848</v>
      </c>
      <c r="F75" s="42" t="s">
        <v>952</v>
      </c>
    </row>
    <row r="76" spans="1:6" ht="47.5" thickTop="1" thickBot="1" x14ac:dyDescent="0.4">
      <c r="A76" s="42" t="s">
        <v>759</v>
      </c>
      <c r="B76" s="42" t="s">
        <v>982</v>
      </c>
      <c r="C76" s="42" t="s">
        <v>983</v>
      </c>
      <c r="D76" s="42" t="s">
        <v>990</v>
      </c>
      <c r="E76" s="38" t="s">
        <v>848</v>
      </c>
      <c r="F76" s="42" t="s">
        <v>952</v>
      </c>
    </row>
    <row r="77" spans="1:6" ht="15" thickTop="1" x14ac:dyDescent="0.35"/>
    <row r="78" spans="1:6" ht="15" thickBot="1" x14ac:dyDescent="0.4"/>
    <row r="79" spans="1:6" ht="16" thickTop="1" thickBot="1" x14ac:dyDescent="0.4">
      <c r="A79" s="37" t="s">
        <v>696</v>
      </c>
      <c r="B79" s="37" t="s">
        <v>697</v>
      </c>
      <c r="C79" s="37" t="s">
        <v>749</v>
      </c>
      <c r="D79" s="37" t="s">
        <v>750</v>
      </c>
      <c r="E79" s="37" t="s">
        <v>751</v>
      </c>
      <c r="F79" s="37" t="s">
        <v>698</v>
      </c>
    </row>
    <row r="80" spans="1:6" ht="47.5" thickTop="1" thickBot="1" x14ac:dyDescent="0.4">
      <c r="A80" s="42" t="s">
        <v>699</v>
      </c>
      <c r="B80" s="42" t="s">
        <v>991</v>
      </c>
      <c r="C80" s="42" t="s">
        <v>992</v>
      </c>
      <c r="D80" s="42" t="s">
        <v>998</v>
      </c>
      <c r="E80" s="38" t="s">
        <v>848</v>
      </c>
      <c r="F80" s="42" t="s">
        <v>993</v>
      </c>
    </row>
    <row r="81" spans="1:6" ht="47.5" thickTop="1" thickBot="1" x14ac:dyDescent="0.4">
      <c r="A81" s="42" t="s">
        <v>702</v>
      </c>
      <c r="B81" s="42" t="s">
        <v>994</v>
      </c>
      <c r="C81" s="42" t="s">
        <v>995</v>
      </c>
      <c r="D81" s="42" t="s">
        <v>999</v>
      </c>
      <c r="E81" s="38" t="s">
        <v>996</v>
      </c>
      <c r="F81" s="42" t="s">
        <v>997</v>
      </c>
    </row>
    <row r="82" spans="1:6" ht="15.5" thickTop="1" thickBot="1" x14ac:dyDescent="0.4"/>
    <row r="83" spans="1:6" ht="16" thickTop="1" thickBot="1" x14ac:dyDescent="0.4">
      <c r="A83" s="37" t="s">
        <v>696</v>
      </c>
      <c r="B83" s="37" t="s">
        <v>697</v>
      </c>
      <c r="C83" s="37" t="s">
        <v>749</v>
      </c>
      <c r="D83" s="37" t="s">
        <v>750</v>
      </c>
      <c r="E83" s="37" t="s">
        <v>751</v>
      </c>
      <c r="F83" s="37" t="s">
        <v>698</v>
      </c>
    </row>
    <row r="84" spans="1:6" ht="47.5" thickTop="1" thickBot="1" x14ac:dyDescent="0.4">
      <c r="A84" s="42" t="s">
        <v>699</v>
      </c>
      <c r="B84" s="42" t="s">
        <v>1000</v>
      </c>
      <c r="C84" s="42" t="s">
        <v>1001</v>
      </c>
      <c r="D84" s="42" t="s">
        <v>984</v>
      </c>
      <c r="E84" s="38" t="s">
        <v>848</v>
      </c>
      <c r="F84" s="42" t="s">
        <v>1002</v>
      </c>
    </row>
    <row r="85" spans="1:6" ht="32" thickTop="1" thickBot="1" x14ac:dyDescent="0.4">
      <c r="A85" s="42" t="s">
        <v>702</v>
      </c>
      <c r="B85" s="42" t="s">
        <v>1000</v>
      </c>
      <c r="C85" s="42" t="s">
        <v>1003</v>
      </c>
      <c r="D85" s="42" t="s">
        <v>984</v>
      </c>
      <c r="E85" s="38" t="s">
        <v>1004</v>
      </c>
      <c r="F85" s="42" t="s">
        <v>1005</v>
      </c>
    </row>
    <row r="86" spans="1:6" ht="15" thickTop="1"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9F76-03BB-4B2D-B389-7822A944FEBB}">
  <dimension ref="A1:K71"/>
  <sheetViews>
    <sheetView topLeftCell="F33" zoomScale="63" zoomScaleNormal="63" workbookViewId="0">
      <selection activeCell="H35" sqref="H35:J45"/>
    </sheetView>
  </sheetViews>
  <sheetFormatPr defaultRowHeight="14.5" x14ac:dyDescent="0.35"/>
  <cols>
    <col min="2" max="2" width="44.1796875" customWidth="1"/>
    <col min="3" max="3" width="17.36328125" customWidth="1"/>
    <col min="4" max="4" width="17.6328125" customWidth="1"/>
    <col min="5" max="5" width="12.6328125" customWidth="1"/>
    <col min="6" max="6" width="31.1796875" customWidth="1"/>
    <col min="9" max="9" width="61.08984375" customWidth="1"/>
  </cols>
  <sheetData>
    <row r="1" spans="1:6" ht="16" thickTop="1" thickBot="1" x14ac:dyDescent="0.4">
      <c r="A1" s="37" t="s">
        <v>319</v>
      </c>
      <c r="B1" s="37" t="s">
        <v>819</v>
      </c>
      <c r="C1" s="37" t="s">
        <v>820</v>
      </c>
      <c r="D1" s="37" t="s">
        <v>692</v>
      </c>
      <c r="E1" s="37" t="s">
        <v>832</v>
      </c>
      <c r="F1" s="37" t="s">
        <v>821</v>
      </c>
    </row>
    <row r="2" spans="1:6" ht="32" thickTop="1" thickBot="1" x14ac:dyDescent="0.4">
      <c r="A2" s="38" t="s">
        <v>369</v>
      </c>
      <c r="B2" s="38" t="s">
        <v>833</v>
      </c>
      <c r="C2" s="38" t="s">
        <v>828</v>
      </c>
      <c r="D2" s="38" t="s">
        <v>824</v>
      </c>
      <c r="E2" s="38">
        <v>4</v>
      </c>
      <c r="F2" s="38" t="s">
        <v>834</v>
      </c>
    </row>
    <row r="3" spans="1:6" ht="32" thickTop="1" thickBot="1" x14ac:dyDescent="0.4">
      <c r="A3" s="38" t="s">
        <v>370</v>
      </c>
      <c r="B3" s="38" t="s">
        <v>822</v>
      </c>
      <c r="C3" s="38" t="s">
        <v>823</v>
      </c>
      <c r="D3" s="38" t="s">
        <v>824</v>
      </c>
      <c r="E3" s="38">
        <v>5</v>
      </c>
      <c r="F3" s="38" t="s">
        <v>835</v>
      </c>
    </row>
    <row r="4" spans="1:6" ht="16.5" thickTop="1" thickBot="1" x14ac:dyDescent="0.4">
      <c r="A4" s="38" t="s">
        <v>371</v>
      </c>
      <c r="B4" s="38" t="s">
        <v>825</v>
      </c>
      <c r="C4" s="38" t="s">
        <v>826</v>
      </c>
      <c r="D4" s="38" t="s">
        <v>824</v>
      </c>
      <c r="E4" s="38">
        <v>5</v>
      </c>
      <c r="F4" s="38" t="s">
        <v>836</v>
      </c>
    </row>
    <row r="5" spans="1:6" ht="32" thickTop="1" thickBot="1" x14ac:dyDescent="0.4">
      <c r="A5" s="38" t="s">
        <v>372</v>
      </c>
      <c r="B5" s="38" t="s">
        <v>827</v>
      </c>
      <c r="C5" s="38" t="s">
        <v>828</v>
      </c>
      <c r="D5" s="38" t="s">
        <v>824</v>
      </c>
      <c r="E5" s="38">
        <v>4</v>
      </c>
      <c r="F5" s="38" t="s">
        <v>837</v>
      </c>
    </row>
    <row r="6" spans="1:6" ht="16.5" thickTop="1" thickBot="1" x14ac:dyDescent="0.4">
      <c r="A6" s="38" t="s">
        <v>373</v>
      </c>
      <c r="B6" s="38" t="s">
        <v>838</v>
      </c>
      <c r="C6" s="38" t="s">
        <v>823</v>
      </c>
      <c r="D6" s="38" t="s">
        <v>824</v>
      </c>
      <c r="E6" s="38">
        <v>5</v>
      </c>
      <c r="F6" s="38" t="s">
        <v>829</v>
      </c>
    </row>
    <row r="7" spans="1:6" ht="16.5" thickTop="1" thickBot="1" x14ac:dyDescent="0.4">
      <c r="A7" s="38" t="s">
        <v>374</v>
      </c>
      <c r="B7" s="38" t="s">
        <v>830</v>
      </c>
      <c r="C7" s="38" t="s">
        <v>828</v>
      </c>
      <c r="D7" s="38" t="s">
        <v>824</v>
      </c>
      <c r="E7" s="38">
        <v>4</v>
      </c>
      <c r="F7" s="38" t="s">
        <v>839</v>
      </c>
    </row>
    <row r="8" spans="1:6" ht="47.5" thickTop="1" thickBot="1" x14ac:dyDescent="0.4">
      <c r="A8" s="38" t="s">
        <v>375</v>
      </c>
      <c r="B8" s="38" t="s">
        <v>840</v>
      </c>
      <c r="C8" s="38" t="s">
        <v>823</v>
      </c>
      <c r="D8" s="38" t="s">
        <v>824</v>
      </c>
      <c r="E8" s="38">
        <v>5</v>
      </c>
      <c r="F8" s="38" t="s">
        <v>842</v>
      </c>
    </row>
    <row r="9" spans="1:6" ht="32" thickTop="1" thickBot="1" x14ac:dyDescent="0.4">
      <c r="A9" s="38" t="s">
        <v>376</v>
      </c>
      <c r="B9" s="38" t="s">
        <v>831</v>
      </c>
      <c r="C9" s="38" t="s">
        <v>826</v>
      </c>
      <c r="D9" s="38" t="s">
        <v>824</v>
      </c>
      <c r="E9" s="38">
        <v>5</v>
      </c>
      <c r="F9" s="38" t="s">
        <v>841</v>
      </c>
    </row>
    <row r="10" spans="1:6" ht="16" thickTop="1" x14ac:dyDescent="0.35">
      <c r="A10" s="4"/>
      <c r="B10" s="4"/>
      <c r="C10" s="4"/>
      <c r="D10" s="4"/>
      <c r="E10" s="4"/>
      <c r="F10" s="4"/>
    </row>
    <row r="11" spans="1:6" ht="15" thickBot="1" x14ac:dyDescent="0.4"/>
    <row r="12" spans="1:6" ht="16" thickTop="1" thickBot="1" x14ac:dyDescent="0.4">
      <c r="A12" s="37" t="s">
        <v>319</v>
      </c>
      <c r="B12" s="37" t="s">
        <v>819</v>
      </c>
      <c r="C12" s="37" t="s">
        <v>820</v>
      </c>
      <c r="D12" s="37" t="s">
        <v>692</v>
      </c>
      <c r="E12" s="37" t="s">
        <v>832</v>
      </c>
      <c r="F12" s="37" t="s">
        <v>821</v>
      </c>
    </row>
    <row r="13" spans="1:6" ht="32" thickTop="1" thickBot="1" x14ac:dyDescent="0.4">
      <c r="A13" s="38" t="s">
        <v>369</v>
      </c>
      <c r="B13" s="38" t="s">
        <v>843</v>
      </c>
      <c r="C13" s="38" t="s">
        <v>823</v>
      </c>
      <c r="D13" s="38" t="s">
        <v>824</v>
      </c>
      <c r="E13" s="38">
        <v>5</v>
      </c>
      <c r="F13" s="38" t="s">
        <v>844</v>
      </c>
    </row>
    <row r="14" spans="1:6" ht="32" thickTop="1" thickBot="1" x14ac:dyDescent="0.4">
      <c r="A14" s="38" t="s">
        <v>370</v>
      </c>
      <c r="B14" s="38" t="s">
        <v>845</v>
      </c>
      <c r="C14" s="38" t="s">
        <v>826</v>
      </c>
      <c r="D14" s="38" t="s">
        <v>824</v>
      </c>
      <c r="E14" s="38">
        <v>5</v>
      </c>
      <c r="F14" s="38" t="s">
        <v>846</v>
      </c>
    </row>
    <row r="15" spans="1:6" ht="16.5" thickTop="1" thickBot="1" x14ac:dyDescent="0.4">
      <c r="A15" s="38" t="s">
        <v>371</v>
      </c>
      <c r="B15" s="38" t="s">
        <v>847</v>
      </c>
      <c r="C15" s="38" t="s">
        <v>823</v>
      </c>
      <c r="D15" s="38" t="s">
        <v>824</v>
      </c>
      <c r="E15" s="38">
        <v>4</v>
      </c>
      <c r="F15" s="38" t="s">
        <v>848</v>
      </c>
    </row>
    <row r="16" spans="1:6" ht="32" thickTop="1" thickBot="1" x14ac:dyDescent="0.4">
      <c r="A16" s="38" t="s">
        <v>372</v>
      </c>
      <c r="B16" s="38" t="s">
        <v>849</v>
      </c>
      <c r="C16" s="38" t="s">
        <v>826</v>
      </c>
      <c r="D16" s="38" t="s">
        <v>824</v>
      </c>
      <c r="E16" s="38">
        <v>4</v>
      </c>
      <c r="F16" s="38" t="s">
        <v>850</v>
      </c>
    </row>
    <row r="17" spans="1:6" ht="16.5" thickTop="1" thickBot="1" x14ac:dyDescent="0.4">
      <c r="A17" s="38" t="s">
        <v>373</v>
      </c>
      <c r="B17" s="38" t="s">
        <v>851</v>
      </c>
      <c r="C17" s="38" t="s">
        <v>823</v>
      </c>
      <c r="D17" s="38" t="s">
        <v>824</v>
      </c>
      <c r="E17" s="38">
        <v>5</v>
      </c>
      <c r="F17" s="38" t="s">
        <v>848</v>
      </c>
    </row>
    <row r="18" spans="1:6" ht="32" thickTop="1" thickBot="1" x14ac:dyDescent="0.4">
      <c r="A18" s="38" t="s">
        <v>374</v>
      </c>
      <c r="B18" s="38" t="s">
        <v>856</v>
      </c>
      <c r="C18" s="38" t="s">
        <v>826</v>
      </c>
      <c r="D18" s="38" t="s">
        <v>824</v>
      </c>
      <c r="E18" s="38">
        <v>5</v>
      </c>
      <c r="F18" s="38" t="s">
        <v>852</v>
      </c>
    </row>
    <row r="19" spans="1:6" ht="16.5" thickTop="1" thickBot="1" x14ac:dyDescent="0.4">
      <c r="A19" s="38" t="s">
        <v>375</v>
      </c>
      <c r="B19" s="38" t="s">
        <v>857</v>
      </c>
      <c r="C19" s="38" t="s">
        <v>823</v>
      </c>
      <c r="D19" s="38" t="s">
        <v>824</v>
      </c>
      <c r="E19" s="38">
        <v>4</v>
      </c>
      <c r="F19" s="38" t="s">
        <v>853</v>
      </c>
    </row>
    <row r="20" spans="1:6" ht="32" thickTop="1" thickBot="1" x14ac:dyDescent="0.4">
      <c r="A20" s="38" t="s">
        <v>376</v>
      </c>
      <c r="B20" s="38" t="s">
        <v>859</v>
      </c>
      <c r="C20" s="38" t="s">
        <v>826</v>
      </c>
      <c r="D20" s="38" t="s">
        <v>824</v>
      </c>
      <c r="E20" s="38">
        <v>5</v>
      </c>
      <c r="F20" s="38" t="s">
        <v>854</v>
      </c>
    </row>
    <row r="21" spans="1:6" ht="16.5" thickTop="1" thickBot="1" x14ac:dyDescent="0.4">
      <c r="A21" s="38" t="s">
        <v>377</v>
      </c>
      <c r="B21" s="38" t="s">
        <v>858</v>
      </c>
      <c r="C21" s="38" t="s">
        <v>826</v>
      </c>
      <c r="D21" s="38" t="s">
        <v>824</v>
      </c>
      <c r="E21" s="38">
        <v>5</v>
      </c>
      <c r="F21" s="38" t="s">
        <v>855</v>
      </c>
    </row>
    <row r="22" spans="1:6" ht="15.5" thickTop="1" thickBot="1" x14ac:dyDescent="0.4"/>
    <row r="23" spans="1:6" ht="16" thickTop="1" thickBot="1" x14ac:dyDescent="0.4">
      <c r="A23" s="37" t="s">
        <v>319</v>
      </c>
      <c r="B23" s="37" t="s">
        <v>860</v>
      </c>
      <c r="C23" s="37" t="s">
        <v>345</v>
      </c>
      <c r="D23" s="37" t="s">
        <v>726</v>
      </c>
    </row>
    <row r="24" spans="1:6" ht="47.5" thickTop="1" thickBot="1" x14ac:dyDescent="0.4">
      <c r="A24" s="38" t="s">
        <v>369</v>
      </c>
      <c r="B24" s="38" t="s">
        <v>861</v>
      </c>
      <c r="C24" s="38" t="s">
        <v>862</v>
      </c>
      <c r="D24" s="38" t="s">
        <v>824</v>
      </c>
    </row>
    <row r="25" spans="1:6" ht="47.5" thickTop="1" thickBot="1" x14ac:dyDescent="0.4">
      <c r="A25" s="38" t="s">
        <v>370</v>
      </c>
      <c r="B25" s="38" t="s">
        <v>863</v>
      </c>
      <c r="C25" s="38" t="s">
        <v>864</v>
      </c>
      <c r="D25" s="38" t="s">
        <v>824</v>
      </c>
    </row>
    <row r="26" spans="1:6" ht="63" thickTop="1" thickBot="1" x14ac:dyDescent="0.4">
      <c r="A26" s="38" t="s">
        <v>371</v>
      </c>
      <c r="B26" s="38" t="s">
        <v>868</v>
      </c>
      <c r="C26" s="38" t="s">
        <v>869</v>
      </c>
      <c r="D26" s="38" t="s">
        <v>865</v>
      </c>
    </row>
    <row r="27" spans="1:6" ht="109.5" thickTop="1" thickBot="1" x14ac:dyDescent="0.4">
      <c r="A27" s="38" t="s">
        <v>372</v>
      </c>
      <c r="B27" s="38" t="s">
        <v>866</v>
      </c>
      <c r="C27" s="38" t="s">
        <v>870</v>
      </c>
      <c r="D27" s="38" t="s">
        <v>865</v>
      </c>
    </row>
    <row r="28" spans="1:6" ht="63" thickTop="1" thickBot="1" x14ac:dyDescent="0.4">
      <c r="A28" s="38" t="s">
        <v>373</v>
      </c>
      <c r="B28" s="38" t="s">
        <v>867</v>
      </c>
      <c r="C28" s="38" t="s">
        <v>871</v>
      </c>
      <c r="D28" s="38" t="s">
        <v>865</v>
      </c>
    </row>
    <row r="29" spans="1:6" ht="15.5" thickTop="1" thickBot="1" x14ac:dyDescent="0.4"/>
    <row r="30" spans="1:6" ht="31" thickTop="1" thickBot="1" x14ac:dyDescent="0.4">
      <c r="A30" s="37" t="s">
        <v>872</v>
      </c>
      <c r="B30" s="37" t="s">
        <v>873</v>
      </c>
      <c r="C30" s="37" t="s">
        <v>874</v>
      </c>
      <c r="D30" s="37" t="s">
        <v>875</v>
      </c>
      <c r="E30" s="37" t="s">
        <v>876</v>
      </c>
    </row>
    <row r="31" spans="1:6" ht="47.5" thickTop="1" thickBot="1" x14ac:dyDescent="0.4">
      <c r="A31" s="38" t="s">
        <v>877</v>
      </c>
      <c r="B31" s="38">
        <v>18</v>
      </c>
      <c r="C31" s="38">
        <v>18</v>
      </c>
      <c r="D31" s="38">
        <v>0</v>
      </c>
      <c r="E31" s="98">
        <v>1</v>
      </c>
    </row>
    <row r="32" spans="1:6" ht="78.5" thickTop="1" thickBot="1" x14ac:dyDescent="0.4">
      <c r="A32" s="38" t="s">
        <v>878</v>
      </c>
      <c r="B32" s="38">
        <v>7</v>
      </c>
      <c r="C32" s="38">
        <v>7</v>
      </c>
      <c r="D32" s="38">
        <v>0</v>
      </c>
      <c r="E32" s="98">
        <v>1</v>
      </c>
    </row>
    <row r="33" spans="1:11" ht="15" thickTop="1" x14ac:dyDescent="0.35"/>
    <row r="34" spans="1:11" ht="15" thickBot="1" x14ac:dyDescent="0.4"/>
    <row r="35" spans="1:11" ht="16" thickTop="1" thickBot="1" x14ac:dyDescent="0.4">
      <c r="A35" s="37" t="s">
        <v>319</v>
      </c>
      <c r="B35" s="37" t="s">
        <v>879</v>
      </c>
      <c r="C35" s="37" t="s">
        <v>726</v>
      </c>
      <c r="H35" s="37" t="s">
        <v>319</v>
      </c>
      <c r="I35" s="37" t="s">
        <v>879</v>
      </c>
      <c r="J35" s="37" t="s">
        <v>726</v>
      </c>
    </row>
    <row r="36" spans="1:11" ht="32" thickTop="1" thickBot="1" x14ac:dyDescent="0.4">
      <c r="A36" s="38" t="s">
        <v>369</v>
      </c>
      <c r="B36" s="38" t="s">
        <v>880</v>
      </c>
      <c r="C36" s="38" t="s">
        <v>724</v>
      </c>
      <c r="H36" s="38" t="s">
        <v>369</v>
      </c>
      <c r="I36" s="38" t="s">
        <v>1167</v>
      </c>
      <c r="J36" s="38" t="s">
        <v>724</v>
      </c>
    </row>
    <row r="37" spans="1:11" ht="32" thickTop="1" thickBot="1" x14ac:dyDescent="0.4">
      <c r="A37" s="38" t="s">
        <v>370</v>
      </c>
      <c r="B37" s="38" t="s">
        <v>882</v>
      </c>
      <c r="C37" s="38" t="s">
        <v>881</v>
      </c>
      <c r="H37" s="38" t="s">
        <v>370</v>
      </c>
      <c r="I37" s="38" t="s">
        <v>1168</v>
      </c>
      <c r="J37" s="38" t="s">
        <v>724</v>
      </c>
      <c r="K37" s="130"/>
    </row>
    <row r="38" spans="1:11" ht="32" thickTop="1" thickBot="1" x14ac:dyDescent="0.4">
      <c r="A38" s="38" t="s">
        <v>371</v>
      </c>
      <c r="B38" s="38" t="s">
        <v>883</v>
      </c>
      <c r="C38" s="38" t="s">
        <v>881</v>
      </c>
      <c r="H38" s="38" t="s">
        <v>371</v>
      </c>
      <c r="I38" s="38" t="s">
        <v>1169</v>
      </c>
      <c r="J38" s="38" t="s">
        <v>724</v>
      </c>
    </row>
    <row r="39" spans="1:11" ht="32" thickTop="1" thickBot="1" x14ac:dyDescent="0.4">
      <c r="A39" s="38" t="s">
        <v>372</v>
      </c>
      <c r="B39" s="38" t="s">
        <v>884</v>
      </c>
      <c r="C39" s="38" t="s">
        <v>881</v>
      </c>
      <c r="H39" s="38" t="s">
        <v>372</v>
      </c>
      <c r="I39" s="38" t="s">
        <v>1170</v>
      </c>
      <c r="J39" s="38" t="s">
        <v>724</v>
      </c>
    </row>
    <row r="40" spans="1:11" ht="32" thickTop="1" thickBot="1" x14ac:dyDescent="0.4">
      <c r="A40" s="38" t="s">
        <v>373</v>
      </c>
      <c r="B40" s="38" t="s">
        <v>885</v>
      </c>
      <c r="C40" s="38" t="s">
        <v>881</v>
      </c>
      <c r="H40" s="38" t="s">
        <v>373</v>
      </c>
      <c r="I40" s="38" t="s">
        <v>1176</v>
      </c>
      <c r="J40" s="38" t="s">
        <v>724</v>
      </c>
    </row>
    <row r="41" spans="1:11" ht="32" thickTop="1" thickBot="1" x14ac:dyDescent="0.4">
      <c r="A41" s="38" t="s">
        <v>374</v>
      </c>
      <c r="B41" s="38" t="s">
        <v>886</v>
      </c>
      <c r="C41" s="38" t="s">
        <v>881</v>
      </c>
      <c r="H41" s="38" t="s">
        <v>374</v>
      </c>
      <c r="I41" s="38" t="s">
        <v>1171</v>
      </c>
      <c r="J41" s="38" t="s">
        <v>724</v>
      </c>
    </row>
    <row r="42" spans="1:11" ht="32" thickTop="1" thickBot="1" x14ac:dyDescent="0.4">
      <c r="A42" s="38" t="s">
        <v>375</v>
      </c>
      <c r="B42" s="38" t="s">
        <v>887</v>
      </c>
      <c r="C42" s="38" t="s">
        <v>881</v>
      </c>
      <c r="H42" s="38" t="s">
        <v>375</v>
      </c>
      <c r="I42" s="38" t="s">
        <v>1172</v>
      </c>
      <c r="J42" s="38" t="s">
        <v>724</v>
      </c>
    </row>
    <row r="43" spans="1:11" ht="32" thickTop="1" thickBot="1" x14ac:dyDescent="0.4">
      <c r="A43" s="38" t="s">
        <v>376</v>
      </c>
      <c r="B43" s="38" t="s">
        <v>888</v>
      </c>
      <c r="C43" s="38" t="s">
        <v>881</v>
      </c>
      <c r="H43" s="38" t="s">
        <v>376</v>
      </c>
      <c r="I43" s="38" t="s">
        <v>1173</v>
      </c>
      <c r="J43" s="38" t="s">
        <v>724</v>
      </c>
    </row>
    <row r="44" spans="1:11" ht="16.5" thickTop="1" thickBot="1" x14ac:dyDescent="0.4">
      <c r="A44" s="38" t="s">
        <v>377</v>
      </c>
      <c r="B44" s="38" t="s">
        <v>889</v>
      </c>
      <c r="C44" s="38" t="s">
        <v>881</v>
      </c>
      <c r="H44" s="38" t="s">
        <v>377</v>
      </c>
      <c r="I44" s="38" t="s">
        <v>1174</v>
      </c>
      <c r="J44" s="38" t="s">
        <v>724</v>
      </c>
    </row>
    <row r="45" spans="1:11" ht="16.5" thickTop="1" thickBot="1" x14ac:dyDescent="0.4">
      <c r="A45" s="38" t="s">
        <v>478</v>
      </c>
      <c r="B45" s="38" t="s">
        <v>890</v>
      </c>
      <c r="C45" s="38" t="s">
        <v>881</v>
      </c>
      <c r="H45" s="38" t="s">
        <v>478</v>
      </c>
      <c r="I45" s="38" t="s">
        <v>1175</v>
      </c>
      <c r="J45" s="38" t="s">
        <v>724</v>
      </c>
    </row>
    <row r="46" spans="1:11" ht="15" thickTop="1" x14ac:dyDescent="0.35"/>
    <row r="48" spans="1:11" ht="15" thickBot="1" x14ac:dyDescent="0.4"/>
    <row r="49" spans="1:3" ht="16" thickTop="1" thickBot="1" x14ac:dyDescent="0.4">
      <c r="A49" s="99" t="s">
        <v>319</v>
      </c>
      <c r="B49" s="100" t="s">
        <v>891</v>
      </c>
      <c r="C49" s="100" t="s">
        <v>892</v>
      </c>
    </row>
    <row r="50" spans="1:3" ht="62.5" thickTop="1" x14ac:dyDescent="0.35">
      <c r="A50" s="194" t="s">
        <v>369</v>
      </c>
      <c r="B50" s="194" t="s">
        <v>893</v>
      </c>
      <c r="C50" s="101" t="s">
        <v>899</v>
      </c>
    </row>
    <row r="51" spans="1:3" ht="62" x14ac:dyDescent="0.35">
      <c r="A51" s="195"/>
      <c r="B51" s="195"/>
      <c r="C51" s="101" t="s">
        <v>900</v>
      </c>
    </row>
    <row r="52" spans="1:3" ht="77.5" x14ac:dyDescent="0.35">
      <c r="A52" s="195"/>
      <c r="B52" s="195"/>
      <c r="C52" s="101" t="s">
        <v>901</v>
      </c>
    </row>
    <row r="53" spans="1:3" ht="62" x14ac:dyDescent="0.35">
      <c r="A53" s="195"/>
      <c r="B53" s="195"/>
      <c r="C53" s="101" t="s">
        <v>902</v>
      </c>
    </row>
    <row r="54" spans="1:3" ht="47" thickBot="1" x14ac:dyDescent="0.4">
      <c r="A54" s="196"/>
      <c r="B54" s="196"/>
      <c r="C54" s="102" t="s">
        <v>903</v>
      </c>
    </row>
    <row r="55" spans="1:3" ht="78" thickTop="1" x14ac:dyDescent="0.35">
      <c r="A55" s="194" t="s">
        <v>370</v>
      </c>
      <c r="B55" s="194" t="s">
        <v>894</v>
      </c>
      <c r="C55" s="101" t="s">
        <v>904</v>
      </c>
    </row>
    <row r="56" spans="1:3" ht="62" x14ac:dyDescent="0.35">
      <c r="A56" s="195"/>
      <c r="B56" s="195"/>
      <c r="C56" s="101" t="s">
        <v>905</v>
      </c>
    </row>
    <row r="57" spans="1:3" ht="77.5" x14ac:dyDescent="0.35">
      <c r="A57" s="195"/>
      <c r="B57" s="195"/>
      <c r="C57" s="101" t="s">
        <v>906</v>
      </c>
    </row>
    <row r="58" spans="1:3" ht="62" x14ac:dyDescent="0.35">
      <c r="A58" s="195"/>
      <c r="B58" s="195"/>
      <c r="C58" s="101" t="s">
        <v>907</v>
      </c>
    </row>
    <row r="59" spans="1:3" ht="78" thickBot="1" x14ac:dyDescent="0.4">
      <c r="A59" s="196"/>
      <c r="B59" s="196"/>
      <c r="C59" s="102" t="s">
        <v>908</v>
      </c>
    </row>
    <row r="60" spans="1:3" ht="93.5" thickTop="1" x14ac:dyDescent="0.35">
      <c r="A60" s="194" t="s">
        <v>371</v>
      </c>
      <c r="B60" s="194" t="s">
        <v>895</v>
      </c>
      <c r="C60" s="101" t="s">
        <v>909</v>
      </c>
    </row>
    <row r="61" spans="1:3" ht="62" x14ac:dyDescent="0.35">
      <c r="A61" s="195"/>
      <c r="B61" s="195"/>
      <c r="C61" s="101" t="s">
        <v>910</v>
      </c>
    </row>
    <row r="62" spans="1:3" ht="93.5" thickBot="1" x14ac:dyDescent="0.4">
      <c r="A62" s="196"/>
      <c r="B62" s="196"/>
      <c r="C62" s="102" t="s">
        <v>911</v>
      </c>
    </row>
    <row r="63" spans="1:3" ht="78" thickTop="1" x14ac:dyDescent="0.35">
      <c r="A63" s="194" t="s">
        <v>372</v>
      </c>
      <c r="B63" s="194" t="s">
        <v>896</v>
      </c>
      <c r="C63" s="101" t="s">
        <v>912</v>
      </c>
    </row>
    <row r="64" spans="1:3" ht="93" x14ac:dyDescent="0.35">
      <c r="A64" s="195"/>
      <c r="B64" s="195"/>
      <c r="C64" s="101" t="s">
        <v>913</v>
      </c>
    </row>
    <row r="65" spans="1:3" ht="77.5" x14ac:dyDescent="0.35">
      <c r="A65" s="195"/>
      <c r="B65" s="195"/>
      <c r="C65" s="101" t="s">
        <v>914</v>
      </c>
    </row>
    <row r="66" spans="1:3" ht="93" x14ac:dyDescent="0.35">
      <c r="A66" s="195"/>
      <c r="B66" s="195"/>
      <c r="C66" s="101" t="s">
        <v>915</v>
      </c>
    </row>
    <row r="67" spans="1:3" ht="93.5" thickBot="1" x14ac:dyDescent="0.4">
      <c r="A67" s="196"/>
      <c r="B67" s="196"/>
      <c r="C67" s="102" t="s">
        <v>897</v>
      </c>
    </row>
    <row r="68" spans="1:3" ht="124.5" thickTop="1" x14ac:dyDescent="0.35">
      <c r="A68" s="194" t="s">
        <v>373</v>
      </c>
      <c r="B68" s="194" t="s">
        <v>898</v>
      </c>
      <c r="C68" s="101" t="s">
        <v>916</v>
      </c>
    </row>
    <row r="69" spans="1:3" ht="186" x14ac:dyDescent="0.35">
      <c r="A69" s="195"/>
      <c r="B69" s="195"/>
      <c r="C69" s="101" t="s">
        <v>917</v>
      </c>
    </row>
    <row r="70" spans="1:3" ht="186.5" thickBot="1" x14ac:dyDescent="0.4">
      <c r="A70" s="196"/>
      <c r="B70" s="196"/>
      <c r="C70" s="103" t="s">
        <v>918</v>
      </c>
    </row>
    <row r="71" spans="1:3" ht="15" thickTop="1" x14ac:dyDescent="0.35"/>
  </sheetData>
  <mergeCells count="10">
    <mergeCell ref="A63:A67"/>
    <mergeCell ref="B63:B67"/>
    <mergeCell ref="B68:B70"/>
    <mergeCell ref="A68:A70"/>
    <mergeCell ref="A50:A54"/>
    <mergeCell ref="B50:B54"/>
    <mergeCell ref="A55:A59"/>
    <mergeCell ref="B55:B59"/>
    <mergeCell ref="A60:A62"/>
    <mergeCell ref="B60:B6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E418-9835-47A8-9738-924F643DB3D7}">
  <dimension ref="A1:L20"/>
  <sheetViews>
    <sheetView workbookViewId="0">
      <selection activeCell="E3" sqref="E3"/>
    </sheetView>
  </sheetViews>
  <sheetFormatPr defaultRowHeight="14.5" x14ac:dyDescent="0.35"/>
  <cols>
    <col min="1" max="1" width="8.7265625" style="91"/>
    <col min="2" max="2" width="17.54296875" style="91" customWidth="1"/>
    <col min="3" max="3" width="26.26953125" customWidth="1"/>
    <col min="4" max="4" width="9.6328125" style="91" customWidth="1"/>
    <col min="5" max="5" width="11.36328125" style="91" customWidth="1"/>
    <col min="7" max="7" width="17.7265625" customWidth="1"/>
    <col min="8" max="8" width="26.08984375" style="91" customWidth="1"/>
    <col min="9" max="9" width="31.7265625" style="136" customWidth="1"/>
    <col min="11" max="11" width="25.54296875" style="91" customWidth="1"/>
    <col min="12" max="12" width="26.08984375" customWidth="1"/>
  </cols>
  <sheetData>
    <row r="1" spans="1:12" ht="16" thickTop="1" thickBot="1" x14ac:dyDescent="0.4">
      <c r="A1" s="37" t="s">
        <v>319</v>
      </c>
      <c r="B1" s="37" t="s">
        <v>1006</v>
      </c>
      <c r="C1" s="37" t="s">
        <v>1007</v>
      </c>
      <c r="D1" s="37" t="s">
        <v>1008</v>
      </c>
      <c r="E1" s="37" t="s">
        <v>1015</v>
      </c>
      <c r="G1" s="129"/>
      <c r="H1" s="37" t="s">
        <v>1021</v>
      </c>
      <c r="I1" s="37" t="s">
        <v>879</v>
      </c>
      <c r="K1" s="37" t="s">
        <v>1021</v>
      </c>
      <c r="L1" s="37" t="s">
        <v>879</v>
      </c>
    </row>
    <row r="2" spans="1:12" ht="142" customHeight="1" thickTop="1" thickBot="1" x14ac:dyDescent="0.4">
      <c r="A2" s="38" t="s">
        <v>369</v>
      </c>
      <c r="B2" s="38" t="s">
        <v>1009</v>
      </c>
      <c r="C2" s="42" t="s">
        <v>1010</v>
      </c>
      <c r="D2" s="38" t="s">
        <v>1020</v>
      </c>
      <c r="E2" s="98">
        <v>0.2</v>
      </c>
      <c r="G2" s="130"/>
      <c r="H2" s="38" t="s">
        <v>1022</v>
      </c>
      <c r="I2" s="39" t="s">
        <v>1034</v>
      </c>
      <c r="K2" s="38" t="s">
        <v>1022</v>
      </c>
      <c r="L2" s="42" t="s">
        <v>1030</v>
      </c>
    </row>
    <row r="3" spans="1:12" ht="72" customHeight="1" thickTop="1" thickBot="1" x14ac:dyDescent="0.4">
      <c r="A3" s="38" t="s">
        <v>370</v>
      </c>
      <c r="B3" s="38" t="s">
        <v>1011</v>
      </c>
      <c r="C3" s="42" t="s">
        <v>1012</v>
      </c>
      <c r="D3" s="38" t="s">
        <v>1019</v>
      </c>
      <c r="E3" s="98">
        <v>0.2</v>
      </c>
      <c r="G3" s="130"/>
      <c r="H3" s="38" t="s">
        <v>1023</v>
      </c>
      <c r="I3" s="39" t="s">
        <v>1029</v>
      </c>
      <c r="K3" s="38" t="s">
        <v>1040</v>
      </c>
      <c r="L3" s="42" t="s">
        <v>1031</v>
      </c>
    </row>
    <row r="4" spans="1:12" ht="98" customHeight="1" thickTop="1" thickBot="1" x14ac:dyDescent="0.4">
      <c r="A4" s="38" t="s">
        <v>371</v>
      </c>
      <c r="B4" s="38" t="s">
        <v>1013</v>
      </c>
      <c r="C4" s="42" t="s">
        <v>1014</v>
      </c>
      <c r="D4" s="38" t="s">
        <v>1019</v>
      </c>
      <c r="E4" s="98">
        <v>0.2</v>
      </c>
      <c r="G4" s="130"/>
      <c r="H4" s="38" t="s">
        <v>1024</v>
      </c>
      <c r="I4" s="39" t="s">
        <v>1035</v>
      </c>
      <c r="K4" s="38" t="s">
        <v>1041</v>
      </c>
      <c r="L4" s="42" t="s">
        <v>1032</v>
      </c>
    </row>
    <row r="5" spans="1:12" ht="98" customHeight="1" thickTop="1" thickBot="1" x14ac:dyDescent="0.4">
      <c r="A5" s="120" t="s">
        <v>372</v>
      </c>
      <c r="B5" s="137" t="s">
        <v>1043</v>
      </c>
      <c r="C5" s="137" t="s">
        <v>1044</v>
      </c>
      <c r="D5" s="137" t="s">
        <v>1019</v>
      </c>
      <c r="E5" s="138">
        <v>0.2</v>
      </c>
      <c r="G5" s="130"/>
      <c r="H5" s="38"/>
      <c r="I5" s="39"/>
      <c r="K5" s="38"/>
      <c r="L5" s="42"/>
    </row>
    <row r="6" spans="1:12" ht="83" customHeight="1" thickTop="1" thickBot="1" x14ac:dyDescent="0.4">
      <c r="A6" s="35" t="s">
        <v>373</v>
      </c>
      <c r="B6" s="131" t="s">
        <v>1016</v>
      </c>
      <c r="C6" s="86" t="s">
        <v>1017</v>
      </c>
      <c r="D6" s="38" t="s">
        <v>1019</v>
      </c>
      <c r="E6" s="139">
        <v>0.2</v>
      </c>
      <c r="G6" s="130"/>
      <c r="H6" s="38" t="s">
        <v>1025</v>
      </c>
      <c r="I6" s="39" t="s">
        <v>1036</v>
      </c>
      <c r="K6" s="38" t="s">
        <v>1042</v>
      </c>
      <c r="L6" s="42" t="s">
        <v>1033</v>
      </c>
    </row>
    <row r="7" spans="1:12" ht="78.5" thickTop="1" thickBot="1" x14ac:dyDescent="0.4">
      <c r="A7" s="132"/>
      <c r="B7" s="133"/>
      <c r="C7" s="134" t="s">
        <v>288</v>
      </c>
      <c r="D7" s="134" t="s">
        <v>1018</v>
      </c>
      <c r="E7" s="135">
        <v>1</v>
      </c>
      <c r="G7" s="130"/>
      <c r="H7" s="38" t="s">
        <v>1026</v>
      </c>
      <c r="I7" s="39" t="s">
        <v>1037</v>
      </c>
    </row>
    <row r="8" spans="1:12" ht="78.5" thickTop="1" thickBot="1" x14ac:dyDescent="0.4">
      <c r="A8" s="5"/>
      <c r="B8" s="5"/>
      <c r="C8" s="1"/>
      <c r="D8" s="5"/>
      <c r="E8" s="5"/>
      <c r="G8" s="130"/>
      <c r="H8" s="38" t="s">
        <v>1027</v>
      </c>
      <c r="I8" s="39" t="s">
        <v>1038</v>
      </c>
    </row>
    <row r="9" spans="1:12" ht="78.5" thickTop="1" thickBot="1" x14ac:dyDescent="0.4">
      <c r="A9" s="5"/>
      <c r="B9" s="5"/>
      <c r="C9" s="1"/>
      <c r="D9" s="5"/>
      <c r="E9" s="5"/>
      <c r="G9" s="130"/>
      <c r="H9" s="38" t="s">
        <v>1028</v>
      </c>
      <c r="I9" s="39" t="s">
        <v>1039</v>
      </c>
    </row>
    <row r="10" spans="1:12" ht="16" thickTop="1" x14ac:dyDescent="0.35">
      <c r="A10" s="5"/>
      <c r="B10" s="5"/>
      <c r="C10" s="1"/>
      <c r="D10" s="5"/>
      <c r="E10" s="5"/>
    </row>
    <row r="11" spans="1:12" ht="15.5" x14ac:dyDescent="0.35">
      <c r="A11" s="5"/>
      <c r="B11" s="5"/>
      <c r="C11" s="1"/>
      <c r="D11" s="5"/>
      <c r="E11" s="5"/>
    </row>
    <row r="12" spans="1:12" ht="15.5" x14ac:dyDescent="0.35">
      <c r="A12" s="5"/>
      <c r="B12" s="5"/>
      <c r="C12" s="1"/>
      <c r="D12" s="5"/>
      <c r="E12" s="5"/>
    </row>
    <row r="13" spans="1:12" ht="15.5" x14ac:dyDescent="0.35">
      <c r="A13" s="5"/>
      <c r="B13" s="5"/>
      <c r="C13" s="1"/>
      <c r="D13" s="5"/>
      <c r="E13" s="5"/>
    </row>
    <row r="14" spans="1:12" ht="15.5" x14ac:dyDescent="0.35">
      <c r="A14" s="5"/>
      <c r="B14" s="5"/>
      <c r="C14" s="1"/>
      <c r="D14" s="5"/>
      <c r="E14" s="5"/>
    </row>
    <row r="15" spans="1:12" ht="15.5" x14ac:dyDescent="0.35">
      <c r="A15" s="5"/>
      <c r="B15" s="5"/>
      <c r="C15" s="1"/>
      <c r="D15" s="5"/>
      <c r="E15" s="5"/>
    </row>
    <row r="16" spans="1:12" ht="15.5" x14ac:dyDescent="0.35">
      <c r="A16" s="5"/>
      <c r="B16" s="5"/>
      <c r="C16" s="1"/>
      <c r="D16" s="5"/>
      <c r="E16" s="5"/>
    </row>
    <row r="17" spans="1:5" ht="15.5" x14ac:dyDescent="0.35">
      <c r="A17" s="5"/>
      <c r="B17" s="5"/>
      <c r="C17" s="1"/>
      <c r="D17" s="5"/>
      <c r="E17" s="5"/>
    </row>
    <row r="18" spans="1:5" ht="15.5" x14ac:dyDescent="0.35">
      <c r="A18" s="5"/>
      <c r="B18" s="5"/>
      <c r="C18" s="1"/>
      <c r="D18" s="5"/>
      <c r="E18" s="5"/>
    </row>
    <row r="19" spans="1:5" ht="15.5" x14ac:dyDescent="0.35">
      <c r="A19" s="5"/>
      <c r="B19" s="5"/>
      <c r="C19" s="1"/>
      <c r="D19" s="5"/>
      <c r="E19" s="5"/>
    </row>
    <row r="20" spans="1:5" ht="15.5" x14ac:dyDescent="0.35">
      <c r="A20" s="5"/>
      <c r="B20" s="5"/>
      <c r="C20" s="1"/>
      <c r="D20" s="5"/>
      <c r="E20" s="5"/>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3D0EA-554A-4EFA-AB4F-6C31B3D70629}">
  <dimension ref="A1:X19"/>
  <sheetViews>
    <sheetView topLeftCell="V1" workbookViewId="0">
      <selection activeCell="Z1" sqref="Z1:AB18"/>
    </sheetView>
  </sheetViews>
  <sheetFormatPr defaultRowHeight="14.5" x14ac:dyDescent="0.35"/>
  <cols>
    <col min="2" max="2" width="11.26953125" customWidth="1"/>
    <col min="3" max="3" width="10.6328125" customWidth="1"/>
    <col min="4" max="4" width="12" customWidth="1"/>
    <col min="5" max="5" width="13.453125" customWidth="1"/>
    <col min="9" max="9" width="8.7265625" style="91"/>
    <col min="10" max="10" width="17.54296875" customWidth="1"/>
    <col min="11" max="11" width="14.36328125" customWidth="1"/>
    <col min="12" max="12" width="11.90625" customWidth="1"/>
    <col min="13" max="13" width="8.7265625" style="91"/>
    <col min="14" max="14" width="17.90625" customWidth="1"/>
    <col min="16" max="16" width="5.81640625" customWidth="1"/>
    <col min="17" max="17" width="16.6328125" customWidth="1"/>
    <col min="18" max="18" width="11.6328125" customWidth="1"/>
    <col min="19" max="19" width="10.90625" customWidth="1"/>
    <col min="21" max="21" width="8.7265625" style="91"/>
    <col min="22" max="22" width="19.08984375" customWidth="1"/>
    <col min="23" max="23" width="10.81640625" customWidth="1"/>
    <col min="24" max="24" width="12.81640625" customWidth="1"/>
    <col min="26" max="26" width="12.81640625" customWidth="1"/>
    <col min="27" max="27" width="11.90625" customWidth="1"/>
    <col min="28" max="28" width="25.81640625" customWidth="1"/>
  </cols>
  <sheetData>
    <row r="1" spans="1:24" ht="21.5" customHeight="1" thickTop="1" thickBot="1" x14ac:dyDescent="0.4">
      <c r="A1" s="37" t="s">
        <v>319</v>
      </c>
      <c r="B1" s="37" t="s">
        <v>1006</v>
      </c>
      <c r="C1" s="37" t="s">
        <v>1045</v>
      </c>
      <c r="D1" s="37" t="s">
        <v>1046</v>
      </c>
      <c r="E1" s="37" t="s">
        <v>1047</v>
      </c>
      <c r="F1" s="37" t="s">
        <v>1048</v>
      </c>
      <c r="G1" s="37" t="s">
        <v>726</v>
      </c>
      <c r="I1" s="37" t="s">
        <v>319</v>
      </c>
      <c r="J1" s="37" t="s">
        <v>819</v>
      </c>
      <c r="K1" s="37" t="s">
        <v>820</v>
      </c>
      <c r="L1" s="37" t="s">
        <v>692</v>
      </c>
      <c r="M1" s="37" t="s">
        <v>832</v>
      </c>
      <c r="N1" s="37" t="s">
        <v>821</v>
      </c>
      <c r="P1" s="37" t="s">
        <v>319</v>
      </c>
      <c r="Q1" s="37" t="s">
        <v>860</v>
      </c>
      <c r="R1" s="37" t="s">
        <v>1118</v>
      </c>
      <c r="S1" s="37" t="s">
        <v>1119</v>
      </c>
      <c r="U1" s="37" t="s">
        <v>319</v>
      </c>
      <c r="V1" s="37" t="s">
        <v>860</v>
      </c>
      <c r="W1" s="37" t="s">
        <v>1118</v>
      </c>
      <c r="X1" s="37" t="s">
        <v>1119</v>
      </c>
    </row>
    <row r="2" spans="1:24" ht="44.5" customHeight="1" thickTop="1" thickBot="1" x14ac:dyDescent="0.4">
      <c r="A2" s="38" t="s">
        <v>369</v>
      </c>
      <c r="B2" s="38" t="s">
        <v>1049</v>
      </c>
      <c r="C2" s="38" t="s">
        <v>1050</v>
      </c>
      <c r="D2" s="38" t="s">
        <v>1051</v>
      </c>
      <c r="E2" s="38" t="s">
        <v>1052</v>
      </c>
      <c r="F2" s="38" t="s">
        <v>1102</v>
      </c>
      <c r="G2" s="38" t="s">
        <v>1101</v>
      </c>
      <c r="I2" s="38" t="s">
        <v>369</v>
      </c>
      <c r="J2" s="38" t="s">
        <v>1103</v>
      </c>
      <c r="K2" s="38" t="s">
        <v>823</v>
      </c>
      <c r="L2" s="38" t="s">
        <v>1117</v>
      </c>
      <c r="M2" s="38">
        <v>5</v>
      </c>
      <c r="N2" s="38" t="s">
        <v>1104</v>
      </c>
      <c r="P2" s="38" t="s">
        <v>369</v>
      </c>
      <c r="Q2" s="38" t="s">
        <v>1125</v>
      </c>
      <c r="R2" s="38" t="s">
        <v>348</v>
      </c>
      <c r="S2" s="38" t="s">
        <v>1117</v>
      </c>
      <c r="U2" s="38" t="s">
        <v>369</v>
      </c>
      <c r="V2" s="38" t="s">
        <v>861</v>
      </c>
      <c r="W2" s="38" t="s">
        <v>348</v>
      </c>
      <c r="X2" s="38" t="s">
        <v>1117</v>
      </c>
    </row>
    <row r="3" spans="1:24" ht="48.5" customHeight="1" thickTop="1" thickBot="1" x14ac:dyDescent="0.4">
      <c r="A3" s="38" t="s">
        <v>370</v>
      </c>
      <c r="B3" s="38" t="s">
        <v>1049</v>
      </c>
      <c r="C3" s="38" t="s">
        <v>1053</v>
      </c>
      <c r="D3" s="38" t="s">
        <v>1054</v>
      </c>
      <c r="E3" s="38" t="s">
        <v>1055</v>
      </c>
      <c r="F3" s="38" t="s">
        <v>1102</v>
      </c>
      <c r="G3" s="38" t="s">
        <v>1101</v>
      </c>
      <c r="I3" s="38" t="s">
        <v>370</v>
      </c>
      <c r="J3" s="38" t="s">
        <v>1105</v>
      </c>
      <c r="K3" s="38" t="s">
        <v>826</v>
      </c>
      <c r="L3" s="38" t="s">
        <v>1117</v>
      </c>
      <c r="M3" s="38">
        <v>5</v>
      </c>
      <c r="N3" s="38" t="s">
        <v>1106</v>
      </c>
      <c r="P3" s="38" t="s">
        <v>370</v>
      </c>
      <c r="Q3" s="38" t="s">
        <v>1126</v>
      </c>
      <c r="R3" s="38" t="s">
        <v>348</v>
      </c>
      <c r="S3" s="38" t="s">
        <v>1117</v>
      </c>
      <c r="U3" s="38" t="s">
        <v>370</v>
      </c>
      <c r="V3" s="38" t="s">
        <v>863</v>
      </c>
      <c r="W3" s="38" t="s">
        <v>348</v>
      </c>
      <c r="X3" s="38" t="s">
        <v>1117</v>
      </c>
    </row>
    <row r="4" spans="1:24" ht="84" customHeight="1" thickTop="1" thickBot="1" x14ac:dyDescent="0.4">
      <c r="A4" s="38" t="s">
        <v>371</v>
      </c>
      <c r="B4" s="38" t="s">
        <v>1049</v>
      </c>
      <c r="C4" s="38" t="s">
        <v>1056</v>
      </c>
      <c r="D4" s="38" t="s">
        <v>1057</v>
      </c>
      <c r="E4" s="38" t="s">
        <v>1058</v>
      </c>
      <c r="F4" s="38" t="s">
        <v>1102</v>
      </c>
      <c r="G4" s="38" t="s">
        <v>1101</v>
      </c>
      <c r="I4" s="38" t="s">
        <v>371</v>
      </c>
      <c r="J4" s="38" t="s">
        <v>1107</v>
      </c>
      <c r="K4" s="38" t="s">
        <v>823</v>
      </c>
      <c r="L4" s="38" t="s">
        <v>1117</v>
      </c>
      <c r="M4" s="38">
        <v>5</v>
      </c>
      <c r="N4" s="38" t="s">
        <v>1108</v>
      </c>
      <c r="P4" s="38" t="s">
        <v>371</v>
      </c>
      <c r="Q4" s="38" t="s">
        <v>1127</v>
      </c>
      <c r="R4" s="38" t="s">
        <v>348</v>
      </c>
      <c r="S4" s="38" t="s">
        <v>1117</v>
      </c>
      <c r="U4" s="38" t="s">
        <v>371</v>
      </c>
      <c r="V4" s="38" t="s">
        <v>868</v>
      </c>
      <c r="W4" s="38" t="s">
        <v>1121</v>
      </c>
      <c r="X4" s="38" t="s">
        <v>1122</v>
      </c>
    </row>
    <row r="5" spans="1:24" ht="69.5" customHeight="1" thickTop="1" thickBot="1" x14ac:dyDescent="0.4">
      <c r="A5" s="38" t="s">
        <v>372</v>
      </c>
      <c r="B5" s="38" t="s">
        <v>1049</v>
      </c>
      <c r="C5" s="38" t="s">
        <v>1059</v>
      </c>
      <c r="D5" s="38" t="s">
        <v>348</v>
      </c>
      <c r="E5" s="38" t="s">
        <v>1060</v>
      </c>
      <c r="F5" s="38" t="s">
        <v>1102</v>
      </c>
      <c r="G5" s="38" t="s">
        <v>1101</v>
      </c>
      <c r="I5" s="38" t="s">
        <v>372</v>
      </c>
      <c r="J5" s="38" t="s">
        <v>1109</v>
      </c>
      <c r="K5" s="38" t="s">
        <v>826</v>
      </c>
      <c r="L5" s="38" t="s">
        <v>1117</v>
      </c>
      <c r="M5" s="38">
        <v>4</v>
      </c>
      <c r="N5" s="38" t="s">
        <v>1110</v>
      </c>
      <c r="P5" s="38" t="s">
        <v>372</v>
      </c>
      <c r="Q5" s="38" t="s">
        <v>1128</v>
      </c>
      <c r="R5" s="38" t="s">
        <v>348</v>
      </c>
      <c r="S5" s="38" t="s">
        <v>1117</v>
      </c>
      <c r="U5" s="38" t="s">
        <v>372</v>
      </c>
      <c r="V5" s="38" t="s">
        <v>866</v>
      </c>
      <c r="W5" s="38" t="s">
        <v>1121</v>
      </c>
      <c r="X5" s="38" t="s">
        <v>1122</v>
      </c>
    </row>
    <row r="6" spans="1:24" ht="49" customHeight="1" thickTop="1" thickBot="1" x14ac:dyDescent="0.4">
      <c r="A6" s="38" t="s">
        <v>373</v>
      </c>
      <c r="B6" s="38" t="s">
        <v>1061</v>
      </c>
      <c r="C6" s="38" t="s">
        <v>1062</v>
      </c>
      <c r="D6" s="38" t="s">
        <v>1051</v>
      </c>
      <c r="E6" s="38" t="s">
        <v>1063</v>
      </c>
      <c r="F6" s="38" t="s">
        <v>1102</v>
      </c>
      <c r="G6" s="38" t="s">
        <v>1101</v>
      </c>
      <c r="I6" s="38" t="s">
        <v>373</v>
      </c>
      <c r="J6" s="38" t="s">
        <v>1111</v>
      </c>
      <c r="K6" s="38" t="s">
        <v>823</v>
      </c>
      <c r="L6" s="38" t="s">
        <v>1117</v>
      </c>
      <c r="M6" s="38">
        <v>5</v>
      </c>
      <c r="N6" s="38" t="s">
        <v>1112</v>
      </c>
      <c r="P6" s="38" t="s">
        <v>373</v>
      </c>
      <c r="Q6" s="38" t="s">
        <v>1129</v>
      </c>
      <c r="R6" s="38" t="s">
        <v>348</v>
      </c>
      <c r="S6" s="38" t="s">
        <v>1117</v>
      </c>
      <c r="U6" s="128" t="s">
        <v>373</v>
      </c>
      <c r="V6" s="128" t="s">
        <v>867</v>
      </c>
      <c r="W6" s="128" t="s">
        <v>1120</v>
      </c>
      <c r="X6" s="128" t="s">
        <v>1122</v>
      </c>
    </row>
    <row r="7" spans="1:24" ht="138.5" customHeight="1" thickTop="1" thickBot="1" x14ac:dyDescent="0.4">
      <c r="A7" s="38" t="s">
        <v>374</v>
      </c>
      <c r="B7" s="38" t="s">
        <v>1061</v>
      </c>
      <c r="C7" s="38" t="s">
        <v>1064</v>
      </c>
      <c r="D7" s="38" t="s">
        <v>1065</v>
      </c>
      <c r="E7" s="38" t="s">
        <v>1066</v>
      </c>
      <c r="F7" s="38" t="s">
        <v>1102</v>
      </c>
      <c r="G7" s="38" t="s">
        <v>1101</v>
      </c>
      <c r="I7" s="38" t="s">
        <v>374</v>
      </c>
      <c r="J7" s="38" t="s">
        <v>1113</v>
      </c>
      <c r="K7" s="38" t="s">
        <v>828</v>
      </c>
      <c r="L7" s="38" t="s">
        <v>1117</v>
      </c>
      <c r="M7" s="38">
        <v>5</v>
      </c>
      <c r="N7" s="38" t="s">
        <v>1114</v>
      </c>
      <c r="P7" s="38" t="s">
        <v>374</v>
      </c>
      <c r="Q7" s="38" t="s">
        <v>1130</v>
      </c>
      <c r="R7" s="38" t="s">
        <v>348</v>
      </c>
      <c r="S7" s="38" t="s">
        <v>1117</v>
      </c>
    </row>
    <row r="8" spans="1:24" ht="96" customHeight="1" thickTop="1" thickBot="1" x14ac:dyDescent="0.4">
      <c r="A8" s="38" t="s">
        <v>375</v>
      </c>
      <c r="B8" s="38" t="s">
        <v>1061</v>
      </c>
      <c r="C8" s="38" t="s">
        <v>1067</v>
      </c>
      <c r="D8" s="38" t="s">
        <v>1068</v>
      </c>
      <c r="E8" s="38" t="s">
        <v>1069</v>
      </c>
      <c r="F8" s="38" t="s">
        <v>1102</v>
      </c>
      <c r="G8" s="38" t="s">
        <v>1101</v>
      </c>
      <c r="I8" s="38" t="s">
        <v>375</v>
      </c>
      <c r="J8" s="38" t="s">
        <v>1115</v>
      </c>
      <c r="K8" s="38" t="s">
        <v>826</v>
      </c>
      <c r="L8" s="38" t="s">
        <v>1117</v>
      </c>
      <c r="M8" s="38">
        <v>5</v>
      </c>
      <c r="N8" s="38" t="s">
        <v>1116</v>
      </c>
      <c r="P8" s="38" t="s">
        <v>375</v>
      </c>
      <c r="Q8" s="38" t="s">
        <v>1131</v>
      </c>
      <c r="R8" s="38" t="s">
        <v>1120</v>
      </c>
      <c r="S8" s="38" t="s">
        <v>1123</v>
      </c>
    </row>
    <row r="9" spans="1:24" ht="133.5" customHeight="1" thickTop="1" thickBot="1" x14ac:dyDescent="0.4">
      <c r="A9" s="38" t="s">
        <v>376</v>
      </c>
      <c r="B9" s="38" t="s">
        <v>1070</v>
      </c>
      <c r="C9" s="38" t="s">
        <v>1071</v>
      </c>
      <c r="D9" s="38" t="s">
        <v>1051</v>
      </c>
      <c r="E9" s="38" t="s">
        <v>1072</v>
      </c>
      <c r="F9" s="38" t="s">
        <v>1102</v>
      </c>
      <c r="G9" s="38" t="s">
        <v>1101</v>
      </c>
      <c r="P9" s="38" t="s">
        <v>376</v>
      </c>
      <c r="Q9" s="38" t="s">
        <v>1132</v>
      </c>
      <c r="R9" s="38" t="s">
        <v>1121</v>
      </c>
      <c r="S9" s="38" t="s">
        <v>1122</v>
      </c>
    </row>
    <row r="10" spans="1:24" ht="63" thickTop="1" thickBot="1" x14ac:dyDescent="0.4">
      <c r="A10" s="38" t="s">
        <v>377</v>
      </c>
      <c r="B10" s="38" t="s">
        <v>1070</v>
      </c>
      <c r="C10" s="38" t="s">
        <v>1064</v>
      </c>
      <c r="D10" s="38" t="s">
        <v>1073</v>
      </c>
      <c r="E10" s="38" t="s">
        <v>1074</v>
      </c>
      <c r="F10" s="38" t="s">
        <v>1102</v>
      </c>
      <c r="G10" s="38" t="s">
        <v>1101</v>
      </c>
    </row>
    <row r="11" spans="1:24" ht="47.5" thickTop="1" thickBot="1" x14ac:dyDescent="0.4">
      <c r="A11" s="38" t="s">
        <v>478</v>
      </c>
      <c r="B11" s="38" t="s">
        <v>1075</v>
      </c>
      <c r="C11" s="38" t="s">
        <v>1076</v>
      </c>
      <c r="D11" s="38" t="s">
        <v>1077</v>
      </c>
      <c r="E11" s="38" t="s">
        <v>1078</v>
      </c>
      <c r="F11" s="38" t="s">
        <v>1102</v>
      </c>
      <c r="G11" s="38" t="s">
        <v>1101</v>
      </c>
    </row>
    <row r="12" spans="1:24" ht="63" thickTop="1" thickBot="1" x14ac:dyDescent="0.4">
      <c r="A12" s="38" t="s">
        <v>479</v>
      </c>
      <c r="B12" s="38" t="s">
        <v>1075</v>
      </c>
      <c r="C12" s="38" t="s">
        <v>1079</v>
      </c>
      <c r="D12" s="38" t="s">
        <v>1080</v>
      </c>
      <c r="E12" s="38" t="s">
        <v>1081</v>
      </c>
      <c r="F12" s="38" t="s">
        <v>1102</v>
      </c>
      <c r="G12" s="38" t="s">
        <v>1101</v>
      </c>
    </row>
    <row r="13" spans="1:24" ht="63" thickTop="1" thickBot="1" x14ac:dyDescent="0.4">
      <c r="A13" s="38" t="s">
        <v>480</v>
      </c>
      <c r="B13" s="38" t="s">
        <v>1075</v>
      </c>
      <c r="C13" s="38" t="s">
        <v>1082</v>
      </c>
      <c r="D13" s="38" t="s">
        <v>1083</v>
      </c>
      <c r="E13" s="38" t="s">
        <v>1084</v>
      </c>
      <c r="F13" s="38" t="s">
        <v>1102</v>
      </c>
      <c r="G13" s="38" t="s">
        <v>1101</v>
      </c>
    </row>
    <row r="14" spans="1:24" ht="32" thickTop="1" thickBot="1" x14ac:dyDescent="0.4">
      <c r="A14" s="38" t="s">
        <v>481</v>
      </c>
      <c r="B14" s="38" t="s">
        <v>1085</v>
      </c>
      <c r="C14" s="38" t="s">
        <v>1086</v>
      </c>
      <c r="D14" s="38" t="s">
        <v>1051</v>
      </c>
      <c r="E14" s="38" t="s">
        <v>1087</v>
      </c>
      <c r="F14" s="38" t="s">
        <v>1102</v>
      </c>
      <c r="G14" s="38" t="s">
        <v>1101</v>
      </c>
    </row>
    <row r="15" spans="1:24" ht="32" thickTop="1" thickBot="1" x14ac:dyDescent="0.4">
      <c r="A15" s="38" t="s">
        <v>482</v>
      </c>
      <c r="B15" s="38" t="s">
        <v>1085</v>
      </c>
      <c r="C15" s="38" t="s">
        <v>1088</v>
      </c>
      <c r="D15" s="38" t="s">
        <v>1089</v>
      </c>
      <c r="E15" s="38" t="s">
        <v>1090</v>
      </c>
      <c r="F15" s="38" t="s">
        <v>1102</v>
      </c>
      <c r="G15" s="38" t="s">
        <v>1101</v>
      </c>
    </row>
    <row r="16" spans="1:24" ht="47.5" thickTop="1" thickBot="1" x14ac:dyDescent="0.4">
      <c r="A16" s="38" t="s">
        <v>483</v>
      </c>
      <c r="B16" s="38" t="s">
        <v>1085</v>
      </c>
      <c r="C16" s="38" t="s">
        <v>1091</v>
      </c>
      <c r="D16" s="38" t="s">
        <v>1092</v>
      </c>
      <c r="E16" s="38" t="s">
        <v>1093</v>
      </c>
      <c r="F16" s="38" t="s">
        <v>1102</v>
      </c>
      <c r="G16" s="38" t="s">
        <v>1101</v>
      </c>
    </row>
    <row r="17" spans="1:7" ht="47.5" thickTop="1" thickBot="1" x14ac:dyDescent="0.4">
      <c r="A17" s="38" t="s">
        <v>484</v>
      </c>
      <c r="B17" s="38" t="s">
        <v>1094</v>
      </c>
      <c r="C17" s="38" t="s">
        <v>1095</v>
      </c>
      <c r="D17" s="38" t="s">
        <v>1096</v>
      </c>
      <c r="E17" s="38" t="s">
        <v>1097</v>
      </c>
      <c r="F17" s="38" t="s">
        <v>1102</v>
      </c>
      <c r="G17" s="38" t="s">
        <v>1101</v>
      </c>
    </row>
    <row r="18" spans="1:7" ht="47.5" thickTop="1" thickBot="1" x14ac:dyDescent="0.4">
      <c r="A18" s="38" t="s">
        <v>485</v>
      </c>
      <c r="B18" s="38" t="s">
        <v>1094</v>
      </c>
      <c r="C18" s="38" t="s">
        <v>1098</v>
      </c>
      <c r="D18" s="38" t="s">
        <v>1099</v>
      </c>
      <c r="E18" s="38" t="s">
        <v>1100</v>
      </c>
      <c r="F18" s="38" t="s">
        <v>1102</v>
      </c>
      <c r="G18" s="38" t="s">
        <v>1101</v>
      </c>
    </row>
    <row r="19" spans="1:7" ht="15" thickTop="1"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C63B0-AAB8-4C03-A0B4-1FE375740FD1}">
  <dimension ref="A1:G25"/>
  <sheetViews>
    <sheetView topLeftCell="B24" workbookViewId="0">
      <selection activeCell="E19" sqref="E19:G24"/>
    </sheetView>
  </sheetViews>
  <sheetFormatPr defaultRowHeight="14.5" x14ac:dyDescent="0.35"/>
  <cols>
    <col min="1" max="1" width="13.6328125" customWidth="1"/>
    <col min="2" max="2" width="17.1796875" customWidth="1"/>
    <col min="3" max="3" width="26.36328125" customWidth="1"/>
    <col min="5" max="5" width="8.7265625" style="83"/>
    <col min="6" max="6" width="19.36328125" customWidth="1"/>
    <col min="7" max="7" width="35.453125" customWidth="1"/>
  </cols>
  <sheetData>
    <row r="1" spans="1:3" ht="22.5" customHeight="1" thickTop="1" thickBot="1" x14ac:dyDescent="0.4">
      <c r="A1" s="37" t="s">
        <v>1133</v>
      </c>
      <c r="B1" s="37" t="s">
        <v>1134</v>
      </c>
      <c r="C1" s="37" t="s">
        <v>749</v>
      </c>
    </row>
    <row r="2" spans="1:3" ht="51.5" customHeight="1" thickTop="1" thickBot="1" x14ac:dyDescent="0.4">
      <c r="A2" s="184" t="s">
        <v>1049</v>
      </c>
      <c r="B2" s="38" t="s">
        <v>1148</v>
      </c>
      <c r="C2" s="38" t="s">
        <v>1149</v>
      </c>
    </row>
    <row r="3" spans="1:3" ht="78.5" thickTop="1" thickBot="1" x14ac:dyDescent="0.4">
      <c r="A3" s="184"/>
      <c r="B3" s="38" t="s">
        <v>1135</v>
      </c>
      <c r="C3" s="38" t="s">
        <v>1150</v>
      </c>
    </row>
    <row r="4" spans="1:3" ht="63" thickTop="1" thickBot="1" x14ac:dyDescent="0.4">
      <c r="A4" s="38" t="s">
        <v>1145</v>
      </c>
      <c r="B4" s="38" t="s">
        <v>1151</v>
      </c>
      <c r="C4" s="38" t="s">
        <v>1152</v>
      </c>
    </row>
    <row r="5" spans="1:3" ht="63" thickTop="1" thickBot="1" x14ac:dyDescent="0.4">
      <c r="A5" s="184" t="s">
        <v>1146</v>
      </c>
      <c r="B5" s="38" t="s">
        <v>1144</v>
      </c>
      <c r="C5" s="38" t="s">
        <v>1153</v>
      </c>
    </row>
    <row r="6" spans="1:3" ht="63" thickTop="1" thickBot="1" x14ac:dyDescent="0.4">
      <c r="A6" s="184"/>
      <c r="B6" s="38" t="s">
        <v>1136</v>
      </c>
      <c r="C6" s="38" t="s">
        <v>1154</v>
      </c>
    </row>
    <row r="7" spans="1:3" ht="63" thickTop="1" thickBot="1" x14ac:dyDescent="0.4">
      <c r="A7" s="184"/>
      <c r="B7" s="38" t="s">
        <v>1137</v>
      </c>
      <c r="C7" s="38" t="s">
        <v>1155</v>
      </c>
    </row>
    <row r="8" spans="1:3" ht="63" thickTop="1" thickBot="1" x14ac:dyDescent="0.4">
      <c r="A8" s="184"/>
      <c r="B8" s="38" t="s">
        <v>1156</v>
      </c>
      <c r="C8" s="38" t="s">
        <v>1157</v>
      </c>
    </row>
    <row r="9" spans="1:3" ht="47.5" thickTop="1" thickBot="1" x14ac:dyDescent="0.4">
      <c r="A9" s="184"/>
      <c r="B9" s="38" t="s">
        <v>1158</v>
      </c>
      <c r="C9" s="38" t="s">
        <v>1159</v>
      </c>
    </row>
    <row r="10" spans="1:3" ht="63" thickTop="1" thickBot="1" x14ac:dyDescent="0.4">
      <c r="A10" s="184" t="s">
        <v>1075</v>
      </c>
      <c r="B10" s="38" t="s">
        <v>1138</v>
      </c>
      <c r="C10" s="38" t="s">
        <v>1160</v>
      </c>
    </row>
    <row r="11" spans="1:3" ht="63" thickTop="1" thickBot="1" x14ac:dyDescent="0.4">
      <c r="A11" s="184"/>
      <c r="B11" s="38" t="s">
        <v>1139</v>
      </c>
      <c r="C11" s="38" t="s">
        <v>1161</v>
      </c>
    </row>
    <row r="12" spans="1:3" ht="63" thickTop="1" thickBot="1" x14ac:dyDescent="0.4">
      <c r="A12" s="184" t="s">
        <v>1124</v>
      </c>
      <c r="B12" s="38" t="s">
        <v>1147</v>
      </c>
      <c r="C12" s="38" t="s">
        <v>1162</v>
      </c>
    </row>
    <row r="13" spans="1:3" ht="63" thickTop="1" thickBot="1" x14ac:dyDescent="0.4">
      <c r="A13" s="184"/>
      <c r="B13" s="38" t="s">
        <v>1140</v>
      </c>
      <c r="C13" s="38" t="s">
        <v>1163</v>
      </c>
    </row>
    <row r="14" spans="1:3" ht="47.5" thickTop="1" thickBot="1" x14ac:dyDescent="0.4">
      <c r="A14" s="184"/>
      <c r="B14" s="38" t="s">
        <v>1141</v>
      </c>
      <c r="C14" s="38" t="s">
        <v>1164</v>
      </c>
    </row>
    <row r="15" spans="1:3" ht="63" thickTop="1" thickBot="1" x14ac:dyDescent="0.4">
      <c r="A15" s="184" t="s">
        <v>1094</v>
      </c>
      <c r="B15" s="38" t="s">
        <v>1142</v>
      </c>
      <c r="C15" s="38" t="s">
        <v>1165</v>
      </c>
    </row>
    <row r="16" spans="1:3" ht="63" thickTop="1" thickBot="1" x14ac:dyDescent="0.4">
      <c r="A16" s="184"/>
      <c r="B16" s="38" t="s">
        <v>1143</v>
      </c>
      <c r="C16" s="38" t="s">
        <v>1166</v>
      </c>
    </row>
    <row r="17" spans="5:7" ht="15" thickTop="1" x14ac:dyDescent="0.35"/>
    <row r="18" spans="5:7" ht="15" thickBot="1" x14ac:dyDescent="0.4"/>
    <row r="19" spans="5:7" ht="16" thickTop="1" thickBot="1" x14ac:dyDescent="0.4">
      <c r="E19" s="37" t="s">
        <v>319</v>
      </c>
      <c r="F19" s="37" t="s">
        <v>891</v>
      </c>
      <c r="G19" s="37" t="s">
        <v>892</v>
      </c>
    </row>
    <row r="20" spans="5:7" ht="249" thickTop="1" thickBot="1" x14ac:dyDescent="0.4">
      <c r="E20" s="38" t="s">
        <v>369</v>
      </c>
      <c r="F20" s="42" t="s">
        <v>893</v>
      </c>
      <c r="G20" s="42" t="s">
        <v>1177</v>
      </c>
    </row>
    <row r="21" spans="5:7" ht="249" thickTop="1" thickBot="1" x14ac:dyDescent="0.4">
      <c r="E21" s="38" t="s">
        <v>370</v>
      </c>
      <c r="F21" s="42" t="s">
        <v>894</v>
      </c>
      <c r="G21" s="42" t="s">
        <v>1178</v>
      </c>
    </row>
    <row r="22" spans="5:7" ht="187" thickTop="1" thickBot="1" x14ac:dyDescent="0.4">
      <c r="E22" s="38" t="s">
        <v>371</v>
      </c>
      <c r="F22" s="42" t="s">
        <v>895</v>
      </c>
      <c r="G22" s="42" t="s">
        <v>1179</v>
      </c>
    </row>
    <row r="23" spans="5:7" ht="187" thickTop="1" thickBot="1" x14ac:dyDescent="0.4">
      <c r="E23" s="38" t="s">
        <v>372</v>
      </c>
      <c r="F23" s="42" t="s">
        <v>896</v>
      </c>
      <c r="G23" s="42" t="s">
        <v>1180</v>
      </c>
    </row>
    <row r="24" spans="5:7" ht="187" thickTop="1" thickBot="1" x14ac:dyDescent="0.4">
      <c r="E24" s="38" t="s">
        <v>373</v>
      </c>
      <c r="F24" s="42" t="s">
        <v>898</v>
      </c>
      <c r="G24" s="42" t="s">
        <v>1181</v>
      </c>
    </row>
    <row r="25" spans="5:7" ht="15" thickTop="1" x14ac:dyDescent="0.35"/>
  </sheetData>
  <mergeCells count="5">
    <mergeCell ref="A15:A16"/>
    <mergeCell ref="A2:A3"/>
    <mergeCell ref="A5:A9"/>
    <mergeCell ref="A10:A11"/>
    <mergeCell ref="A12:A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4897-9849-4A12-8314-FE8CF894726C}">
  <dimension ref="A1:H18"/>
  <sheetViews>
    <sheetView topLeftCell="A13" workbookViewId="0">
      <selection activeCell="A9" sqref="A9:E16"/>
    </sheetView>
  </sheetViews>
  <sheetFormatPr defaultRowHeight="14.5" x14ac:dyDescent="0.35"/>
  <cols>
    <col min="1" max="1" width="4.81640625" style="91" customWidth="1"/>
    <col min="2" max="2" width="8.453125" style="91" bestFit="1" customWidth="1"/>
    <col min="3" max="3" width="26.453125" style="91" customWidth="1"/>
    <col min="4" max="4" width="9.08984375" style="91" customWidth="1"/>
    <col min="5" max="5" width="8.7265625" style="91"/>
    <col min="6" max="7" width="10.81640625" bestFit="1" customWidth="1"/>
    <col min="8" max="8" width="10.08984375" bestFit="1" customWidth="1"/>
  </cols>
  <sheetData>
    <row r="1" spans="1:5" ht="31" thickTop="1" thickBot="1" x14ac:dyDescent="0.4">
      <c r="A1" s="37" t="s">
        <v>319</v>
      </c>
      <c r="B1" s="37" t="s">
        <v>1006</v>
      </c>
      <c r="C1" s="37" t="s">
        <v>1007</v>
      </c>
      <c r="D1" s="37" t="s">
        <v>1008</v>
      </c>
      <c r="E1" s="37" t="s">
        <v>734</v>
      </c>
    </row>
    <row r="2" spans="1:5" ht="94" thickTop="1" thickBot="1" x14ac:dyDescent="0.4">
      <c r="A2" s="38" t="s">
        <v>369</v>
      </c>
      <c r="B2" s="38" t="s">
        <v>1182</v>
      </c>
      <c r="C2" s="38" t="s">
        <v>1183</v>
      </c>
      <c r="D2" s="38">
        <v>5</v>
      </c>
      <c r="E2" s="98">
        <v>0.25</v>
      </c>
    </row>
    <row r="3" spans="1:5" ht="94" thickTop="1" thickBot="1" x14ac:dyDescent="0.4">
      <c r="A3" s="38" t="s">
        <v>370</v>
      </c>
      <c r="B3" s="38" t="s">
        <v>1184</v>
      </c>
      <c r="C3" s="38" t="s">
        <v>1185</v>
      </c>
      <c r="D3" s="38">
        <v>5</v>
      </c>
      <c r="E3" s="98">
        <v>0.25</v>
      </c>
    </row>
    <row r="4" spans="1:5" ht="94" thickTop="1" thickBot="1" x14ac:dyDescent="0.4">
      <c r="A4" s="38" t="s">
        <v>371</v>
      </c>
      <c r="B4" s="38" t="s">
        <v>1186</v>
      </c>
      <c r="C4" s="38" t="s">
        <v>1187</v>
      </c>
      <c r="D4" s="38">
        <v>5</v>
      </c>
      <c r="E4" s="98">
        <v>0.25</v>
      </c>
    </row>
    <row r="5" spans="1:5" ht="109.5" thickTop="1" thickBot="1" x14ac:dyDescent="0.4">
      <c r="A5" s="38" t="s">
        <v>372</v>
      </c>
      <c r="B5" s="38" t="s">
        <v>1189</v>
      </c>
      <c r="C5" s="38" t="s">
        <v>1188</v>
      </c>
      <c r="D5" s="38">
        <v>5</v>
      </c>
      <c r="E5" s="98">
        <v>0.25</v>
      </c>
    </row>
    <row r="6" spans="1:5" ht="16.5" thickTop="1" thickBot="1" x14ac:dyDescent="0.4">
      <c r="A6" s="132"/>
      <c r="B6" s="133"/>
      <c r="C6" s="133" t="s">
        <v>288</v>
      </c>
      <c r="D6" s="133">
        <v>20</v>
      </c>
      <c r="E6" s="140">
        <v>1</v>
      </c>
    </row>
    <row r="7" spans="1:5" ht="15" thickTop="1" x14ac:dyDescent="0.35"/>
    <row r="8" spans="1:5" ht="15" thickBot="1" x14ac:dyDescent="0.4"/>
    <row r="9" spans="1:5" ht="31" thickTop="1" thickBot="1" x14ac:dyDescent="0.4">
      <c r="A9" s="37" t="s">
        <v>319</v>
      </c>
      <c r="B9" s="37" t="s">
        <v>1006</v>
      </c>
      <c r="C9" s="37" t="s">
        <v>1007</v>
      </c>
      <c r="D9" s="37" t="s">
        <v>1008</v>
      </c>
      <c r="E9" s="37" t="s">
        <v>734</v>
      </c>
    </row>
    <row r="10" spans="1:5" ht="63" thickTop="1" thickBot="1" x14ac:dyDescent="0.4">
      <c r="A10" s="38" t="s">
        <v>369</v>
      </c>
      <c r="B10" s="38" t="s">
        <v>1190</v>
      </c>
      <c r="C10" s="38" t="s">
        <v>1191</v>
      </c>
      <c r="D10" s="38" t="s">
        <v>1019</v>
      </c>
      <c r="E10" s="98">
        <f>7/41</f>
        <v>0.17073170731707318</v>
      </c>
    </row>
    <row r="11" spans="1:5" ht="78.5" thickTop="1" thickBot="1" x14ac:dyDescent="0.4">
      <c r="A11" s="38" t="s">
        <v>370</v>
      </c>
      <c r="B11" s="38" t="s">
        <v>1192</v>
      </c>
      <c r="C11" s="38" t="s">
        <v>1193</v>
      </c>
      <c r="D11" s="38" t="s">
        <v>1019</v>
      </c>
      <c r="E11" s="98">
        <f t="shared" ref="E11:E14" si="0">7/41</f>
        <v>0.17073170731707318</v>
      </c>
    </row>
    <row r="12" spans="1:5" ht="78.5" thickTop="1" thickBot="1" x14ac:dyDescent="0.4">
      <c r="A12" s="38" t="s">
        <v>371</v>
      </c>
      <c r="B12" s="38" t="s">
        <v>1194</v>
      </c>
      <c r="C12" s="38" t="s">
        <v>1195</v>
      </c>
      <c r="D12" s="38" t="s">
        <v>1019</v>
      </c>
      <c r="E12" s="98">
        <f t="shared" si="0"/>
        <v>0.17073170731707318</v>
      </c>
    </row>
    <row r="13" spans="1:5" ht="94" thickTop="1" thickBot="1" x14ac:dyDescent="0.4">
      <c r="A13" s="38" t="s">
        <v>372</v>
      </c>
      <c r="B13" s="38" t="s">
        <v>1196</v>
      </c>
      <c r="C13" s="38" t="s">
        <v>1201</v>
      </c>
      <c r="D13" s="38" t="s">
        <v>1019</v>
      </c>
      <c r="E13" s="98">
        <f t="shared" si="0"/>
        <v>0.17073170731707318</v>
      </c>
    </row>
    <row r="14" spans="1:5" ht="94" thickTop="1" thickBot="1" x14ac:dyDescent="0.4">
      <c r="A14" s="38" t="s">
        <v>373</v>
      </c>
      <c r="B14" s="38" t="s">
        <v>1197</v>
      </c>
      <c r="C14" s="38" t="s">
        <v>1198</v>
      </c>
      <c r="D14" s="38" t="s">
        <v>1019</v>
      </c>
      <c r="E14" s="98">
        <f t="shared" si="0"/>
        <v>0.17073170731707318</v>
      </c>
    </row>
    <row r="15" spans="1:5" ht="78.5" thickTop="1" thickBot="1" x14ac:dyDescent="0.4">
      <c r="A15" s="179" t="s">
        <v>374</v>
      </c>
      <c r="B15" s="179" t="s">
        <v>1199</v>
      </c>
      <c r="C15" s="179" t="s">
        <v>1200</v>
      </c>
      <c r="D15" s="179" t="s">
        <v>1210</v>
      </c>
      <c r="E15" s="180">
        <f>6/41</f>
        <v>0.14634146341463414</v>
      </c>
    </row>
    <row r="16" spans="1:5" ht="16.5" thickTop="1" thickBot="1" x14ac:dyDescent="0.4">
      <c r="A16" s="132"/>
      <c r="B16" s="133"/>
      <c r="C16" s="133" t="s">
        <v>288</v>
      </c>
      <c r="D16" s="133" t="s">
        <v>1209</v>
      </c>
      <c r="E16" s="140">
        <f>SUM(E10:E15)</f>
        <v>1</v>
      </c>
    </row>
    <row r="17" spans="8:8" ht="15" thickTop="1" x14ac:dyDescent="0.35"/>
    <row r="18" spans="8:8" x14ac:dyDescent="0.35">
      <c r="H18" s="141"/>
    </row>
  </sheetData>
  <phoneticPr fontId="1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13C2D-765D-4534-8BAC-3530BA8600C8}">
  <dimension ref="A1"/>
  <sheetViews>
    <sheetView zoomScale="85" zoomScaleNormal="85"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Sheet1</vt:lpstr>
      <vt:lpstr>master</vt:lpstr>
      <vt:lpstr>hasil sprint 0-6</vt:lpstr>
      <vt:lpstr>Sheet3</vt:lpstr>
      <vt:lpstr>Sheet5</vt:lpstr>
      <vt:lpstr>Sheet6</vt:lpstr>
      <vt:lpstr>Sheet2</vt:lpstr>
      <vt:lpstr>Sheet4</vt:lpstr>
      <vt:lpstr>Sheet7</vt:lpstr>
      <vt:lpstr>Sheet8</vt:lpstr>
      <vt:lpstr>Sheet9</vt:lpstr>
      <vt:lpstr>Sheet11</vt:lpstr>
      <vt:lpstr>Sheet12</vt:lpstr>
      <vt:lpstr>Sheet13</vt:lpstr>
      <vt:lpstr>Sheet3!_Hlk214034626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 yatna</dc:creator>
  <cp:lastModifiedBy>pri yatna</cp:lastModifiedBy>
  <dcterms:created xsi:type="dcterms:W3CDTF">2025-11-18T05:23:43Z</dcterms:created>
  <dcterms:modified xsi:type="dcterms:W3CDTF">2025-11-28T13:19:17Z</dcterms:modified>
</cp:coreProperties>
</file>