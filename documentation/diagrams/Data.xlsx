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\Desktop\cvajat\ajatconstruction\diagrams\"/>
    </mc:Choice>
  </mc:AlternateContent>
  <xr:revisionPtr revIDLastSave="0" documentId="13_ncr:1_{15C023DD-C981-4A67-A896-FAAD2ED09594}" xr6:coauthVersionLast="47" xr6:coauthVersionMax="47" xr10:uidLastSave="{00000000-0000-0000-0000-000000000000}"/>
  <bookViews>
    <workbookView xWindow="-110" yWindow="-110" windowWidth="19420" windowHeight="11020" tabRatio="930" firstSheet="1" activeTab="7" xr2:uid="{00000000-000D-0000-FFFF-FFFF00000000}"/>
  </bookViews>
  <sheets>
    <sheet name="Rekapitulasi" sheetId="1" r:id="rId1"/>
    <sheet name="RAB" sheetId="59" r:id="rId2"/>
    <sheet name="Analisa Upah" sheetId="82" r:id="rId3"/>
    <sheet name="Harga Bahan" sheetId="83" r:id="rId4"/>
    <sheet name="Harga Alat" sheetId="71" r:id="rId5"/>
    <sheet name="Analisa " sheetId="69" r:id="rId6"/>
    <sheet name="RAP" sheetId="88" r:id="rId7"/>
    <sheet name="Analisa RAP I" sheetId="84" r:id="rId8"/>
    <sheet name="Analisa RAP II" sheetId="90" r:id="rId9"/>
    <sheet name="Analisa RAP III" sheetId="91" r:id="rId10"/>
    <sheet name="Analisa RAP IV" sheetId="92" r:id="rId11"/>
    <sheet name="Analisa RAP V" sheetId="94" r:id="rId12"/>
    <sheet name="Analisa RAP VI" sheetId="95" r:id="rId13"/>
    <sheet name="Analisa RAP VII" sheetId="96" r:id="rId14"/>
    <sheet name="Analisa RAP VIII" sheetId="97" r:id="rId15"/>
    <sheet name="Analisa RAP IX" sheetId="99" r:id="rId16"/>
    <sheet name="Analisa Upah RAP" sheetId="85" r:id="rId17"/>
    <sheet name="Harga Bahan RAP" sheetId="86" r:id="rId18"/>
    <sheet name="Harga Alat RAP" sheetId="89" r:id="rId19"/>
  </sheets>
  <externalReferences>
    <externalReference r:id="rId20"/>
    <externalReference r:id="rId21"/>
    <externalReference r:id="rId22"/>
    <externalReference r:id="rId23"/>
    <externalReference r:id="rId24"/>
  </externalReferences>
  <definedNames>
    <definedName name="__EEE07" localSheetId="2">[1]Alat!$H$20</definedName>
    <definedName name="__EEE07" localSheetId="16">[1]Alat!$H$20</definedName>
    <definedName name="__EEE07" localSheetId="3">[1]Alat!$H$20</definedName>
    <definedName name="__EEE07" localSheetId="17">[1]Alat!$H$20</definedName>
    <definedName name="__EEE07">[2]Alat!$H$20</definedName>
    <definedName name="_Fill" localSheetId="2" hidden="1">#REF!</definedName>
    <definedName name="_Fill" localSheetId="16" hidden="1">#REF!</definedName>
    <definedName name="_Fill" localSheetId="3" hidden="1">#REF!</definedName>
    <definedName name="_Fill" localSheetId="17" hidden="1">#REF!</definedName>
    <definedName name="_Fill" hidden="1">#REF!</definedName>
    <definedName name="A" localSheetId="2">#REF!</definedName>
    <definedName name="A" localSheetId="16">#REF!</definedName>
    <definedName name="A" localSheetId="3">#REF!</definedName>
    <definedName name="A" localSheetId="17">#REF!</definedName>
    <definedName name="A">#REF!</definedName>
    <definedName name="amp">'[3]B&amp;U'!$F$12</definedName>
    <definedName name="Amplas" localSheetId="2">#REF!</definedName>
    <definedName name="Amplas" localSheetId="16">#REF!</definedName>
    <definedName name="Amplas" localSheetId="3">#REF!</definedName>
    <definedName name="Amplas" localSheetId="17">#REF!</definedName>
    <definedName name="Amplas">#REF!</definedName>
    <definedName name="ATAPASBES" localSheetId="2">#REF!</definedName>
    <definedName name="ATAPASBES" localSheetId="16">#REF!</definedName>
    <definedName name="ATAPASBES" localSheetId="3">#REF!</definedName>
    <definedName name="ATAPASBES" localSheetId="17">#REF!</definedName>
    <definedName name="ATAPASBES">#REF!</definedName>
    <definedName name="azzzz" localSheetId="2">#REF!</definedName>
    <definedName name="azzzz" localSheetId="16">#REF!</definedName>
    <definedName name="azzzz" localSheetId="3">#REF!</definedName>
    <definedName name="azzzz" localSheetId="17">#REF!</definedName>
    <definedName name="azzzz">#REF!</definedName>
    <definedName name="BATUALAMTEMPEL" localSheetId="2">#REF!</definedName>
    <definedName name="BATUALAMTEMPEL" localSheetId="16">#REF!</definedName>
    <definedName name="BATUALAMTEMPEL" localSheetId="3">#REF!</definedName>
    <definedName name="BATUALAMTEMPEL" localSheetId="17">#REF!</definedName>
    <definedName name="BATUALAMTEMPEL">#REF!</definedName>
    <definedName name="BATUBELAHPUTIH" localSheetId="2">#REF!</definedName>
    <definedName name="BATUBELAHPUTIH" localSheetId="16">#REF!</definedName>
    <definedName name="BATUBELAHPUTIH" localSheetId="3">#REF!</definedName>
    <definedName name="BATUBELAHPUTIH" localSheetId="17">#REF!</definedName>
    <definedName name="BATUBELAHPUTIH">#REF!</definedName>
    <definedName name="BATUKALIBELAH" localSheetId="2">#REF!</definedName>
    <definedName name="BATUKALIBELAH" localSheetId="16">#REF!</definedName>
    <definedName name="BATUKALIBELAH" localSheetId="3">#REF!</definedName>
    <definedName name="BATUKALIBELAH" localSheetId="17">#REF!</definedName>
    <definedName name="BATUKALIBELAH">#REF!</definedName>
    <definedName name="BATUMERAH" localSheetId="2">#REF!</definedName>
    <definedName name="BATUMERAH" localSheetId="16">#REF!</definedName>
    <definedName name="BATUMERAH" localSheetId="3">#REF!</definedName>
    <definedName name="BATUMERAH" localSheetId="17">#REF!</definedName>
    <definedName name="BATUMERAH">#REF!</definedName>
    <definedName name="begistingd" localSheetId="2">#REF!</definedName>
    <definedName name="begistingd" localSheetId="16">#REF!</definedName>
    <definedName name="begistingd" localSheetId="3">#REF!</definedName>
    <definedName name="begistingd" localSheetId="17">#REF!</definedName>
    <definedName name="begistingd">#REF!</definedName>
    <definedName name="begistingt" localSheetId="2">#REF!</definedName>
    <definedName name="begistingt" localSheetId="16">#REF!</definedName>
    <definedName name="begistingt" localSheetId="3">#REF!</definedName>
    <definedName name="begistingt" localSheetId="17">#REF!</definedName>
    <definedName name="begistingt">#REF!</definedName>
    <definedName name="BesiBeton" localSheetId="2">#REF!</definedName>
    <definedName name="BesiBeton" localSheetId="16">#REF!</definedName>
    <definedName name="BesiBeton" localSheetId="3">#REF!</definedName>
    <definedName name="BesiBeton" localSheetId="17">#REF!</definedName>
    <definedName name="BesiBeton">#REF!</definedName>
    <definedName name="BesiPipa" localSheetId="2">#REF!</definedName>
    <definedName name="BesiPipa" localSheetId="16">#REF!</definedName>
    <definedName name="BesiPipa" localSheetId="3">#REF!</definedName>
    <definedName name="BesiPipa" localSheetId="17">#REF!</definedName>
    <definedName name="BesiPipa">#REF!</definedName>
    <definedName name="bjtd24" localSheetId="2">#REF!</definedName>
    <definedName name="bjtd24" localSheetId="16">#REF!</definedName>
    <definedName name="bjtd24" localSheetId="3">#REF!</definedName>
    <definedName name="bjtd24" localSheetId="17">#REF!</definedName>
    <definedName name="bjtd24">#REF!</definedName>
    <definedName name="BubunganMetal" localSheetId="2">#REF!</definedName>
    <definedName name="BubunganMetal" localSheetId="16">#REF!</definedName>
    <definedName name="BubunganMetal" localSheetId="3">#REF!</definedName>
    <definedName name="BubunganMetal" localSheetId="17">#REF!</definedName>
    <definedName name="BubunganMetal">#REF!</definedName>
    <definedName name="BuisBeton" localSheetId="2">#REF!</definedName>
    <definedName name="BuisBeton" localSheetId="16">#REF!</definedName>
    <definedName name="BuisBeton" localSheetId="3">#REF!</definedName>
    <definedName name="BuisBeton" localSheetId="17">#REF!</definedName>
    <definedName name="BuisBeton">#REF!</definedName>
    <definedName name="BuisBeton100" localSheetId="2">#REF!</definedName>
    <definedName name="BuisBeton100" localSheetId="16">#REF!</definedName>
    <definedName name="BuisBeton100" localSheetId="3">#REF!</definedName>
    <definedName name="BuisBeton100" localSheetId="17">#REF!</definedName>
    <definedName name="BuisBeton100">#REF!</definedName>
    <definedName name="BuisBeton20" localSheetId="2">#REF!</definedName>
    <definedName name="BuisBeton20" localSheetId="16">#REF!</definedName>
    <definedName name="BuisBeton20" localSheetId="3">#REF!</definedName>
    <definedName name="BuisBeton20" localSheetId="17">#REF!</definedName>
    <definedName name="BuisBeton20">#REF!</definedName>
    <definedName name="BuisBeton30" localSheetId="2">#REF!</definedName>
    <definedName name="BuisBeton30" localSheetId="16">#REF!</definedName>
    <definedName name="BuisBeton30" localSheetId="3">#REF!</definedName>
    <definedName name="BuisBeton30" localSheetId="17">#REF!</definedName>
    <definedName name="BuisBeton30">#REF!</definedName>
    <definedName name="BuisBetonStg" localSheetId="2">#REF!</definedName>
    <definedName name="BuisBetonStg" localSheetId="16">#REF!</definedName>
    <definedName name="BuisBetonStg" localSheetId="3">#REF!</definedName>
    <definedName name="BuisBetonStg" localSheetId="17">#REF!</definedName>
    <definedName name="BuisBetonStg">#REF!</definedName>
    <definedName name="BUMBUNGAN" localSheetId="2">#REF!</definedName>
    <definedName name="BUMBUNGAN" localSheetId="16">#REF!</definedName>
    <definedName name="BUMBUNGAN" localSheetId="3">#REF!</definedName>
    <definedName name="BUMBUNGAN" localSheetId="17">#REF!</definedName>
    <definedName name="BUMBUNGAN">#REF!</definedName>
    <definedName name="CatBesi" localSheetId="2">#REF!</definedName>
    <definedName name="CatBesi" localSheetId="16">#REF!</definedName>
    <definedName name="CatBesi" localSheetId="3">#REF!</definedName>
    <definedName name="CatBesi" localSheetId="17">#REF!</definedName>
    <definedName name="CatBesi">#REF!</definedName>
    <definedName name="CatKayuEMCO" localSheetId="2">#REF!</definedName>
    <definedName name="CatKayuEMCO" localSheetId="16">#REF!</definedName>
    <definedName name="CatKayuEMCO" localSheetId="3">#REF!</definedName>
    <definedName name="CatKayuEMCO" localSheetId="17">#REF!</definedName>
    <definedName name="CatKayuEMCO">#REF!</definedName>
    <definedName name="CatTembok" localSheetId="2">#REF!</definedName>
    <definedName name="CatTembok" localSheetId="16">#REF!</definedName>
    <definedName name="CatTembok" localSheetId="3">#REF!</definedName>
    <definedName name="CatTembok" localSheetId="17">#REF!</definedName>
    <definedName name="CatTembok">#REF!</definedName>
    <definedName name="Eternit" localSheetId="2">#REF!</definedName>
    <definedName name="Eternit" localSheetId="16">#REF!</definedName>
    <definedName name="Eternit" localSheetId="3">#REF!</definedName>
    <definedName name="Eternit" localSheetId="17">#REF!</definedName>
    <definedName name="Eternit">#REF!</definedName>
    <definedName name="GentengMetal" localSheetId="2">#REF!</definedName>
    <definedName name="GentengMetal" localSheetId="16">#REF!</definedName>
    <definedName name="GentengMetal" localSheetId="3">#REF!</definedName>
    <definedName name="GentengMetal" localSheetId="17">#REF!</definedName>
    <definedName name="GentengMetal">#REF!</definedName>
    <definedName name="GENTINGKEBUMEN" localSheetId="2">#REF!</definedName>
    <definedName name="GENTINGKEBUMEN" localSheetId="16">#REF!</definedName>
    <definedName name="GENTINGKEBUMEN" localSheetId="3">#REF!</definedName>
    <definedName name="GENTINGKEBUMEN" localSheetId="17">#REF!</definedName>
    <definedName name="GENTINGKEBUMEN">#REF!</definedName>
    <definedName name="HSD" localSheetId="2">#REF!</definedName>
    <definedName name="HSD" localSheetId="16">#REF!</definedName>
    <definedName name="HSD" localSheetId="3">#REF!</definedName>
    <definedName name="HSD" localSheetId="17">#REF!</definedName>
    <definedName name="HSD">#REF!</definedName>
    <definedName name="KacaBeningt" localSheetId="2">#REF!</definedName>
    <definedName name="KacaBeningt" localSheetId="16">#REF!</definedName>
    <definedName name="KacaBeningt" localSheetId="3">#REF!</definedName>
    <definedName name="KacaBeningt" localSheetId="17">#REF!</definedName>
    <definedName name="KacaBeningt">#REF!</definedName>
    <definedName name="Kapurpasang" localSheetId="2">#REF!</definedName>
    <definedName name="Kapurpasang" localSheetId="16">#REF!</definedName>
    <definedName name="Kapurpasang" localSheetId="3">#REF!</definedName>
    <definedName name="Kapurpasang" localSheetId="17">#REF!</definedName>
    <definedName name="Kapurpasang">#REF!</definedName>
    <definedName name="KawatBeton" localSheetId="2">#REF!</definedName>
    <definedName name="KawatBeton" localSheetId="16">#REF!</definedName>
    <definedName name="KawatBeton" localSheetId="3">#REF!</definedName>
    <definedName name="KawatBeton" localSheetId="17">#REF!</definedName>
    <definedName name="KawatBeton">#REF!</definedName>
    <definedName name="KayuBangkiraiBalok" localSheetId="2">#REF!</definedName>
    <definedName name="KayuBangkiraiBalok" localSheetId="16">#REF!</definedName>
    <definedName name="KayuBangkiraiBalok" localSheetId="3">#REF!</definedName>
    <definedName name="KayuBangkiraiBalok" localSheetId="17">#REF!</definedName>
    <definedName name="KayuBangkiraiBalok">#REF!</definedName>
    <definedName name="KayuBangkiraiPapan" localSheetId="2">#REF!</definedName>
    <definedName name="KayuBangkiraiPapan" localSheetId="16">#REF!</definedName>
    <definedName name="KayuBangkiraiPapan" localSheetId="3">#REF!</definedName>
    <definedName name="KayuBangkiraiPapan" localSheetId="17">#REF!</definedName>
    <definedName name="KayuBangkiraiPapan">#REF!</definedName>
    <definedName name="KayuKruingBalok" localSheetId="2">#REF!</definedName>
    <definedName name="KayuKruingBalok" localSheetId="16">#REF!</definedName>
    <definedName name="KayuKruingBalok" localSheetId="3">#REF!</definedName>
    <definedName name="KayuKruingBalok" localSheetId="17">#REF!</definedName>
    <definedName name="KayuKruingBalok">#REF!</definedName>
    <definedName name="KayuMeranti" localSheetId="2">#REF!</definedName>
    <definedName name="KayuMeranti" localSheetId="16">#REF!</definedName>
    <definedName name="KayuMeranti" localSheetId="3">#REF!</definedName>
    <definedName name="KayuMeranti" localSheetId="17">#REF!</definedName>
    <definedName name="KayuMeranti">#REF!</definedName>
    <definedName name="kep">'[3]B&amp;U'!$F$71</definedName>
    <definedName name="ker">'[3]B&amp;U'!$F$34</definedName>
    <definedName name="KERIKILPECAH" localSheetId="2">#REF!</definedName>
    <definedName name="KERIKILPECAH" localSheetId="16">#REF!</definedName>
    <definedName name="KERIKILPECAH" localSheetId="3">#REF!</definedName>
    <definedName name="KERIKILPECAH" localSheetId="17">#REF!</definedName>
    <definedName name="KERIKILPECAH">#REF!</definedName>
    <definedName name="KONVER_A" localSheetId="2">#REF!</definedName>
    <definedName name="KONVER_A" localSheetId="16">#REF!</definedName>
    <definedName name="KONVER_A" localSheetId="3">#REF!</definedName>
    <definedName name="KONVER_A" localSheetId="17">#REF!</definedName>
    <definedName name="KONVER_A">#REF!</definedName>
    <definedName name="KONVER_B" localSheetId="2">#REF!</definedName>
    <definedName name="KONVER_B" localSheetId="16">#REF!</definedName>
    <definedName name="KONVER_B" localSheetId="3">#REF!</definedName>
    <definedName name="KONVER_B" localSheetId="17">#REF!</definedName>
    <definedName name="KONVER_B">#REF!</definedName>
    <definedName name="KONVER_C" localSheetId="2">#REF!</definedName>
    <definedName name="KONVER_C" localSheetId="16">#REF!</definedName>
    <definedName name="KONVER_C" localSheetId="3">#REF!</definedName>
    <definedName name="KONVER_C" localSheetId="17">#REF!</definedName>
    <definedName name="KONVER_C">#REF!</definedName>
    <definedName name="KORAL" localSheetId="2">#REF!</definedName>
    <definedName name="KORAL" localSheetId="16">#REF!</definedName>
    <definedName name="KORAL" localSheetId="3">#REF!</definedName>
    <definedName name="KORAL" localSheetId="17">#REF!</definedName>
    <definedName name="KORAL">#REF!</definedName>
    <definedName name="krepyak" localSheetId="2">#REF!</definedName>
    <definedName name="krepyak" localSheetId="16">#REF!</definedName>
    <definedName name="krepyak" localSheetId="3">#REF!</definedName>
    <definedName name="krepyak" localSheetId="17">#REF!</definedName>
    <definedName name="krepyak">#REF!</definedName>
    <definedName name="KTBATU" localSheetId="2">#REF!</definedName>
    <definedName name="KTBATU" localSheetId="16">#REF!</definedName>
    <definedName name="KTBATU" localSheetId="3">#REF!</definedName>
    <definedName name="KTBATU" localSheetId="17">#REF!</definedName>
    <definedName name="KTBATU">#REF!</definedName>
    <definedName name="KTBESI" localSheetId="2">#REF!</definedName>
    <definedName name="KTBESI" localSheetId="16">#REF!</definedName>
    <definedName name="KTBESI" localSheetId="3">#REF!</definedName>
    <definedName name="KTBESI" localSheetId="17">#REF!</definedName>
    <definedName name="KTBESI">#REF!</definedName>
    <definedName name="KTCAT" localSheetId="2">#REF!</definedName>
    <definedName name="KTCAT" localSheetId="16">#REF!</definedName>
    <definedName name="KTCAT" localSheetId="3">#REF!</definedName>
    <definedName name="KTCAT" localSheetId="17">#REF!</definedName>
    <definedName name="KTCAT">#REF!</definedName>
    <definedName name="KTKAYU" localSheetId="2">#REF!</definedName>
    <definedName name="KTKAYU" localSheetId="16">#REF!</definedName>
    <definedName name="KTKAYU" localSheetId="3">#REF!</definedName>
    <definedName name="KTKAYU" localSheetId="17">#REF!</definedName>
    <definedName name="KTKAYU">#REF!</definedName>
    <definedName name="kusen" localSheetId="2">#REF!</definedName>
    <definedName name="kusen" localSheetId="16">#REF!</definedName>
    <definedName name="kusen" localSheetId="3">#REF!</definedName>
    <definedName name="kusen" localSheetId="17">#REF!</definedName>
    <definedName name="kusen">#REF!</definedName>
    <definedName name="LemPutih" localSheetId="2">#REF!</definedName>
    <definedName name="LemPutih" localSheetId="16">#REF!</definedName>
    <definedName name="LemPutih" localSheetId="3">#REF!</definedName>
    <definedName name="LemPutih" localSheetId="17">#REF!</definedName>
    <definedName name="LemPutih">#REF!</definedName>
    <definedName name="MANDOR" localSheetId="2">#REF!</definedName>
    <definedName name="MANDOR" localSheetId="16">#REF!</definedName>
    <definedName name="MANDOR" localSheetId="3">#REF!</definedName>
    <definedName name="MANDOR" localSheetId="17">#REF!</definedName>
    <definedName name="MANDOR">#REF!</definedName>
    <definedName name="Meni" localSheetId="2">#REF!</definedName>
    <definedName name="Meni" localSheetId="16">#REF!</definedName>
    <definedName name="Meni" localSheetId="3">#REF!</definedName>
    <definedName name="Meni" localSheetId="17">#REF!</definedName>
    <definedName name="Meni">#REF!</definedName>
    <definedName name="MinyakCat" localSheetId="2">#REF!</definedName>
    <definedName name="MinyakCat" localSheetId="16">#REF!</definedName>
    <definedName name="MinyakCat" localSheetId="3">#REF!</definedName>
    <definedName name="MinyakCat" localSheetId="17">#REF!</definedName>
    <definedName name="MinyakCat">#REF!</definedName>
    <definedName name="MP_7121" localSheetId="2">[4]D7!#REF!</definedName>
    <definedName name="MP_7121" localSheetId="16">[4]D7!#REF!</definedName>
    <definedName name="MP_7121" localSheetId="3">[4]D7!#REF!</definedName>
    <definedName name="MP_7121" localSheetId="17">[4]D7!#REF!</definedName>
    <definedName name="MP_7121">[4]D7!#REF!</definedName>
    <definedName name="MP_717" localSheetId="2">[4]D7!#REF!</definedName>
    <definedName name="MP_717" localSheetId="16">[4]D7!#REF!</definedName>
    <definedName name="MP_717" localSheetId="3">[4]D7!#REF!</definedName>
    <definedName name="MP_717" localSheetId="17">[4]D7!#REF!</definedName>
    <definedName name="MP_717">[4]D7!#REF!</definedName>
    <definedName name="PakuBesar" localSheetId="2">#REF!</definedName>
    <definedName name="PakuBesar" localSheetId="16">#REF!</definedName>
    <definedName name="PakuBesar" localSheetId="3">#REF!</definedName>
    <definedName name="PakuBesar" localSheetId="17">#REF!</definedName>
    <definedName name="PakuBesar">#REF!</definedName>
    <definedName name="Pakutriplek" localSheetId="2">#REF!</definedName>
    <definedName name="Pakutriplek" localSheetId="16">#REF!</definedName>
    <definedName name="Pakutriplek" localSheetId="3">#REF!</definedName>
    <definedName name="Pakutriplek" localSheetId="17">#REF!</definedName>
    <definedName name="Pakutriplek">#REF!</definedName>
    <definedName name="PapanBegisting" localSheetId="2">#REF!</definedName>
    <definedName name="PapanBegisting" localSheetId="16">#REF!</definedName>
    <definedName name="PapanBegisting" localSheetId="3">#REF!</definedName>
    <definedName name="PapanBegisting" localSheetId="17">#REF!</definedName>
    <definedName name="PapanBegisting">#REF!</definedName>
    <definedName name="PASIRCOR" localSheetId="2">#REF!</definedName>
    <definedName name="PASIRCOR" localSheetId="16">#REF!</definedName>
    <definedName name="PASIRCOR" localSheetId="3">#REF!</definedName>
    <definedName name="PASIRCOR" localSheetId="17">#REF!</definedName>
    <definedName name="PASIRCOR">#REF!</definedName>
    <definedName name="PASIRPASANG" localSheetId="2">#REF!</definedName>
    <definedName name="PASIRPASANG" localSheetId="16">#REF!</definedName>
    <definedName name="PASIRPASANG" localSheetId="3">#REF!</definedName>
    <definedName name="PASIRPASANG" localSheetId="17">#REF!</definedName>
    <definedName name="PASIRPASANG">#REF!</definedName>
    <definedName name="PASIRURUG" localSheetId="2">#REF!</definedName>
    <definedName name="PASIRURUG" localSheetId="16">#REF!</definedName>
    <definedName name="PASIRURUG" localSheetId="3">#REF!</definedName>
    <definedName name="PASIRURUG" localSheetId="17">#REF!</definedName>
    <definedName name="PASIRURUG">#REF!</definedName>
    <definedName name="PavingBlokTebal8" localSheetId="2">#REF!</definedName>
    <definedName name="PavingBlokTebal8" localSheetId="16">#REF!</definedName>
    <definedName name="PavingBlokTebal8" localSheetId="3">#REF!</definedName>
    <definedName name="PavingBlokTebal8" localSheetId="17">#REF!</definedName>
    <definedName name="PavingBlokTebal8">#REF!</definedName>
    <definedName name="PC" localSheetId="2">#REF!</definedName>
    <definedName name="PC" localSheetId="16">#REF!</definedName>
    <definedName name="PC" localSheetId="3">#REF!</definedName>
    <definedName name="PC" localSheetId="17">#REF!</definedName>
    <definedName name="PC">#REF!</definedName>
    <definedName name="PCWARNA" localSheetId="2">#REF!</definedName>
    <definedName name="PCWARNA" localSheetId="16">#REF!</definedName>
    <definedName name="PCWARNA" localSheetId="3">#REF!</definedName>
    <definedName name="PCWARNA" localSheetId="17">#REF!</definedName>
    <definedName name="PCWARNA">#REF!</definedName>
    <definedName name="PEK">'[3]B&amp;U'!$F$65</definedName>
    <definedName name="PEK.AMPARANBATUPECAHMESIN23T10CM" localSheetId="2">#REF!</definedName>
    <definedName name="PEK.AMPARANBATUPECAHMESIN23T10CM" localSheetId="16">#REF!</definedName>
    <definedName name="PEK.AMPARANBATUPECAHMESIN23T10CM" localSheetId="3">#REF!</definedName>
    <definedName name="PEK.AMPARANBATUPECAHMESIN23T10CM" localSheetId="17">#REF!</definedName>
    <definedName name="PEK.AMPARANBATUPECAHMESIN23T10CM">#REF!</definedName>
    <definedName name="PEK.AMPARANBATUPECAHMESIN57T10CM" localSheetId="2">#REF!</definedName>
    <definedName name="PEK.AMPARANBATUPECAHMESIN57T10CM" localSheetId="16">#REF!</definedName>
    <definedName name="PEK.AMPARANBATUPECAHMESIN57T10CM" localSheetId="3">#REF!</definedName>
    <definedName name="PEK.AMPARANBATUPECAHMESIN57T10CM" localSheetId="17">#REF!</definedName>
    <definedName name="PEK.AMPARANBATUPECAHMESIN57T10CM">#REF!</definedName>
    <definedName name="PEK.AMPARANBATUPENGISIPENUTUP12" localSheetId="2">#REF!</definedName>
    <definedName name="PEK.AMPARANBATUPENGISIPENUTUP12" localSheetId="16">#REF!</definedName>
    <definedName name="PEK.AMPARANBATUPENGISIPENUTUP12" localSheetId="3">#REF!</definedName>
    <definedName name="PEK.AMPARANBATUPENGISIPENUTUP12" localSheetId="17">#REF!</definedName>
    <definedName name="PEK.AMPARANBATUPENGISIPENUTUP12">#REF!</definedName>
    <definedName name="PEK.PENGASPALANMANUAL" localSheetId="2">#REF!</definedName>
    <definedName name="PEK.PENGASPALANMANUAL" localSheetId="16">#REF!</definedName>
    <definedName name="PEK.PENGASPALANMANUAL" localSheetId="3">#REF!</definedName>
    <definedName name="PEK.PENGASPALANMANUAL" localSheetId="17">#REF!</definedName>
    <definedName name="PEK.PENGASPALANMANUAL">#REF!</definedName>
    <definedName name="PEKERJA" localSheetId="2">#REF!</definedName>
    <definedName name="PEKERJA" localSheetId="16">#REF!</definedName>
    <definedName name="PEKERJA" localSheetId="3">#REF!</definedName>
    <definedName name="PEKERJA" localSheetId="17">#REF!</definedName>
    <definedName name="PEKERJA">#REF!</definedName>
    <definedName name="PlaamurKayu" localSheetId="2">#REF!</definedName>
    <definedName name="PlaamurKayu" localSheetId="16">#REF!</definedName>
    <definedName name="PlaamurKayu" localSheetId="3">#REF!</definedName>
    <definedName name="PlaamurKayu" localSheetId="17">#REF!</definedName>
    <definedName name="PlaamurKayu">#REF!</definedName>
    <definedName name="PlamuurKayu" localSheetId="2">#REF!</definedName>
    <definedName name="PlamuurKayu" localSheetId="16">#REF!</definedName>
    <definedName name="PlamuurKayu" localSheetId="3">#REF!</definedName>
    <definedName name="PlamuurKayu" localSheetId="17">#REF!</definedName>
    <definedName name="PlamuurKayu">#REF!</definedName>
    <definedName name="PlamuurTembok" localSheetId="2">#REF!</definedName>
    <definedName name="PlamuurTembok" localSheetId="16">#REF!</definedName>
    <definedName name="PlamuurTembok" localSheetId="3">#REF!</definedName>
    <definedName name="PlamuurTembok" localSheetId="17">#REF!</definedName>
    <definedName name="PlamuurTembok">#REF!</definedName>
    <definedName name="_xlnm.Print_Area" localSheetId="2">'Analisa Upah'!$A$1:$G$21</definedName>
    <definedName name="_xlnm.Print_Area" localSheetId="16">'Analisa Upah RAP'!$A$1:$H$24</definedName>
    <definedName name="_xlnm.Print_Area" localSheetId="4">'Harga Alat'!$A$1:$G$32</definedName>
    <definedName name="_xlnm.Print_Area" localSheetId="18">'Harga Alat RAP'!$A$1:$G$38</definedName>
    <definedName name="_xlnm.Print_Area" localSheetId="17">'Harga Bahan RAP'!$A$1:$J$142</definedName>
    <definedName name="_xlnm.Print_Area" localSheetId="0">Rekapitulasi!$A$1:$E$24</definedName>
    <definedName name="_xlnm.Print_Area">#REF!</definedName>
    <definedName name="PRINT_AREA_MI" localSheetId="2">#REF!</definedName>
    <definedName name="PRINT_AREA_MI" localSheetId="16">#REF!</definedName>
    <definedName name="PRINT_AREA_MI" localSheetId="3">#REF!</definedName>
    <definedName name="PRINT_AREA_MI" localSheetId="17">#REF!</definedName>
    <definedName name="PRINT_AREA_MI">#REF!</definedName>
    <definedName name="_xlnm.Print_Titles" localSheetId="5">'Analisa '!$8:$10</definedName>
    <definedName name="_xlnm.Print_Titles" localSheetId="7">'Analisa RAP I'!$10:$12</definedName>
    <definedName name="_xlnm.Print_Titles" localSheetId="8">'Analisa RAP II'!#REF!</definedName>
    <definedName name="_xlnm.Print_Titles" localSheetId="9">'Analisa RAP III'!#REF!</definedName>
    <definedName name="_xlnm.Print_Titles" localSheetId="10">'Analisa RAP IV'!#REF!</definedName>
    <definedName name="_xlnm.Print_Titles" localSheetId="15">'Analisa RAP IX'!#REF!</definedName>
    <definedName name="_xlnm.Print_Titles" localSheetId="11">'Analisa RAP V'!#REF!</definedName>
    <definedName name="_xlnm.Print_Titles" localSheetId="12">'Analisa RAP VI'!#REF!</definedName>
    <definedName name="_xlnm.Print_Titles" localSheetId="13">'Analisa RAP VII'!#REF!</definedName>
    <definedName name="_xlnm.Print_Titles" localSheetId="14">'Analisa RAP VIII'!#REF!</definedName>
    <definedName name="_xlnm.Print_Titles" localSheetId="3">'Harga Bahan'!$1:$4</definedName>
    <definedName name="_xlnm.Print_Titles" localSheetId="17">'Harga Bahan RAP'!$1:$4</definedName>
    <definedName name="_xlnm.Print_Titles" localSheetId="1">RAB!$1:$9</definedName>
    <definedName name="_xlnm.Print_Titles" localSheetId="6">RAP!$1:$15</definedName>
    <definedName name="RangkaBajaRingan" localSheetId="2">#REF!</definedName>
    <definedName name="RangkaBajaRingan" localSheetId="16">#REF!</definedName>
    <definedName name="RangkaBajaRingan" localSheetId="3">#REF!</definedName>
    <definedName name="RangkaBajaRingan" localSheetId="17">#REF!</definedName>
    <definedName name="RangkaBajaRingan">#REF!</definedName>
    <definedName name="RosterBata" localSheetId="2">#REF!</definedName>
    <definedName name="RosterBata" localSheetId="16">#REF!</definedName>
    <definedName name="RosterBata" localSheetId="3">#REF!</definedName>
    <definedName name="RosterBata" localSheetId="17">#REF!</definedName>
    <definedName name="RosterBata">#REF!</definedName>
    <definedName name="sca">'[3]B&amp;U'!$F$49</definedName>
    <definedName name="SEMENWARNA" localSheetId="2">#REF!</definedName>
    <definedName name="SEMENWARNA" localSheetId="16">#REF!</definedName>
    <definedName name="SEMENWARNA" localSheetId="3">#REF!</definedName>
    <definedName name="SEMENWARNA" localSheetId="17">#REF!</definedName>
    <definedName name="SEMENWARNA">#REF!</definedName>
    <definedName name="SengPelat" localSheetId="2">#REF!</definedName>
    <definedName name="SengPelat" localSheetId="16">#REF!</definedName>
    <definedName name="SengPelat" localSheetId="3">#REF!</definedName>
    <definedName name="SengPelat" localSheetId="17">#REF!</definedName>
    <definedName name="SengPelat">#REF!</definedName>
    <definedName name="Sirlak" localSheetId="2">#REF!</definedName>
    <definedName name="Sirlak" localSheetId="16">#REF!</definedName>
    <definedName name="Sirlak" localSheetId="3">#REF!</definedName>
    <definedName name="Sirlak" localSheetId="17">#REF!</definedName>
    <definedName name="Sirlak">#REF!</definedName>
    <definedName name="Spritus" localSheetId="2">#REF!</definedName>
    <definedName name="Spritus" localSheetId="16">#REF!</definedName>
    <definedName name="Spritus" localSheetId="3">#REF!</definedName>
    <definedName name="Spritus" localSheetId="17">#REF!</definedName>
    <definedName name="Spritus">#REF!</definedName>
    <definedName name="TANAHURUG" localSheetId="2">#REF!</definedName>
    <definedName name="TANAHURUG" localSheetId="16">#REF!</definedName>
    <definedName name="TANAHURUG" localSheetId="3">#REF!</definedName>
    <definedName name="TANAHURUG" localSheetId="17">#REF!</definedName>
    <definedName name="TANAHURUG">#REF!</definedName>
    <definedName name="TBATU" localSheetId="2">#REF!</definedName>
    <definedName name="TBATU" localSheetId="16">#REF!</definedName>
    <definedName name="TBATU" localSheetId="3">#REF!</definedName>
    <definedName name="TBATU" localSheetId="17">#REF!</definedName>
    <definedName name="TBATU">#REF!</definedName>
    <definedName name="TBESI" localSheetId="2">#REF!</definedName>
    <definedName name="TBESI" localSheetId="16">#REF!</definedName>
    <definedName name="TBESI" localSheetId="3">#REF!</definedName>
    <definedName name="TBESI" localSheetId="17">#REF!</definedName>
    <definedName name="TBESI">#REF!</definedName>
    <definedName name="TCAT" localSheetId="2">#REF!</definedName>
    <definedName name="TCAT" localSheetId="16">#REF!</definedName>
    <definedName name="TCAT" localSheetId="3">#REF!</definedName>
    <definedName name="TCAT" localSheetId="17">#REF!</definedName>
    <definedName name="TCAT">#REF!</definedName>
    <definedName name="Teakwood1200" localSheetId="2">#REF!</definedName>
    <definedName name="Teakwood1200" localSheetId="16">#REF!</definedName>
    <definedName name="Teakwood1200" localSheetId="3">#REF!</definedName>
    <definedName name="Teakwood1200" localSheetId="17">#REF!</definedName>
    <definedName name="Teakwood1200">#REF!</definedName>
    <definedName name="TegelKeramik20x20" localSheetId="2">#REF!</definedName>
    <definedName name="TegelKeramik20x20" localSheetId="16">#REF!</definedName>
    <definedName name="TegelKeramik20x20" localSheetId="3">#REF!</definedName>
    <definedName name="TegelKeramik20x20" localSheetId="17">#REF!</definedName>
    <definedName name="TegelKeramik20x20">#REF!</definedName>
    <definedName name="TegelKeramik20x25" localSheetId="2">#REF!</definedName>
    <definedName name="TegelKeramik20x25" localSheetId="16">#REF!</definedName>
    <definedName name="TegelKeramik20x25" localSheetId="3">#REF!</definedName>
    <definedName name="TegelKeramik20x25" localSheetId="17">#REF!</definedName>
    <definedName name="TegelKeramik20x25">#REF!</definedName>
    <definedName name="TegelKeramik30x30" localSheetId="2">#REF!</definedName>
    <definedName name="TegelKeramik30x30" localSheetId="16">#REF!</definedName>
    <definedName name="TegelKeramik30x30" localSheetId="3">#REF!</definedName>
    <definedName name="TegelKeramik30x30" localSheetId="17">#REF!</definedName>
    <definedName name="TegelKeramik30x30">#REF!</definedName>
    <definedName name="TKAYUHALUS" localSheetId="2">#REF!</definedName>
    <definedName name="TKAYUHALUS" localSheetId="16">#REF!</definedName>
    <definedName name="TKAYUHALUS" localSheetId="3">#REF!</definedName>
    <definedName name="TKAYUHALUS" localSheetId="17">#REF!</definedName>
    <definedName name="TKAYUHALUS">#REF!</definedName>
    <definedName name="TKAYUKASAR" localSheetId="2">#REF!</definedName>
    <definedName name="TKAYUKASAR" localSheetId="16">#REF!</definedName>
    <definedName name="TKAYUKASAR" localSheetId="3">#REF!</definedName>
    <definedName name="TKAYUKASAR" localSheetId="17">#REF!</definedName>
    <definedName name="TKAYUKASAR">#REF!</definedName>
    <definedName name="tuk">'[3]B&amp;U'!$F$67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84" l="1"/>
  <c r="M22" i="84"/>
  <c r="D5" i="88"/>
  <c r="AD35" i="88"/>
  <c r="AD34" i="88"/>
  <c r="E3" i="99"/>
  <c r="J67" i="88"/>
  <c r="J21" i="88"/>
  <c r="J54" i="84"/>
  <c r="L58" i="84" s="1"/>
  <c r="N85" i="88"/>
  <c r="P85" i="88"/>
  <c r="Q85" i="88"/>
  <c r="S85" i="88"/>
  <c r="T85" i="88"/>
  <c r="U85" i="88"/>
  <c r="V85" i="88"/>
  <c r="W85" i="88"/>
  <c r="X85" i="88"/>
  <c r="Y85" i="88"/>
  <c r="Z85" i="88"/>
  <c r="AA85" i="88"/>
  <c r="AB85" i="88"/>
  <c r="AC85" i="88"/>
  <c r="AD85" i="88"/>
  <c r="AE85" i="88"/>
  <c r="AF85" i="88"/>
  <c r="AG85" i="88"/>
  <c r="AH85" i="88"/>
  <c r="AI85" i="88"/>
  <c r="AJ85" i="88"/>
  <c r="AK85" i="88"/>
  <c r="AL85" i="88"/>
  <c r="AM85" i="88"/>
  <c r="AN85" i="88"/>
  <c r="AO85" i="88"/>
  <c r="AP85" i="88"/>
  <c r="AQ85" i="88"/>
  <c r="AR85" i="88"/>
  <c r="AS85" i="88"/>
  <c r="AT85" i="88"/>
  <c r="AU85" i="88"/>
  <c r="AV85" i="88"/>
  <c r="AW85" i="88"/>
  <c r="AX85" i="88"/>
  <c r="AY85" i="88"/>
  <c r="BF85" i="88"/>
  <c r="BG85" i="88"/>
  <c r="BH85" i="88"/>
  <c r="BI85" i="88"/>
  <c r="BJ85" i="88"/>
  <c r="M80" i="88"/>
  <c r="O80" i="88"/>
  <c r="P80" i="88"/>
  <c r="Q80" i="88"/>
  <c r="S80" i="88"/>
  <c r="T80" i="88"/>
  <c r="U80" i="88"/>
  <c r="V80" i="88"/>
  <c r="W80" i="88"/>
  <c r="X80" i="88"/>
  <c r="Y80" i="88"/>
  <c r="Z80" i="88"/>
  <c r="AA80" i="88"/>
  <c r="AB80" i="88"/>
  <c r="AC80" i="88"/>
  <c r="AD80" i="88"/>
  <c r="AE80" i="88"/>
  <c r="AF80" i="88"/>
  <c r="AG80" i="88"/>
  <c r="AH80" i="88"/>
  <c r="AI80" i="88"/>
  <c r="AQ80" i="88"/>
  <c r="AR80" i="88"/>
  <c r="AS80" i="88"/>
  <c r="AT80" i="88"/>
  <c r="AU80" i="88"/>
  <c r="AV80" i="88"/>
  <c r="AW80" i="88"/>
  <c r="AY80" i="88"/>
  <c r="AZ80" i="88"/>
  <c r="BA80" i="88"/>
  <c r="BB80" i="88"/>
  <c r="BC80" i="88"/>
  <c r="BD80" i="88"/>
  <c r="BE80" i="88"/>
  <c r="BF80" i="88"/>
  <c r="BG80" i="88"/>
  <c r="BH80" i="88"/>
  <c r="BJ80" i="88"/>
  <c r="M71" i="88"/>
  <c r="O71" i="88"/>
  <c r="P71" i="88"/>
  <c r="Q71" i="88"/>
  <c r="S71" i="88"/>
  <c r="T71" i="88"/>
  <c r="U71" i="88"/>
  <c r="V71" i="88"/>
  <c r="W71" i="88"/>
  <c r="Y71" i="88"/>
  <c r="Z71" i="88"/>
  <c r="AA71" i="88"/>
  <c r="AB71" i="88"/>
  <c r="AC71" i="88"/>
  <c r="AD71" i="88"/>
  <c r="AE71" i="88"/>
  <c r="AJ71" i="88"/>
  <c r="AK71" i="88"/>
  <c r="AL71" i="88"/>
  <c r="AM71" i="88"/>
  <c r="AN71" i="88"/>
  <c r="AO71" i="88"/>
  <c r="AP71" i="88"/>
  <c r="AQ71" i="88"/>
  <c r="AU71" i="88"/>
  <c r="AX71" i="88"/>
  <c r="AY71" i="88"/>
  <c r="AZ71" i="88"/>
  <c r="BA71" i="88"/>
  <c r="BB71" i="88"/>
  <c r="BC71" i="88"/>
  <c r="BD71" i="88"/>
  <c r="BE71" i="88"/>
  <c r="BF71" i="88"/>
  <c r="BG71" i="88"/>
  <c r="BH71" i="88"/>
  <c r="BI71" i="88"/>
  <c r="BJ71" i="88"/>
  <c r="N63" i="88"/>
  <c r="O63" i="88"/>
  <c r="P63" i="88"/>
  <c r="Q63" i="88"/>
  <c r="S63" i="88"/>
  <c r="T63" i="88"/>
  <c r="U63" i="88"/>
  <c r="V63" i="88"/>
  <c r="W63" i="88"/>
  <c r="X63" i="88"/>
  <c r="Y63" i="88"/>
  <c r="AA63" i="88"/>
  <c r="AB63" i="88"/>
  <c r="AD63" i="88"/>
  <c r="AE63" i="88"/>
  <c r="AF63" i="88"/>
  <c r="AG63" i="88"/>
  <c r="AH63" i="88"/>
  <c r="AI63" i="88"/>
  <c r="AJ63" i="88"/>
  <c r="AK63" i="88"/>
  <c r="AL63" i="88"/>
  <c r="AM63" i="88"/>
  <c r="AN63" i="88"/>
  <c r="AO63" i="88"/>
  <c r="AP63" i="88"/>
  <c r="AQ63" i="88"/>
  <c r="AR63" i="88"/>
  <c r="AS63" i="88"/>
  <c r="AT63" i="88"/>
  <c r="AU63" i="88"/>
  <c r="AV63" i="88"/>
  <c r="AW63" i="88"/>
  <c r="AX63" i="88"/>
  <c r="AY63" i="88"/>
  <c r="AZ63" i="88"/>
  <c r="BA63" i="88"/>
  <c r="BB63" i="88"/>
  <c r="BC63" i="88"/>
  <c r="BD63" i="88"/>
  <c r="BE63" i="88"/>
  <c r="BI63" i="88"/>
  <c r="BJ63" i="88"/>
  <c r="O59" i="88"/>
  <c r="P59" i="88"/>
  <c r="Q59" i="88"/>
  <c r="S59" i="88"/>
  <c r="T59" i="88"/>
  <c r="U59" i="88"/>
  <c r="V59" i="88"/>
  <c r="W59" i="88"/>
  <c r="X59" i="88"/>
  <c r="AA59" i="88"/>
  <c r="AB59" i="88"/>
  <c r="AD59" i="88"/>
  <c r="AE59" i="88"/>
  <c r="AF59" i="88"/>
  <c r="AG59" i="88"/>
  <c r="AH59" i="88"/>
  <c r="AI59" i="88"/>
  <c r="AJ59" i="88"/>
  <c r="AK59" i="88"/>
  <c r="AL59" i="88"/>
  <c r="AM59" i="88"/>
  <c r="AN59" i="88"/>
  <c r="AO59" i="88"/>
  <c r="AP59" i="88"/>
  <c r="AQ59" i="88"/>
  <c r="AR59" i="88"/>
  <c r="AS59" i="88"/>
  <c r="AT59" i="88"/>
  <c r="AU59" i="88"/>
  <c r="AV59" i="88"/>
  <c r="AW59" i="88"/>
  <c r="AX59" i="88"/>
  <c r="AY59" i="88"/>
  <c r="AZ59" i="88"/>
  <c r="BA59" i="88"/>
  <c r="BB59" i="88"/>
  <c r="BC59" i="88"/>
  <c r="BD59" i="88"/>
  <c r="BE59" i="88"/>
  <c r="BF59" i="88"/>
  <c r="BG59" i="88"/>
  <c r="BH59" i="88"/>
  <c r="BI59" i="88"/>
  <c r="BJ59" i="88"/>
  <c r="V54" i="88"/>
  <c r="X54" i="88"/>
  <c r="Y54" i="88"/>
  <c r="AB54" i="88"/>
  <c r="AF54" i="88"/>
  <c r="AG54" i="88"/>
  <c r="AH54" i="88"/>
  <c r="AI54" i="88"/>
  <c r="AJ54" i="88"/>
  <c r="AK54" i="88"/>
  <c r="AL54" i="88"/>
  <c r="AM54" i="88"/>
  <c r="AN54" i="88"/>
  <c r="AO54" i="88"/>
  <c r="AP54" i="88"/>
  <c r="AR54" i="88"/>
  <c r="AS54" i="88"/>
  <c r="AT54" i="88"/>
  <c r="AV54" i="88"/>
  <c r="AW54" i="88"/>
  <c r="AX54" i="88"/>
  <c r="AZ54" i="88"/>
  <c r="BA54" i="88"/>
  <c r="BB54" i="88"/>
  <c r="BC54" i="88"/>
  <c r="BD54" i="88"/>
  <c r="BE54" i="88"/>
  <c r="BF54" i="88"/>
  <c r="BG54" i="88"/>
  <c r="BH54" i="88"/>
  <c r="N32" i="88"/>
  <c r="O32" i="88"/>
  <c r="P32" i="88"/>
  <c r="Q32" i="88"/>
  <c r="S32" i="88"/>
  <c r="T32" i="88"/>
  <c r="U32" i="88"/>
  <c r="V32" i="88"/>
  <c r="W32" i="88"/>
  <c r="X32" i="88"/>
  <c r="Y32" i="88"/>
  <c r="AA32" i="88"/>
  <c r="AD32" i="88"/>
  <c r="AE32" i="88"/>
  <c r="AF32" i="88"/>
  <c r="AG32" i="88"/>
  <c r="AH32" i="88"/>
  <c r="AI32" i="88"/>
  <c r="AJ32" i="88"/>
  <c r="AK32" i="88"/>
  <c r="AL32" i="88"/>
  <c r="AM32" i="88"/>
  <c r="AN32" i="88"/>
  <c r="AO32" i="88"/>
  <c r="AP32" i="88"/>
  <c r="AQ32" i="88"/>
  <c r="AR32" i="88"/>
  <c r="AS32" i="88"/>
  <c r="AT32" i="88"/>
  <c r="AU32" i="88"/>
  <c r="AV32" i="88"/>
  <c r="AW32" i="88"/>
  <c r="AX32" i="88"/>
  <c r="AY32" i="88"/>
  <c r="AZ32" i="88"/>
  <c r="BA32" i="88"/>
  <c r="BB32" i="88"/>
  <c r="BC32" i="88"/>
  <c r="BD32" i="88"/>
  <c r="BE32" i="88"/>
  <c r="BF32" i="88"/>
  <c r="BG32" i="88"/>
  <c r="BH32" i="88"/>
  <c r="BI32" i="88"/>
  <c r="O29" i="88"/>
  <c r="P29" i="88"/>
  <c r="Q29" i="88"/>
  <c r="S29" i="88"/>
  <c r="T29" i="88"/>
  <c r="U29" i="88"/>
  <c r="V29" i="88"/>
  <c r="W29" i="88"/>
  <c r="X29" i="88"/>
  <c r="Y29" i="88"/>
  <c r="AA29" i="88"/>
  <c r="AB29" i="88"/>
  <c r="AC29" i="88"/>
  <c r="AD29" i="88"/>
  <c r="AE29" i="88"/>
  <c r="AF29" i="88"/>
  <c r="AG29" i="88"/>
  <c r="AH29" i="88"/>
  <c r="AI29" i="88"/>
  <c r="AJ29" i="88"/>
  <c r="AK29" i="88"/>
  <c r="AL29" i="88"/>
  <c r="AM29" i="88"/>
  <c r="AN29" i="88"/>
  <c r="AO29" i="88"/>
  <c r="AP29" i="88"/>
  <c r="AQ29" i="88"/>
  <c r="AR29" i="88"/>
  <c r="AS29" i="88"/>
  <c r="AT29" i="88"/>
  <c r="AU29" i="88"/>
  <c r="AV29" i="88"/>
  <c r="AW29" i="88"/>
  <c r="AX29" i="88"/>
  <c r="AY29" i="88"/>
  <c r="AZ29" i="88"/>
  <c r="BA29" i="88"/>
  <c r="BB29" i="88"/>
  <c r="BC29" i="88"/>
  <c r="BD29" i="88"/>
  <c r="BE29" i="88"/>
  <c r="BF29" i="88"/>
  <c r="BG29" i="88"/>
  <c r="BH29" i="88"/>
  <c r="BI29" i="88"/>
  <c r="N22" i="88"/>
  <c r="O22" i="88"/>
  <c r="P22" i="88"/>
  <c r="T22" i="88"/>
  <c r="U22" i="88"/>
  <c r="W22" i="88"/>
  <c r="X22" i="88"/>
  <c r="Y22" i="88"/>
  <c r="Z22" i="88"/>
  <c r="AA22" i="88"/>
  <c r="AB22" i="88"/>
  <c r="AC22" i="88"/>
  <c r="AD22" i="88"/>
  <c r="AE22" i="88"/>
  <c r="AF22" i="88"/>
  <c r="AG22" i="88"/>
  <c r="AH22" i="88"/>
  <c r="AI22" i="88"/>
  <c r="AJ22" i="88"/>
  <c r="AK22" i="88"/>
  <c r="AL22" i="88"/>
  <c r="AM22" i="88"/>
  <c r="AN22" i="88"/>
  <c r="AO22" i="88"/>
  <c r="AP22" i="88"/>
  <c r="AQ22" i="88"/>
  <c r="AR22" i="88"/>
  <c r="AS22" i="88"/>
  <c r="AT22" i="88"/>
  <c r="AU22" i="88"/>
  <c r="AV22" i="88"/>
  <c r="AW22" i="88"/>
  <c r="AX22" i="88"/>
  <c r="AZ22" i="88"/>
  <c r="BA22" i="88"/>
  <c r="BB22" i="88"/>
  <c r="BC22" i="88"/>
  <c r="BD22" i="88"/>
  <c r="BE22" i="88"/>
  <c r="BF22" i="88"/>
  <c r="BG22" i="88"/>
  <c r="BH22" i="88"/>
  <c r="BI22" i="88"/>
  <c r="BJ22" i="88"/>
  <c r="BS37" i="88"/>
  <c r="BT37" i="88" s="1"/>
  <c r="BN37" i="88"/>
  <c r="BO37" i="88" s="1"/>
  <c r="AD37" i="88"/>
  <c r="AC37" i="88"/>
  <c r="AA37" i="88"/>
  <c r="Z37" i="88"/>
  <c r="R37" i="88"/>
  <c r="M37" i="88"/>
  <c r="K37" i="88"/>
  <c r="J37" i="88"/>
  <c r="BS19" i="88"/>
  <c r="BT19" i="88" s="1"/>
  <c r="BS84" i="88"/>
  <c r="BT84" i="88" s="1"/>
  <c r="BN84" i="88"/>
  <c r="BO84" i="88" s="1"/>
  <c r="BD84" i="88"/>
  <c r="BD85" i="88" s="1"/>
  <c r="BA84" i="88"/>
  <c r="AZ84" i="88"/>
  <c r="R84" i="88"/>
  <c r="O84" i="88"/>
  <c r="K84" i="88"/>
  <c r="J84" i="88"/>
  <c r="Q74" i="99"/>
  <c r="S74" i="99" s="1"/>
  <c r="Q73" i="99"/>
  <c r="S73" i="99" s="1"/>
  <c r="Q72" i="99"/>
  <c r="S72" i="99" s="1"/>
  <c r="J66" i="99"/>
  <c r="N78" i="99" s="1"/>
  <c r="C59" i="99"/>
  <c r="T78" i="99"/>
  <c r="AI66" i="99" s="1"/>
  <c r="S76" i="99"/>
  <c r="P76" i="99"/>
  <c r="Q75" i="99"/>
  <c r="S75" i="99" s="1"/>
  <c r="P75" i="99"/>
  <c r="P74" i="99"/>
  <c r="E74" i="99"/>
  <c r="P73" i="99"/>
  <c r="E73" i="99"/>
  <c r="P72" i="99"/>
  <c r="P70" i="99"/>
  <c r="P69" i="99"/>
  <c r="P68" i="99"/>
  <c r="P67" i="99"/>
  <c r="BS83" i="88"/>
  <c r="BT83" i="88" s="1"/>
  <c r="BN83" i="88"/>
  <c r="BO83" i="88" s="1"/>
  <c r="BE83" i="88"/>
  <c r="BE85" i="88" s="1"/>
  <c r="BB83" i="88"/>
  <c r="BB85" i="88" s="1"/>
  <c r="AZ83" i="88"/>
  <c r="R83" i="88"/>
  <c r="O83" i="88"/>
  <c r="K83" i="88"/>
  <c r="J83" i="88"/>
  <c r="Q49" i="99"/>
  <c r="S49" i="99" s="1"/>
  <c r="Q50" i="99"/>
  <c r="S50" i="99" s="1"/>
  <c r="Q48" i="99"/>
  <c r="S48" i="99" s="1"/>
  <c r="E50" i="99"/>
  <c r="E49" i="99"/>
  <c r="J42" i="99"/>
  <c r="AA42" i="99" s="1"/>
  <c r="T54" i="99"/>
  <c r="AI42" i="99" s="1"/>
  <c r="S52" i="99"/>
  <c r="P52" i="99"/>
  <c r="Q51" i="99"/>
  <c r="S51" i="99" s="1"/>
  <c r="P51" i="99"/>
  <c r="P50" i="99"/>
  <c r="P49" i="99"/>
  <c r="P48" i="99"/>
  <c r="P46" i="99"/>
  <c r="P45" i="99"/>
  <c r="P44" i="99"/>
  <c r="P43" i="99"/>
  <c r="C35" i="99"/>
  <c r="BS82" i="88"/>
  <c r="BT82" i="88" s="1"/>
  <c r="BN82" i="88"/>
  <c r="BO82" i="88" s="1"/>
  <c r="BO85" i="88" s="1"/>
  <c r="BC82" i="88"/>
  <c r="BC85" i="88" s="1"/>
  <c r="BA82" i="88"/>
  <c r="BA85" i="88" s="1"/>
  <c r="AZ82" i="88"/>
  <c r="AZ85" i="88" s="1"/>
  <c r="R82" i="88"/>
  <c r="R85" i="88" s="1"/>
  <c r="O82" i="88"/>
  <c r="O85" i="88" s="1"/>
  <c r="K82" i="88"/>
  <c r="J82" i="88"/>
  <c r="Q26" i="99"/>
  <c r="S26" i="99" s="1"/>
  <c r="Q25" i="99"/>
  <c r="S25" i="99" s="1"/>
  <c r="Q24" i="99"/>
  <c r="Q22" i="99"/>
  <c r="R22" i="99" s="1"/>
  <c r="Q21" i="99"/>
  <c r="R21" i="99" s="1"/>
  <c r="Q19" i="99"/>
  <c r="R19" i="99" s="1"/>
  <c r="E26" i="99"/>
  <c r="E25" i="99"/>
  <c r="J18" i="99"/>
  <c r="AA18" i="99" s="1"/>
  <c r="T30" i="99"/>
  <c r="AI18" i="99" s="1"/>
  <c r="S28" i="99"/>
  <c r="P28" i="99"/>
  <c r="Q27" i="99"/>
  <c r="S27" i="99" s="1"/>
  <c r="P27" i="99"/>
  <c r="P26" i="99"/>
  <c r="P25" i="99"/>
  <c r="P24" i="99"/>
  <c r="P22" i="99"/>
  <c r="P21" i="99"/>
  <c r="P20" i="99"/>
  <c r="P19" i="99"/>
  <c r="C11" i="99"/>
  <c r="B3" i="99"/>
  <c r="BS78" i="88"/>
  <c r="BT78" i="88" s="1"/>
  <c r="BN78" i="88"/>
  <c r="BO78" i="88" s="1"/>
  <c r="AO78" i="88"/>
  <c r="AO80" i="88" s="1"/>
  <c r="AP78" i="88"/>
  <c r="R78" i="88"/>
  <c r="N78" i="88"/>
  <c r="K78" i="88"/>
  <c r="J78" i="88"/>
  <c r="Q163" i="97"/>
  <c r="S163" i="97" s="1"/>
  <c r="Q162" i="97"/>
  <c r="S162" i="97" s="1"/>
  <c r="J156" i="97"/>
  <c r="L160" i="97" s="1"/>
  <c r="T168" i="97"/>
  <c r="AI156" i="97" s="1"/>
  <c r="S166" i="97"/>
  <c r="P166" i="97"/>
  <c r="Q165" i="97"/>
  <c r="S165" i="97" s="1"/>
  <c r="P165" i="97"/>
  <c r="S164" i="97"/>
  <c r="P164" i="97"/>
  <c r="M164" i="97"/>
  <c r="P163" i="97"/>
  <c r="P162" i="97"/>
  <c r="P160" i="97"/>
  <c r="P159" i="97"/>
  <c r="P158" i="97"/>
  <c r="P157" i="97"/>
  <c r="C150" i="97"/>
  <c r="BS79" i="88"/>
  <c r="BT79" i="88" s="1"/>
  <c r="BN79" i="88"/>
  <c r="BO79" i="88" s="1"/>
  <c r="AP79" i="88"/>
  <c r="AN79" i="88"/>
  <c r="AN80" i="88" s="1"/>
  <c r="R79" i="88"/>
  <c r="N79" i="88"/>
  <c r="K79" i="88"/>
  <c r="J79" i="88"/>
  <c r="C127" i="97"/>
  <c r="Q139" i="97"/>
  <c r="S139" i="97" s="1"/>
  <c r="J133" i="97"/>
  <c r="M143" i="97" s="1"/>
  <c r="Q140" i="97"/>
  <c r="S140" i="97" s="1"/>
  <c r="T145" i="97"/>
  <c r="AI133" i="97" s="1"/>
  <c r="S143" i="97"/>
  <c r="P143" i="97"/>
  <c r="Q142" i="97"/>
  <c r="S142" i="97" s="1"/>
  <c r="P142" i="97"/>
  <c r="S141" i="97"/>
  <c r="P141" i="97"/>
  <c r="P140" i="97"/>
  <c r="P139" i="97"/>
  <c r="P137" i="97"/>
  <c r="P136" i="97"/>
  <c r="P135" i="97"/>
  <c r="P134" i="97"/>
  <c r="BS77" i="88"/>
  <c r="BT77" i="88" s="1"/>
  <c r="BN77" i="88"/>
  <c r="BO77" i="88" s="1"/>
  <c r="AM77" i="88"/>
  <c r="AM80" i="88" s="1"/>
  <c r="AK77" i="88"/>
  <c r="R77" i="88"/>
  <c r="N77" i="88"/>
  <c r="K77" i="88"/>
  <c r="J77" i="88"/>
  <c r="Q117" i="97"/>
  <c r="Q116" i="97"/>
  <c r="S116" i="97" s="1"/>
  <c r="E117" i="97"/>
  <c r="E116" i="97"/>
  <c r="J110" i="97"/>
  <c r="AA110" i="97" s="1"/>
  <c r="T122" i="97"/>
  <c r="AI110" i="97" s="1"/>
  <c r="S120" i="97"/>
  <c r="P120" i="97"/>
  <c r="Q119" i="97"/>
  <c r="S119" i="97" s="1"/>
  <c r="P119" i="97"/>
  <c r="S118" i="97"/>
  <c r="P118" i="97"/>
  <c r="S117" i="97"/>
  <c r="P117" i="97"/>
  <c r="P116" i="97"/>
  <c r="P114" i="97"/>
  <c r="P113" i="97"/>
  <c r="P112" i="97"/>
  <c r="P111" i="97"/>
  <c r="C104" i="97"/>
  <c r="BS76" i="88"/>
  <c r="BT76" i="88" s="1"/>
  <c r="BN76" i="88"/>
  <c r="BO76" i="88" s="1"/>
  <c r="AP76" i="88"/>
  <c r="AL76" i="88"/>
  <c r="AK76" i="88"/>
  <c r="R76" i="88"/>
  <c r="N76" i="88"/>
  <c r="K76" i="88"/>
  <c r="J76" i="88"/>
  <c r="Q92" i="97"/>
  <c r="J87" i="97"/>
  <c r="M95" i="97" s="1"/>
  <c r="C81" i="97"/>
  <c r="T99" i="97"/>
  <c r="AI87" i="97" s="1"/>
  <c r="S97" i="97"/>
  <c r="P97" i="97"/>
  <c r="Q96" i="97"/>
  <c r="S96" i="97" s="1"/>
  <c r="P96" i="97"/>
  <c r="P95" i="97"/>
  <c r="P94" i="97"/>
  <c r="E94" i="97"/>
  <c r="P93" i="97"/>
  <c r="E93" i="97"/>
  <c r="P91" i="97"/>
  <c r="P90" i="97"/>
  <c r="P89" i="97"/>
  <c r="P88" i="97"/>
  <c r="L91" i="97"/>
  <c r="BS75" i="88"/>
  <c r="BT75" i="88" s="1"/>
  <c r="BN75" i="88"/>
  <c r="BO75" i="88" s="1"/>
  <c r="AP75" i="88"/>
  <c r="AL75" i="88"/>
  <c r="AK75" i="88"/>
  <c r="AK80" i="88" s="1"/>
  <c r="R75" i="88"/>
  <c r="N75" i="88"/>
  <c r="K75" i="88"/>
  <c r="J75" i="88"/>
  <c r="J64" i="97"/>
  <c r="M74" i="97" s="1"/>
  <c r="Q72" i="97"/>
  <c r="S72" i="97" s="1"/>
  <c r="Q71" i="97"/>
  <c r="S71" i="97" s="1"/>
  <c r="Q70" i="97"/>
  <c r="Q93" i="97" s="1"/>
  <c r="S93" i="97" s="1"/>
  <c r="E71" i="97"/>
  <c r="E70" i="97"/>
  <c r="T76" i="97"/>
  <c r="AI64" i="97" s="1"/>
  <c r="S74" i="97"/>
  <c r="P74" i="97"/>
  <c r="Q73" i="97"/>
  <c r="S73" i="97" s="1"/>
  <c r="P73" i="97"/>
  <c r="P72" i="97"/>
  <c r="P71" i="97"/>
  <c r="P70" i="97"/>
  <c r="P68" i="97"/>
  <c r="P67" i="97"/>
  <c r="P66" i="97"/>
  <c r="P65" i="97"/>
  <c r="C58" i="97"/>
  <c r="BS74" i="88"/>
  <c r="BT74" i="88" s="1"/>
  <c r="BN74" i="88"/>
  <c r="BO74" i="88" s="1"/>
  <c r="AX74" i="88"/>
  <c r="AP74" i="88"/>
  <c r="AJ74" i="88"/>
  <c r="R74" i="88"/>
  <c r="N74" i="88"/>
  <c r="K74" i="88"/>
  <c r="J74" i="88"/>
  <c r="Q46" i="97"/>
  <c r="J41" i="97"/>
  <c r="N53" i="97" s="1"/>
  <c r="C35" i="97"/>
  <c r="T53" i="97"/>
  <c r="AI41" i="97" s="1"/>
  <c r="S51" i="97"/>
  <c r="P51" i="97"/>
  <c r="Q50" i="97"/>
  <c r="S50" i="97" s="1"/>
  <c r="P50" i="97"/>
  <c r="P49" i="97"/>
  <c r="P48" i="97"/>
  <c r="P47" i="97"/>
  <c r="E47" i="97"/>
  <c r="P45" i="97"/>
  <c r="P44" i="97"/>
  <c r="P43" i="97"/>
  <c r="P42" i="97"/>
  <c r="BS73" i="88"/>
  <c r="BT73" i="88" s="1"/>
  <c r="BN73" i="88"/>
  <c r="BO73" i="88" s="1"/>
  <c r="AX73" i="88"/>
  <c r="AX80" i="88" s="1"/>
  <c r="AP73" i="88"/>
  <c r="AJ73" i="88"/>
  <c r="R73" i="88"/>
  <c r="N73" i="88"/>
  <c r="K73" i="88"/>
  <c r="J73" i="88"/>
  <c r="Q26" i="97"/>
  <c r="S26" i="97" s="1"/>
  <c r="Q25" i="97"/>
  <c r="S25" i="97" s="1"/>
  <c r="Q24" i="97"/>
  <c r="S24" i="97" s="1"/>
  <c r="Q22" i="97"/>
  <c r="R22" i="97" s="1"/>
  <c r="Q21" i="97"/>
  <c r="R21" i="97" s="1"/>
  <c r="Q19" i="97"/>
  <c r="R19" i="97" s="1"/>
  <c r="E24" i="97"/>
  <c r="J18" i="97"/>
  <c r="L21" i="97" s="1"/>
  <c r="T30" i="97"/>
  <c r="AI18" i="97" s="1"/>
  <c r="S28" i="97"/>
  <c r="P28" i="97"/>
  <c r="Q27" i="97"/>
  <c r="S27" i="97" s="1"/>
  <c r="P27" i="97"/>
  <c r="P26" i="97"/>
  <c r="P25" i="97"/>
  <c r="P24" i="97"/>
  <c r="P22" i="97"/>
  <c r="P21" i="97"/>
  <c r="P20" i="97"/>
  <c r="P19" i="97"/>
  <c r="C12" i="97"/>
  <c r="E3" i="97"/>
  <c r="B3" i="97"/>
  <c r="BS70" i="88"/>
  <c r="BT70" i="88" s="1"/>
  <c r="BN70" i="88"/>
  <c r="BO70" i="88" s="1"/>
  <c r="X70" i="88"/>
  <c r="X71" i="88" s="1"/>
  <c r="AW70" i="88"/>
  <c r="R70" i="88"/>
  <c r="L70" i="88"/>
  <c r="K70" i="88"/>
  <c r="J70" i="88"/>
  <c r="Q140" i="96"/>
  <c r="S140" i="96" s="1"/>
  <c r="Q141" i="96"/>
  <c r="S141" i="96" s="1"/>
  <c r="Q138" i="96"/>
  <c r="R138" i="96" s="1"/>
  <c r="Q137" i="96"/>
  <c r="R137" i="96" s="1"/>
  <c r="Q136" i="96"/>
  <c r="R136" i="96" s="1"/>
  <c r="Q135" i="96"/>
  <c r="R135" i="96" s="1"/>
  <c r="J134" i="96"/>
  <c r="M140" i="96" s="1"/>
  <c r="T146" i="96"/>
  <c r="AI134" i="96" s="1"/>
  <c r="S144" i="96"/>
  <c r="P144" i="96"/>
  <c r="Q143" i="96"/>
  <c r="S143" i="96" s="1"/>
  <c r="P143" i="96"/>
  <c r="S142" i="96"/>
  <c r="P142" i="96"/>
  <c r="P141" i="96"/>
  <c r="P140" i="96"/>
  <c r="P138" i="96"/>
  <c r="P137" i="96"/>
  <c r="P136" i="96"/>
  <c r="P135" i="96"/>
  <c r="C127" i="96"/>
  <c r="BS69" i="88"/>
  <c r="BT69" i="88" s="1"/>
  <c r="BN69" i="88"/>
  <c r="BO69" i="88" s="1"/>
  <c r="AG69" i="88"/>
  <c r="AG71" i="88" s="1"/>
  <c r="AF69" i="88"/>
  <c r="AF71" i="88" s="1"/>
  <c r="AW69" i="88"/>
  <c r="AW71" i="88" s="1"/>
  <c r="R69" i="88"/>
  <c r="N69" i="88"/>
  <c r="K69" i="88"/>
  <c r="J69" i="88"/>
  <c r="Q119" i="96"/>
  <c r="Q118" i="96"/>
  <c r="S118" i="96" s="1"/>
  <c r="Q116" i="96"/>
  <c r="S116" i="96" s="1"/>
  <c r="H53" i="86"/>
  <c r="E53" i="86"/>
  <c r="E118" i="96"/>
  <c r="E116" i="96"/>
  <c r="J110" i="96"/>
  <c r="M120" i="96" s="1"/>
  <c r="T122" i="96"/>
  <c r="S120" i="96"/>
  <c r="P120" i="96"/>
  <c r="P119" i="96"/>
  <c r="P118" i="96"/>
  <c r="S117" i="96"/>
  <c r="P117" i="96"/>
  <c r="P116" i="96"/>
  <c r="P114" i="96"/>
  <c r="P113" i="96"/>
  <c r="P112" i="96"/>
  <c r="P111" i="96"/>
  <c r="AI110" i="96"/>
  <c r="C104" i="96"/>
  <c r="BS68" i="88"/>
  <c r="BT68" i="88" s="1"/>
  <c r="BN68" i="88"/>
  <c r="BO68" i="88" s="1"/>
  <c r="AV68" i="88"/>
  <c r="AT68" i="88"/>
  <c r="AT71" i="88" s="1"/>
  <c r="R68" i="88"/>
  <c r="N68" i="88"/>
  <c r="K68" i="88"/>
  <c r="J68" i="88"/>
  <c r="Q94" i="96"/>
  <c r="S94" i="96" s="1"/>
  <c r="Q93" i="96"/>
  <c r="S93" i="96" s="1"/>
  <c r="J87" i="96"/>
  <c r="M97" i="96" s="1"/>
  <c r="T99" i="96"/>
  <c r="AI87" i="96" s="1"/>
  <c r="S97" i="96"/>
  <c r="P97" i="96"/>
  <c r="S96" i="96"/>
  <c r="P96" i="96"/>
  <c r="S95" i="96"/>
  <c r="P95" i="96"/>
  <c r="P94" i="96"/>
  <c r="P93" i="96"/>
  <c r="P91" i="96"/>
  <c r="P90" i="96"/>
  <c r="P89" i="96"/>
  <c r="P88" i="96"/>
  <c r="C81" i="96"/>
  <c r="BS67" i="88"/>
  <c r="BT67" i="88" s="1"/>
  <c r="BN67" i="88"/>
  <c r="BO67" i="88" s="1"/>
  <c r="AV67" i="88"/>
  <c r="AS67" i="88"/>
  <c r="AS71" i="88" s="1"/>
  <c r="R67" i="88"/>
  <c r="N67" i="88"/>
  <c r="K67" i="88"/>
  <c r="Q71" i="96"/>
  <c r="S71" i="96" s="1"/>
  <c r="Q70" i="96"/>
  <c r="S70" i="96" s="1"/>
  <c r="Q68" i="96"/>
  <c r="R68" i="96" s="1"/>
  <c r="Q67" i="96"/>
  <c r="R67" i="96" s="1"/>
  <c r="Q65" i="96"/>
  <c r="R65" i="96" s="1"/>
  <c r="J64" i="96"/>
  <c r="AA64" i="96" s="1"/>
  <c r="T76" i="96"/>
  <c r="AI64" i="96" s="1"/>
  <c r="S74" i="96"/>
  <c r="P74" i="96"/>
  <c r="S73" i="96"/>
  <c r="P73" i="96"/>
  <c r="S72" i="96"/>
  <c r="P72" i="96"/>
  <c r="P71" i="96"/>
  <c r="P70" i="96"/>
  <c r="P68" i="96"/>
  <c r="P67" i="96"/>
  <c r="P66" i="96"/>
  <c r="P65" i="96"/>
  <c r="C58" i="96"/>
  <c r="BS65" i="88"/>
  <c r="BT65" i="88" s="1"/>
  <c r="BN65" i="88"/>
  <c r="BO65" i="88" s="1"/>
  <c r="AI65" i="88"/>
  <c r="AI71" i="88" s="1"/>
  <c r="R65" i="88"/>
  <c r="N65" i="88"/>
  <c r="K65" i="88"/>
  <c r="J65" i="88"/>
  <c r="Q47" i="96"/>
  <c r="S47" i="96" s="1"/>
  <c r="Q45" i="96"/>
  <c r="R45" i="96" s="1"/>
  <c r="Q44" i="96"/>
  <c r="R44" i="96" s="1"/>
  <c r="Q42" i="96"/>
  <c r="R42" i="96" s="1"/>
  <c r="J41" i="96"/>
  <c r="M51" i="96" s="1"/>
  <c r="T53" i="96"/>
  <c r="AI41" i="96" s="1"/>
  <c r="S51" i="96"/>
  <c r="P51" i="96"/>
  <c r="S50" i="96"/>
  <c r="P50" i="96"/>
  <c r="S49" i="96"/>
  <c r="P49" i="96"/>
  <c r="S48" i="96"/>
  <c r="P48" i="96"/>
  <c r="P47" i="96"/>
  <c r="P45" i="96"/>
  <c r="P44" i="96"/>
  <c r="P43" i="96"/>
  <c r="P42" i="96"/>
  <c r="C35" i="96"/>
  <c r="BS66" i="88"/>
  <c r="BT66" i="88" s="1"/>
  <c r="BN66" i="88"/>
  <c r="BO66" i="88" s="1"/>
  <c r="AR66" i="88"/>
  <c r="AR71" i="88" s="1"/>
  <c r="AH66" i="88"/>
  <c r="AH71" i="88" s="1"/>
  <c r="R66" i="88"/>
  <c r="N66" i="88"/>
  <c r="K66" i="88"/>
  <c r="J66" i="88"/>
  <c r="J18" i="96"/>
  <c r="M27" i="96" s="1"/>
  <c r="Q25" i="96"/>
  <c r="S25" i="96" s="1"/>
  <c r="Q24" i="96"/>
  <c r="S24" i="96" s="1"/>
  <c r="Q22" i="96"/>
  <c r="R22" i="96" s="1"/>
  <c r="Q21" i="96"/>
  <c r="R21" i="96" s="1"/>
  <c r="Q19" i="96"/>
  <c r="R19" i="96" s="1"/>
  <c r="T30" i="96"/>
  <c r="AI18" i="96" s="1"/>
  <c r="S28" i="96"/>
  <c r="P28" i="96"/>
  <c r="S27" i="96"/>
  <c r="P27" i="96"/>
  <c r="S26" i="96"/>
  <c r="P26" i="96"/>
  <c r="P25" i="96"/>
  <c r="P24" i="96"/>
  <c r="P22" i="96"/>
  <c r="P21" i="96"/>
  <c r="P20" i="96"/>
  <c r="P19" i="96"/>
  <c r="C12" i="96"/>
  <c r="E3" i="96"/>
  <c r="G55" i="96"/>
  <c r="G78" i="96" s="1"/>
  <c r="G101" i="96" s="1"/>
  <c r="B3" i="96"/>
  <c r="BS62" i="88"/>
  <c r="BT62" i="88" s="1"/>
  <c r="BN62" i="88"/>
  <c r="BO62" i="88" s="1"/>
  <c r="BG62" i="88"/>
  <c r="BG63" i="88" s="1"/>
  <c r="BF62" i="88"/>
  <c r="AC62" i="88"/>
  <c r="Z62" i="88"/>
  <c r="R62" i="88"/>
  <c r="M62" i="88"/>
  <c r="K62" i="88"/>
  <c r="J62" i="88"/>
  <c r="Q48" i="95"/>
  <c r="S48" i="95" s="1"/>
  <c r="Q50" i="95"/>
  <c r="S50" i="95" s="1"/>
  <c r="Q49" i="95"/>
  <c r="S49" i="95" s="1"/>
  <c r="Q47" i="95"/>
  <c r="S47" i="95" s="1"/>
  <c r="E48" i="95"/>
  <c r="J41" i="95"/>
  <c r="AA41" i="95" s="1"/>
  <c r="T53" i="95"/>
  <c r="AI41" i="95" s="1"/>
  <c r="S51" i="95"/>
  <c r="P51" i="95"/>
  <c r="P50" i="95"/>
  <c r="P49" i="95"/>
  <c r="P48" i="95"/>
  <c r="P47" i="95"/>
  <c r="P45" i="95"/>
  <c r="P44" i="95"/>
  <c r="P43" i="95"/>
  <c r="P42" i="95"/>
  <c r="C35" i="95"/>
  <c r="BS61" i="88"/>
  <c r="BT61" i="88" s="1"/>
  <c r="BN61" i="88"/>
  <c r="BO61" i="88" s="1"/>
  <c r="Z61" i="88"/>
  <c r="AC61" i="88"/>
  <c r="AC63" i="88" s="1"/>
  <c r="BH61" i="88"/>
  <c r="BH63" i="88" s="1"/>
  <c r="BF61" i="88"/>
  <c r="R61" i="88"/>
  <c r="M61" i="88"/>
  <c r="M63" i="88" s="1"/>
  <c r="K61" i="88"/>
  <c r="J61" i="88"/>
  <c r="Q27" i="95"/>
  <c r="S27" i="95" s="1"/>
  <c r="Q26" i="95"/>
  <c r="S26" i="95" s="1"/>
  <c r="Q25" i="95"/>
  <c r="S25" i="95" s="1"/>
  <c r="Q24" i="95"/>
  <c r="S24" i="95" s="1"/>
  <c r="Q22" i="95"/>
  <c r="R22" i="95" s="1"/>
  <c r="Q21" i="95"/>
  <c r="R21" i="95" s="1"/>
  <c r="Q19" i="95"/>
  <c r="R19" i="95" s="1"/>
  <c r="E25" i="95"/>
  <c r="J18" i="95"/>
  <c r="M28" i="95" s="1"/>
  <c r="T30" i="95"/>
  <c r="S28" i="95"/>
  <c r="P28" i="95"/>
  <c r="P27" i="95"/>
  <c r="P26" i="95"/>
  <c r="P25" i="95"/>
  <c r="P24" i="95"/>
  <c r="P22" i="95"/>
  <c r="P21" i="95"/>
  <c r="P20" i="95"/>
  <c r="P19" i="95"/>
  <c r="AI18" i="95"/>
  <c r="C12" i="95"/>
  <c r="E3" i="95"/>
  <c r="B3" i="95"/>
  <c r="BS58" i="88"/>
  <c r="BT58" i="88" s="1"/>
  <c r="BN58" i="88"/>
  <c r="BO58" i="88" s="1"/>
  <c r="AC58" i="88"/>
  <c r="R58" i="88"/>
  <c r="M58" i="88"/>
  <c r="K58" i="88"/>
  <c r="J58" i="88"/>
  <c r="Q71" i="94"/>
  <c r="Q69" i="94"/>
  <c r="R69" i="94" s="1"/>
  <c r="Q68" i="94"/>
  <c r="R68" i="94" s="1"/>
  <c r="Q66" i="94"/>
  <c r="E71" i="94"/>
  <c r="J65" i="94"/>
  <c r="M75" i="94" s="1"/>
  <c r="T77" i="94"/>
  <c r="AI65" i="94" s="1"/>
  <c r="S75" i="94"/>
  <c r="P75" i="94"/>
  <c r="S74" i="94"/>
  <c r="P74" i="94"/>
  <c r="S73" i="94"/>
  <c r="P73" i="94"/>
  <c r="S72" i="94"/>
  <c r="P72" i="94"/>
  <c r="S71" i="94"/>
  <c r="P71" i="94"/>
  <c r="P69" i="94"/>
  <c r="P68" i="94"/>
  <c r="P67" i="94"/>
  <c r="R66" i="94"/>
  <c r="P66" i="94"/>
  <c r="C59" i="94"/>
  <c r="BS57" i="88"/>
  <c r="BT57" i="88" s="1"/>
  <c r="BN57" i="88"/>
  <c r="BO57" i="88" s="1"/>
  <c r="Z57" i="88"/>
  <c r="AC57" i="88"/>
  <c r="R57" i="88"/>
  <c r="M57" i="88"/>
  <c r="K57" i="88"/>
  <c r="J57" i="88"/>
  <c r="Q49" i="94"/>
  <c r="S49" i="94" s="1"/>
  <c r="Q48" i="94"/>
  <c r="S48" i="94" s="1"/>
  <c r="Q46" i="94"/>
  <c r="R46" i="94" s="1"/>
  <c r="Q45" i="94"/>
  <c r="Q43" i="94"/>
  <c r="R43" i="94" s="1"/>
  <c r="E48" i="94"/>
  <c r="J42" i="94"/>
  <c r="M50" i="94" s="1"/>
  <c r="T54" i="94"/>
  <c r="AI42" i="94" s="1"/>
  <c r="S52" i="94"/>
  <c r="P52" i="94"/>
  <c r="S51" i="94"/>
  <c r="P51" i="94"/>
  <c r="S50" i="94"/>
  <c r="P50" i="94"/>
  <c r="P49" i="94"/>
  <c r="P48" i="94"/>
  <c r="P46" i="94"/>
  <c r="R45" i="94"/>
  <c r="P45" i="94"/>
  <c r="P44" i="94"/>
  <c r="P43" i="94"/>
  <c r="C36" i="94"/>
  <c r="BS56" i="88"/>
  <c r="BT56" i="88" s="1"/>
  <c r="BN56" i="88"/>
  <c r="BO56" i="88" s="1"/>
  <c r="Z56" i="88"/>
  <c r="AC56" i="88"/>
  <c r="AC59" i="88" s="1"/>
  <c r="Y56" i="88"/>
  <c r="Y59" i="88" s="1"/>
  <c r="R56" i="88"/>
  <c r="R59" i="88" s="1"/>
  <c r="M56" i="88"/>
  <c r="K56" i="88"/>
  <c r="J56" i="88"/>
  <c r="Q27" i="94"/>
  <c r="S27" i="94" s="1"/>
  <c r="Q26" i="94"/>
  <c r="S26" i="94" s="1"/>
  <c r="Q25" i="94"/>
  <c r="S25" i="94" s="1"/>
  <c r="Q23" i="94"/>
  <c r="R23" i="94" s="1"/>
  <c r="Q22" i="94"/>
  <c r="R22" i="94" s="1"/>
  <c r="Q20" i="94"/>
  <c r="R20" i="94" s="1"/>
  <c r="E26" i="94"/>
  <c r="J19" i="94"/>
  <c r="L22" i="94" s="1"/>
  <c r="T31" i="94"/>
  <c r="AI19" i="94" s="1"/>
  <c r="S29" i="94"/>
  <c r="P29" i="94"/>
  <c r="S28" i="94"/>
  <c r="P28" i="94"/>
  <c r="P27" i="94"/>
  <c r="P26" i="94"/>
  <c r="P25" i="94"/>
  <c r="P23" i="94"/>
  <c r="P22" i="94"/>
  <c r="P21" i="94"/>
  <c r="P20" i="94"/>
  <c r="C12" i="94"/>
  <c r="E3" i="94"/>
  <c r="B3" i="94"/>
  <c r="BS53" i="88"/>
  <c r="BT53" i="88" s="1"/>
  <c r="BN53" i="88"/>
  <c r="BO53" i="88" s="1"/>
  <c r="AA53" i="88"/>
  <c r="Z53" i="88"/>
  <c r="AC53" i="88"/>
  <c r="AQ53" i="88"/>
  <c r="AE53" i="88"/>
  <c r="AY53" i="88"/>
  <c r="R53" i="88"/>
  <c r="N53" i="88"/>
  <c r="M53" i="88"/>
  <c r="L53" i="88"/>
  <c r="K53" i="88"/>
  <c r="J53" i="88"/>
  <c r="Q369" i="92"/>
  <c r="Q363" i="92"/>
  <c r="R363" i="92" s="1"/>
  <c r="E374" i="92"/>
  <c r="J362" i="92"/>
  <c r="AA362" i="92" s="1"/>
  <c r="P376" i="92"/>
  <c r="P375" i="92"/>
  <c r="P374" i="92"/>
  <c r="P373" i="92"/>
  <c r="P372" i="92"/>
  <c r="P371" i="92"/>
  <c r="P370" i="92"/>
  <c r="P368" i="92"/>
  <c r="P367" i="92"/>
  <c r="P366" i="92"/>
  <c r="P365" i="92"/>
  <c r="P364" i="92"/>
  <c r="P363" i="92"/>
  <c r="BS52" i="88"/>
  <c r="BT52" i="88" s="1"/>
  <c r="BN52" i="88"/>
  <c r="BO52" i="88" s="1"/>
  <c r="AA52" i="88"/>
  <c r="Z52" i="88"/>
  <c r="AC52" i="88"/>
  <c r="AQ52" i="88"/>
  <c r="AE52" i="88"/>
  <c r="AY52" i="88"/>
  <c r="R52" i="88"/>
  <c r="N52" i="88"/>
  <c r="L52" i="88"/>
  <c r="M52" i="88"/>
  <c r="K52" i="88"/>
  <c r="J52" i="88"/>
  <c r="E347" i="92"/>
  <c r="Q349" i="92"/>
  <c r="S349" i="92" s="1"/>
  <c r="Q348" i="92"/>
  <c r="S348" i="92" s="1"/>
  <c r="Q347" i="92"/>
  <c r="S347" i="92" s="1"/>
  <c r="Q346" i="92"/>
  <c r="S346" i="92" s="1"/>
  <c r="Q345" i="92"/>
  <c r="S345" i="92" s="1"/>
  <c r="Q344" i="92"/>
  <c r="Q371" i="92" s="1"/>
  <c r="S371" i="92" s="1"/>
  <c r="Q343" i="92"/>
  <c r="S343" i="92" s="1"/>
  <c r="Q341" i="92"/>
  <c r="R341" i="92" s="1"/>
  <c r="Q340" i="92"/>
  <c r="R340" i="92" s="1"/>
  <c r="Q338" i="92"/>
  <c r="R338" i="92" s="1"/>
  <c r="Q336" i="92"/>
  <c r="R336" i="92" s="1"/>
  <c r="P349" i="92"/>
  <c r="P337" i="92"/>
  <c r="P338" i="92"/>
  <c r="P339" i="92"/>
  <c r="P340" i="92"/>
  <c r="P341" i="92"/>
  <c r="J335" i="92"/>
  <c r="L338" i="92" s="1"/>
  <c r="P348" i="92"/>
  <c r="P347" i="92"/>
  <c r="P346" i="92"/>
  <c r="P345" i="92"/>
  <c r="P344" i="92"/>
  <c r="P343" i="92"/>
  <c r="P336" i="92"/>
  <c r="BS51" i="88"/>
  <c r="BT51" i="88" s="1"/>
  <c r="BN51" i="88"/>
  <c r="BO51" i="88" s="1"/>
  <c r="W51" i="88"/>
  <c r="U51" i="88"/>
  <c r="T51" i="88"/>
  <c r="AU51" i="88"/>
  <c r="AY51" i="88"/>
  <c r="S51" i="88"/>
  <c r="R51" i="88"/>
  <c r="L51" i="88"/>
  <c r="K51" i="88"/>
  <c r="J51" i="88"/>
  <c r="Q316" i="92"/>
  <c r="J311" i="92"/>
  <c r="P322" i="92"/>
  <c r="P321" i="92"/>
  <c r="P320" i="92"/>
  <c r="P319" i="92"/>
  <c r="P318" i="92"/>
  <c r="P317" i="92"/>
  <c r="P315" i="92"/>
  <c r="P314" i="92"/>
  <c r="P313" i="92"/>
  <c r="P312" i="92"/>
  <c r="J287" i="92"/>
  <c r="L288" i="92" s="1"/>
  <c r="P288" i="92"/>
  <c r="P289" i="92"/>
  <c r="P290" i="92"/>
  <c r="P291" i="92"/>
  <c r="P293" i="92"/>
  <c r="Q293" i="92"/>
  <c r="S293" i="92" s="1"/>
  <c r="P294" i="92"/>
  <c r="Q294" i="92"/>
  <c r="S294" i="92" s="1"/>
  <c r="P295" i="92"/>
  <c r="Q295" i="92"/>
  <c r="S295" i="92" s="1"/>
  <c r="P296" i="92"/>
  <c r="Q296" i="92"/>
  <c r="S296" i="92" s="1"/>
  <c r="P297" i="92"/>
  <c r="Q297" i="92"/>
  <c r="S297" i="92" s="1"/>
  <c r="P298" i="92"/>
  <c r="Q298" i="92"/>
  <c r="S298" i="92" s="1"/>
  <c r="BS43" i="88"/>
  <c r="BT43" i="88" s="1"/>
  <c r="BN43" i="88"/>
  <c r="BO43" i="88" s="1"/>
  <c r="AY43" i="88"/>
  <c r="AU43" i="88"/>
  <c r="S43" i="88"/>
  <c r="R43" i="88"/>
  <c r="N43" i="88"/>
  <c r="K43" i="88"/>
  <c r="J43" i="88"/>
  <c r="Q274" i="92"/>
  <c r="S274" i="92" s="1"/>
  <c r="Q275" i="92"/>
  <c r="J265" i="92"/>
  <c r="P274" i="92"/>
  <c r="P273" i="92"/>
  <c r="P272" i="92"/>
  <c r="P271" i="92"/>
  <c r="P269" i="92"/>
  <c r="P268" i="92"/>
  <c r="P267" i="92"/>
  <c r="P266" i="92"/>
  <c r="BS39" i="88"/>
  <c r="BT39" i="88" s="1"/>
  <c r="BN39" i="88"/>
  <c r="BO39" i="88" s="1"/>
  <c r="AU39" i="88"/>
  <c r="AY39" i="88"/>
  <c r="S39" i="88"/>
  <c r="R39" i="88"/>
  <c r="L39" i="88"/>
  <c r="K39" i="88"/>
  <c r="J39" i="88"/>
  <c r="Q251" i="92"/>
  <c r="S251" i="92" s="1"/>
  <c r="Q250" i="92"/>
  <c r="S250" i="92" s="1"/>
  <c r="Q249" i="92"/>
  <c r="S249" i="92" s="1"/>
  <c r="Q247" i="92"/>
  <c r="Q269" i="92" s="1"/>
  <c r="R269" i="92" s="1"/>
  <c r="Q246" i="92"/>
  <c r="R246" i="92" s="1"/>
  <c r="Q245" i="92"/>
  <c r="R245" i="92" s="1"/>
  <c r="Q244" i="92"/>
  <c r="R244" i="92" s="1"/>
  <c r="J243" i="92"/>
  <c r="M249" i="92" s="1"/>
  <c r="Q254" i="92"/>
  <c r="T254" i="92" s="1"/>
  <c r="AI243" i="92" s="1"/>
  <c r="S252" i="92"/>
  <c r="P252" i="92"/>
  <c r="P251" i="92"/>
  <c r="P250" i="92"/>
  <c r="P249" i="92"/>
  <c r="P247" i="92"/>
  <c r="P246" i="92"/>
  <c r="P245" i="92"/>
  <c r="P244" i="92"/>
  <c r="BS38" i="88"/>
  <c r="BT38" i="88" s="1"/>
  <c r="BN38" i="88"/>
  <c r="BO38" i="88" s="1"/>
  <c r="AQ38" i="88"/>
  <c r="AE38" i="88"/>
  <c r="R38" i="88"/>
  <c r="N38" i="88"/>
  <c r="K38" i="88"/>
  <c r="J38" i="88"/>
  <c r="Q162" i="92"/>
  <c r="S162" i="92" s="1"/>
  <c r="Q161" i="92"/>
  <c r="S161" i="92" s="1"/>
  <c r="Q159" i="92"/>
  <c r="R159" i="92" s="1"/>
  <c r="Q158" i="92"/>
  <c r="R158" i="92" s="1"/>
  <c r="Q156" i="92"/>
  <c r="R156" i="92" s="1"/>
  <c r="J155" i="92"/>
  <c r="L158" i="92" s="1"/>
  <c r="S164" i="92"/>
  <c r="P164" i="92"/>
  <c r="S163" i="92"/>
  <c r="P163" i="92"/>
  <c r="P162" i="92"/>
  <c r="P161" i="92"/>
  <c r="P159" i="92"/>
  <c r="P158" i="92"/>
  <c r="P157" i="92"/>
  <c r="P156" i="92"/>
  <c r="BS50" i="88"/>
  <c r="BT50" i="88" s="1"/>
  <c r="BN50" i="88"/>
  <c r="BO50" i="88" s="1"/>
  <c r="AQ50" i="88"/>
  <c r="AE50" i="88"/>
  <c r="R50" i="88"/>
  <c r="N50" i="88"/>
  <c r="K50" i="88"/>
  <c r="J50" i="88"/>
  <c r="J221" i="92"/>
  <c r="AH221" i="92" s="1"/>
  <c r="Q232" i="92"/>
  <c r="T232" i="92" s="1"/>
  <c r="AI221" i="92" s="1"/>
  <c r="S230" i="92"/>
  <c r="P230" i="92"/>
  <c r="S229" i="92"/>
  <c r="P229" i="92"/>
  <c r="P228" i="92"/>
  <c r="P227" i="92"/>
  <c r="P225" i="92"/>
  <c r="P224" i="92"/>
  <c r="P223" i="92"/>
  <c r="P222" i="92"/>
  <c r="BS46" i="88"/>
  <c r="BT46" i="88" s="1"/>
  <c r="BN46" i="88"/>
  <c r="BO46" i="88" s="1"/>
  <c r="AQ46" i="88"/>
  <c r="AE46" i="88"/>
  <c r="R46" i="88"/>
  <c r="M46" i="88"/>
  <c r="K46" i="88"/>
  <c r="J46" i="88"/>
  <c r="Q204" i="92"/>
  <c r="Q226" i="92" s="1"/>
  <c r="Q248" i="92" s="1"/>
  <c r="Q270" i="92" s="1"/>
  <c r="J199" i="92"/>
  <c r="L202" i="92" s="1"/>
  <c r="Q210" i="92"/>
  <c r="T210" i="92" s="1"/>
  <c r="AI199" i="92" s="1"/>
  <c r="S208" i="92"/>
  <c r="P208" i="92"/>
  <c r="S207" i="92"/>
  <c r="P207" i="92"/>
  <c r="P206" i="92"/>
  <c r="P205" i="92"/>
  <c r="P203" i="92"/>
  <c r="P202" i="92"/>
  <c r="P201" i="92"/>
  <c r="P200" i="92"/>
  <c r="BS42" i="88"/>
  <c r="BT42" i="88" s="1"/>
  <c r="BN42" i="88"/>
  <c r="BO42" i="88" s="1"/>
  <c r="AQ42" i="88"/>
  <c r="AE42" i="88"/>
  <c r="O54" i="88"/>
  <c r="P54" i="88"/>
  <c r="Q54" i="88"/>
  <c r="BI54" i="88"/>
  <c r="BJ32" i="88"/>
  <c r="M29" i="88"/>
  <c r="N29" i="88"/>
  <c r="BJ29" i="88"/>
  <c r="M22" i="88"/>
  <c r="R42" i="88"/>
  <c r="N42" i="88"/>
  <c r="K42" i="88"/>
  <c r="J42" i="88"/>
  <c r="J177" i="92"/>
  <c r="L178" i="92" s="1"/>
  <c r="Q184" i="92"/>
  <c r="Q206" i="92" s="1"/>
  <c r="Q183" i="92"/>
  <c r="Q205" i="92" s="1"/>
  <c r="Q181" i="92"/>
  <c r="R181" i="92" s="1"/>
  <c r="Q180" i="92"/>
  <c r="R180" i="92" s="1"/>
  <c r="Q178" i="92"/>
  <c r="R178" i="92" s="1"/>
  <c r="S186" i="92"/>
  <c r="P186" i="92"/>
  <c r="S185" i="92"/>
  <c r="P185" i="92"/>
  <c r="P184" i="92"/>
  <c r="P183" i="92"/>
  <c r="P181" i="92"/>
  <c r="P180" i="92"/>
  <c r="P179" i="92"/>
  <c r="P178" i="92"/>
  <c r="BS49" i="88"/>
  <c r="BT49" i="88" s="1"/>
  <c r="BN49" i="88"/>
  <c r="BO49" i="88" s="1"/>
  <c r="BJ49" i="88"/>
  <c r="AD49" i="88"/>
  <c r="AC49" i="88"/>
  <c r="AA49" i="88"/>
  <c r="Z49" i="88"/>
  <c r="R49" i="88"/>
  <c r="M49" i="88"/>
  <c r="K49" i="88"/>
  <c r="J49" i="88"/>
  <c r="J133" i="92"/>
  <c r="L136" i="92" s="1"/>
  <c r="P142" i="92"/>
  <c r="P141" i="92"/>
  <c r="P140" i="92"/>
  <c r="P139" i="92"/>
  <c r="E139" i="92"/>
  <c r="P137" i="92"/>
  <c r="P136" i="92"/>
  <c r="P135" i="92"/>
  <c r="P134" i="92"/>
  <c r="BS45" i="88"/>
  <c r="BT45" i="88" s="1"/>
  <c r="BN45" i="88"/>
  <c r="BO45" i="88" s="1"/>
  <c r="BJ45" i="88"/>
  <c r="AD45" i="88"/>
  <c r="AC45" i="88"/>
  <c r="AA45" i="88"/>
  <c r="Z45" i="88"/>
  <c r="R45" i="88"/>
  <c r="M45" i="88"/>
  <c r="K45" i="88"/>
  <c r="J45" i="88"/>
  <c r="J110" i="92"/>
  <c r="L111" i="92" s="1"/>
  <c r="P119" i="92"/>
  <c r="P118" i="92"/>
  <c r="P117" i="92"/>
  <c r="P116" i="92"/>
  <c r="E116" i="92"/>
  <c r="P114" i="92"/>
  <c r="P113" i="92"/>
  <c r="P112" i="92"/>
  <c r="P111" i="92"/>
  <c r="BS41" i="88"/>
  <c r="BT41" i="88" s="1"/>
  <c r="BN41" i="88"/>
  <c r="BO41" i="88" s="1"/>
  <c r="BJ41" i="88"/>
  <c r="AD41" i="88"/>
  <c r="AC41" i="88"/>
  <c r="AA41" i="88"/>
  <c r="Z41" i="88"/>
  <c r="R41" i="88"/>
  <c r="M41" i="88"/>
  <c r="K41" i="88"/>
  <c r="J41" i="88"/>
  <c r="Q92" i="92"/>
  <c r="Q115" i="92" s="1"/>
  <c r="Q138" i="92" s="1"/>
  <c r="Q97" i="92"/>
  <c r="Q120" i="92" s="1"/>
  <c r="Q143" i="92" s="1"/>
  <c r="Q188" i="92" s="1"/>
  <c r="T188" i="92" s="1"/>
  <c r="AI177" i="92" s="1"/>
  <c r="J87" i="92"/>
  <c r="N98" i="92" s="1"/>
  <c r="P96" i="92"/>
  <c r="P95" i="92"/>
  <c r="P94" i="92"/>
  <c r="P93" i="92"/>
  <c r="E93" i="92"/>
  <c r="P91" i="92"/>
  <c r="P90" i="92"/>
  <c r="P89" i="92"/>
  <c r="P88" i="92"/>
  <c r="BJ37" i="88"/>
  <c r="BJ35" i="88"/>
  <c r="BJ34" i="88"/>
  <c r="Q52" i="92"/>
  <c r="T52" i="92" s="1"/>
  <c r="AI41" i="92" s="1"/>
  <c r="Q29" i="92"/>
  <c r="T29" i="92" s="1"/>
  <c r="AI18" i="92" s="1"/>
  <c r="Q75" i="92"/>
  <c r="Q98" i="92" s="1"/>
  <c r="Q121" i="92" s="1"/>
  <c r="T166" i="92" s="1"/>
  <c r="AI155" i="92" s="1"/>
  <c r="Q72" i="92"/>
  <c r="Q95" i="92" s="1"/>
  <c r="Q71" i="92"/>
  <c r="Q94" i="92" s="1"/>
  <c r="Q117" i="92" s="1"/>
  <c r="S117" i="92" s="1"/>
  <c r="Q70" i="92"/>
  <c r="S70" i="92" s="1"/>
  <c r="Q68" i="92"/>
  <c r="R68" i="92" s="1"/>
  <c r="Q67" i="92"/>
  <c r="R67" i="92" s="1"/>
  <c r="Q65" i="92"/>
  <c r="R65" i="92" s="1"/>
  <c r="E70" i="92"/>
  <c r="D3" i="59"/>
  <c r="D3" i="88" s="1"/>
  <c r="J64" i="92"/>
  <c r="L68" i="92" s="1"/>
  <c r="P73" i="92"/>
  <c r="P72" i="92"/>
  <c r="P71" i="92"/>
  <c r="P70" i="92"/>
  <c r="P68" i="92"/>
  <c r="P67" i="92"/>
  <c r="P66" i="92"/>
  <c r="P65" i="92"/>
  <c r="BS35" i="88"/>
  <c r="BT35" i="88" s="1"/>
  <c r="BN35" i="88"/>
  <c r="BO35" i="88" s="1"/>
  <c r="AC35" i="88"/>
  <c r="AA35" i="88"/>
  <c r="Z35" i="88"/>
  <c r="R35" i="88"/>
  <c r="M35" i="88"/>
  <c r="K35" i="88"/>
  <c r="J35" i="88"/>
  <c r="Q49" i="92"/>
  <c r="S49" i="92" s="1"/>
  <c r="Q48" i="92"/>
  <c r="S48" i="92" s="1"/>
  <c r="Q47" i="92"/>
  <c r="S47" i="92" s="1"/>
  <c r="Q45" i="92"/>
  <c r="R45" i="92" s="1"/>
  <c r="Q44" i="92"/>
  <c r="R44" i="92" s="1"/>
  <c r="Q42" i="92"/>
  <c r="R42" i="92" s="1"/>
  <c r="J41" i="92"/>
  <c r="M49" i="92" s="1"/>
  <c r="C34" i="92"/>
  <c r="P50" i="92"/>
  <c r="P49" i="92"/>
  <c r="P48" i="92"/>
  <c r="P47" i="92"/>
  <c r="E47" i="92"/>
  <c r="P45" i="92"/>
  <c r="P44" i="92"/>
  <c r="P43" i="92"/>
  <c r="P42" i="92"/>
  <c r="BS34" i="88"/>
  <c r="BT34" i="88" s="1"/>
  <c r="BN34" i="88"/>
  <c r="BO34" i="88" s="1"/>
  <c r="AA34" i="88"/>
  <c r="AC34" i="88"/>
  <c r="Z34" i="88"/>
  <c r="R34" i="88"/>
  <c r="M34" i="88"/>
  <c r="K34" i="88"/>
  <c r="J34" i="88"/>
  <c r="Q26" i="92"/>
  <c r="S26" i="92" s="1"/>
  <c r="Q25" i="92"/>
  <c r="S25" i="92" s="1"/>
  <c r="Q24" i="92"/>
  <c r="S24" i="92" s="1"/>
  <c r="Q22" i="92"/>
  <c r="R22" i="92" s="1"/>
  <c r="Q21" i="92"/>
  <c r="R21" i="92" s="1"/>
  <c r="Q19" i="92"/>
  <c r="R19" i="92" s="1"/>
  <c r="E24" i="92"/>
  <c r="M24" i="92" s="1"/>
  <c r="J18" i="92"/>
  <c r="L22" i="92" s="1"/>
  <c r="P27" i="92"/>
  <c r="P26" i="92"/>
  <c r="P25" i="92"/>
  <c r="P24" i="92"/>
  <c r="P22" i="92"/>
  <c r="P21" i="92"/>
  <c r="P20" i="92"/>
  <c r="P19" i="92"/>
  <c r="C11" i="92"/>
  <c r="E3" i="92"/>
  <c r="D366" i="92"/>
  <c r="D364" i="92"/>
  <c r="D339" i="92"/>
  <c r="D337" i="92"/>
  <c r="G322" i="92"/>
  <c r="B3" i="92"/>
  <c r="BN19" i="88"/>
  <c r="BO19" i="88" s="1"/>
  <c r="BS31" i="88"/>
  <c r="BT31" i="88" s="1"/>
  <c r="BN31" i="88"/>
  <c r="BO31" i="88" s="1"/>
  <c r="BO32" i="88" s="1"/>
  <c r="AC31" i="88"/>
  <c r="AC32" i="88" s="1"/>
  <c r="AB31" i="88"/>
  <c r="AB32" i="88" s="1"/>
  <c r="Z31" i="88"/>
  <c r="Z32" i="88" s="1"/>
  <c r="R31" i="88"/>
  <c r="R32" i="88" s="1"/>
  <c r="M31" i="88"/>
  <c r="K31" i="88"/>
  <c r="J31" i="88"/>
  <c r="T26" i="91"/>
  <c r="AI16" i="91" s="1"/>
  <c r="Q24" i="91"/>
  <c r="S24" i="91" s="1"/>
  <c r="Q23" i="91"/>
  <c r="S23" i="91" s="1"/>
  <c r="Q22" i="91"/>
  <c r="S22" i="91" s="1"/>
  <c r="Q20" i="91"/>
  <c r="R20" i="91" s="1"/>
  <c r="Q19" i="91"/>
  <c r="R19" i="91" s="1"/>
  <c r="Q17" i="91"/>
  <c r="R17" i="91" s="1"/>
  <c r="E23" i="91"/>
  <c r="P18" i="91"/>
  <c r="P19" i="91"/>
  <c r="P20" i="91"/>
  <c r="P22" i="91"/>
  <c r="P23" i="91"/>
  <c r="P24" i="91"/>
  <c r="P26" i="91"/>
  <c r="T100" i="90"/>
  <c r="P100" i="90"/>
  <c r="P99" i="90"/>
  <c r="S98" i="90"/>
  <c r="P98" i="90"/>
  <c r="T81" i="90"/>
  <c r="P81" i="90"/>
  <c r="P80" i="90"/>
  <c r="S79" i="90"/>
  <c r="P79" i="90"/>
  <c r="T62" i="90"/>
  <c r="P62" i="90"/>
  <c r="P61" i="90"/>
  <c r="S60" i="90"/>
  <c r="P60" i="90"/>
  <c r="T42" i="90"/>
  <c r="P42" i="90"/>
  <c r="P41" i="90"/>
  <c r="S40" i="90"/>
  <c r="P40" i="90"/>
  <c r="J16" i="91"/>
  <c r="M24" i="91" s="1"/>
  <c r="P17" i="91"/>
  <c r="C10" i="91"/>
  <c r="E3" i="91"/>
  <c r="B3" i="91"/>
  <c r="BS28" i="88"/>
  <c r="BT28" i="88" s="1"/>
  <c r="BN28" i="88"/>
  <c r="BO28" i="88" s="1"/>
  <c r="Z28" i="88"/>
  <c r="R28" i="88"/>
  <c r="K28" i="88"/>
  <c r="J28" i="88"/>
  <c r="Q96" i="90"/>
  <c r="S96" i="90" s="1"/>
  <c r="Q94" i="90"/>
  <c r="R94" i="90" s="1"/>
  <c r="Q93" i="90"/>
  <c r="R93" i="90" s="1"/>
  <c r="J92" i="90"/>
  <c r="L93" i="90" s="1"/>
  <c r="C86" i="90"/>
  <c r="P97" i="90"/>
  <c r="P96" i="90"/>
  <c r="S95" i="90"/>
  <c r="P95" i="90"/>
  <c r="P94" i="90"/>
  <c r="P93" i="90"/>
  <c r="AI92" i="90"/>
  <c r="BS27" i="88"/>
  <c r="BT27" i="88" s="1"/>
  <c r="BN27" i="88"/>
  <c r="BO27" i="88" s="1"/>
  <c r="Z27" i="88"/>
  <c r="R27" i="88"/>
  <c r="K27" i="88"/>
  <c r="J27" i="88"/>
  <c r="Q77" i="90"/>
  <c r="S77" i="90" s="1"/>
  <c r="Q75" i="90"/>
  <c r="R75" i="90" s="1"/>
  <c r="Q74" i="90"/>
  <c r="R74" i="90" s="1"/>
  <c r="P77" i="90"/>
  <c r="J73" i="90"/>
  <c r="AA73" i="90" s="1"/>
  <c r="P78" i="90"/>
  <c r="S76" i="90"/>
  <c r="P76" i="90"/>
  <c r="P75" i="90"/>
  <c r="P74" i="90"/>
  <c r="AI73" i="90"/>
  <c r="C67" i="90"/>
  <c r="BS26" i="88"/>
  <c r="BT26" i="88" s="1"/>
  <c r="BN26" i="88"/>
  <c r="BO26" i="88" s="1"/>
  <c r="R26" i="88"/>
  <c r="K26" i="88"/>
  <c r="J26" i="88"/>
  <c r="C47" i="90"/>
  <c r="E56" i="90"/>
  <c r="E55" i="90"/>
  <c r="Q56" i="90"/>
  <c r="R56" i="90" s="1"/>
  <c r="Q55" i="90"/>
  <c r="R55" i="90" s="1"/>
  <c r="J54" i="90"/>
  <c r="N62" i="90" s="1"/>
  <c r="AI54" i="90"/>
  <c r="P59" i="90"/>
  <c r="S58" i="90"/>
  <c r="P58" i="90"/>
  <c r="S57" i="90"/>
  <c r="P57" i="90"/>
  <c r="P56" i="90"/>
  <c r="P55" i="90"/>
  <c r="BS25" i="88"/>
  <c r="BT25" i="88" s="1"/>
  <c r="BN25" i="88"/>
  <c r="BO25" i="88" s="1"/>
  <c r="R25" i="88"/>
  <c r="K25" i="88"/>
  <c r="J25" i="88"/>
  <c r="C28" i="90"/>
  <c r="Q36" i="90"/>
  <c r="R36" i="90" s="1"/>
  <c r="Q35" i="90"/>
  <c r="R35" i="90" s="1"/>
  <c r="J34" i="90"/>
  <c r="M37" i="90" s="1"/>
  <c r="AI34" i="90"/>
  <c r="S39" i="90"/>
  <c r="P39" i="90"/>
  <c r="S38" i="90"/>
  <c r="P38" i="90"/>
  <c r="S37" i="90"/>
  <c r="P37" i="90"/>
  <c r="P36" i="90"/>
  <c r="P35" i="90"/>
  <c r="BS24" i="88"/>
  <c r="BT24" i="88" s="1"/>
  <c r="BN24" i="88"/>
  <c r="BO24" i="88" s="1"/>
  <c r="R24" i="88"/>
  <c r="K24" i="88"/>
  <c r="J24" i="88"/>
  <c r="Q17" i="90"/>
  <c r="R17" i="90" s="1"/>
  <c r="Q16" i="90"/>
  <c r="R16" i="90" s="1"/>
  <c r="J15" i="90"/>
  <c r="M19" i="90" s="1"/>
  <c r="C9" i="90"/>
  <c r="T23" i="90"/>
  <c r="AI15" i="90" s="1"/>
  <c r="P23" i="90"/>
  <c r="P22" i="90"/>
  <c r="S21" i="90"/>
  <c r="P21" i="90"/>
  <c r="S20" i="90"/>
  <c r="P20" i="90"/>
  <c r="S19" i="90"/>
  <c r="P19" i="90"/>
  <c r="P17" i="90"/>
  <c r="P16" i="90"/>
  <c r="E3" i="90"/>
  <c r="E3" i="84"/>
  <c r="B3" i="90"/>
  <c r="BS21" i="88"/>
  <c r="BT21" i="88" s="1"/>
  <c r="BN21" i="88"/>
  <c r="BO21" i="88" s="1"/>
  <c r="BI80" i="88"/>
  <c r="Q55" i="84"/>
  <c r="R55" i="84" s="1"/>
  <c r="C48" i="84"/>
  <c r="T64" i="84"/>
  <c r="AI54" i="84" s="1"/>
  <c r="P64" i="84"/>
  <c r="P63" i="84"/>
  <c r="S62" i="84"/>
  <c r="P62" i="84"/>
  <c r="S61" i="84"/>
  <c r="P61" i="84"/>
  <c r="S60" i="84"/>
  <c r="P60" i="84"/>
  <c r="R58" i="84"/>
  <c r="P58" i="84"/>
  <c r="R57" i="84"/>
  <c r="P57" i="84"/>
  <c r="R56" i="84"/>
  <c r="P56" i="84"/>
  <c r="P55" i="84"/>
  <c r="BS20" i="88"/>
  <c r="BT20" i="88" s="1"/>
  <c r="BN20" i="88"/>
  <c r="BO20" i="88" s="1"/>
  <c r="R20" i="88"/>
  <c r="K20" i="88"/>
  <c r="J20" i="88"/>
  <c r="Q36" i="84"/>
  <c r="R36" i="84" s="1"/>
  <c r="Q37" i="84"/>
  <c r="R37" i="84" s="1"/>
  <c r="J35" i="84"/>
  <c r="M39" i="84" s="1"/>
  <c r="T43" i="84"/>
  <c r="AI35" i="84" s="1"/>
  <c r="P43" i="84"/>
  <c r="P42" i="84"/>
  <c r="S41" i="84"/>
  <c r="P41" i="84"/>
  <c r="S40" i="84"/>
  <c r="P40" i="84"/>
  <c r="S39" i="84"/>
  <c r="P39" i="84"/>
  <c r="P37" i="84"/>
  <c r="P36" i="84"/>
  <c r="C29" i="84"/>
  <c r="A11" i="89"/>
  <c r="A12" i="89" s="1"/>
  <c r="A13" i="89" s="1"/>
  <c r="A14" i="89" s="1"/>
  <c r="A15" i="89" s="1"/>
  <c r="A16" i="89" s="1"/>
  <c r="A17" i="89" s="1"/>
  <c r="A18" i="89" s="1"/>
  <c r="A19" i="89" s="1"/>
  <c r="A20" i="89" s="1"/>
  <c r="A21" i="89" s="1"/>
  <c r="A22" i="89" s="1"/>
  <c r="A23" i="89" s="1"/>
  <c r="A24" i="89" s="1"/>
  <c r="A25" i="89" s="1"/>
  <c r="A26" i="89" s="1"/>
  <c r="A27" i="89" s="1"/>
  <c r="A28" i="89" s="1"/>
  <c r="A29" i="89" s="1"/>
  <c r="A30" i="89" s="1"/>
  <c r="D6" i="89"/>
  <c r="C6" i="89"/>
  <c r="A6" i="89"/>
  <c r="D5" i="89"/>
  <c r="C5" i="89"/>
  <c r="A5" i="89"/>
  <c r="D4" i="89"/>
  <c r="C4" i="89"/>
  <c r="A4" i="89"/>
  <c r="C3" i="89"/>
  <c r="A3" i="89"/>
  <c r="C9" i="84"/>
  <c r="V19" i="88"/>
  <c r="V22" i="88" s="1"/>
  <c r="AY19" i="88"/>
  <c r="AY22" i="88" s="1"/>
  <c r="S19" i="88"/>
  <c r="S22" i="88" s="1"/>
  <c r="J15" i="84"/>
  <c r="AH15" i="84" s="1"/>
  <c r="R19" i="88"/>
  <c r="Q19" i="88"/>
  <c r="Q22" i="88" s="1"/>
  <c r="L19" i="88"/>
  <c r="K19" i="88"/>
  <c r="J19" i="88"/>
  <c r="A74" i="88"/>
  <c r="A75" i="88" s="1"/>
  <c r="A70" i="88"/>
  <c r="A25" i="88"/>
  <c r="H21" i="88"/>
  <c r="V54" i="84" s="1"/>
  <c r="D6" i="88"/>
  <c r="A6" i="88"/>
  <c r="A5" i="88"/>
  <c r="D4" i="88"/>
  <c r="A4" i="88"/>
  <c r="M25" i="92" l="1"/>
  <c r="Q42" i="95"/>
  <c r="R42" i="95" s="1"/>
  <c r="M26" i="92"/>
  <c r="M50" i="92"/>
  <c r="R22" i="88"/>
  <c r="AE54" i="88"/>
  <c r="AP80" i="88"/>
  <c r="AL80" i="88"/>
  <c r="AL86" i="88" s="1"/>
  <c r="M27" i="92"/>
  <c r="Z29" i="88"/>
  <c r="Z63" i="88"/>
  <c r="R71" i="88"/>
  <c r="BF63" i="88"/>
  <c r="AM86" i="88"/>
  <c r="R29" i="88"/>
  <c r="AD54" i="88"/>
  <c r="AQ54" i="88"/>
  <c r="AQ86" i="88" s="1"/>
  <c r="Z59" i="88"/>
  <c r="R63" i="88"/>
  <c r="AV71" i="88"/>
  <c r="N71" i="88"/>
  <c r="AJ80" i="88"/>
  <c r="R80" i="88"/>
  <c r="N80" i="88"/>
  <c r="BF86" i="88"/>
  <c r="AX86" i="88"/>
  <c r="AP86" i="88"/>
  <c r="Z54" i="88"/>
  <c r="BC86" i="88"/>
  <c r="AA54" i="88"/>
  <c r="BT63" i="88"/>
  <c r="AT86" i="88"/>
  <c r="BB86" i="88"/>
  <c r="BT32" i="88"/>
  <c r="BG86" i="88"/>
  <c r="AC54" i="88"/>
  <c r="AC86" i="88" s="1"/>
  <c r="BO80" i="88"/>
  <c r="AH86" i="88"/>
  <c r="BO71" i="88"/>
  <c r="BO22" i="88"/>
  <c r="AW86" i="88"/>
  <c r="AS86" i="88"/>
  <c r="AO86" i="88"/>
  <c r="AG86" i="88"/>
  <c r="AI86" i="88"/>
  <c r="BH86" i="88"/>
  <c r="AV86" i="88"/>
  <c r="AJ86" i="88"/>
  <c r="AF86" i="88"/>
  <c r="X86" i="88"/>
  <c r="T86" i="88"/>
  <c r="AK86" i="88"/>
  <c r="BD86" i="88"/>
  <c r="AZ86" i="88"/>
  <c r="AR86" i="88"/>
  <c r="AN86" i="88"/>
  <c r="BE86" i="88"/>
  <c r="BA86" i="88"/>
  <c r="Y86" i="88"/>
  <c r="V86" i="88"/>
  <c r="BT80" i="88"/>
  <c r="BO59" i="88"/>
  <c r="BT71" i="88"/>
  <c r="BO63" i="88"/>
  <c r="BT85" i="88"/>
  <c r="BO29" i="88"/>
  <c r="BT59" i="88"/>
  <c r="BT29" i="88"/>
  <c r="BI86" i="88"/>
  <c r="AB86" i="88"/>
  <c r="BN85" i="88"/>
  <c r="L19" i="99"/>
  <c r="L22" i="99"/>
  <c r="M94" i="97"/>
  <c r="Q365" i="92"/>
  <c r="R365" i="92" s="1"/>
  <c r="L69" i="99"/>
  <c r="M74" i="99"/>
  <c r="L67" i="99"/>
  <c r="M73" i="99"/>
  <c r="AB66" i="99"/>
  <c r="M28" i="99"/>
  <c r="AH66" i="99"/>
  <c r="AJ66" i="99" s="1"/>
  <c r="M72" i="99"/>
  <c r="L68" i="99"/>
  <c r="L70" i="99"/>
  <c r="AA66" i="99"/>
  <c r="M75" i="99"/>
  <c r="M76" i="99"/>
  <c r="L43" i="99"/>
  <c r="Q46" i="99"/>
  <c r="M52" i="99"/>
  <c r="Q45" i="99"/>
  <c r="Q43" i="99"/>
  <c r="L158" i="97"/>
  <c r="AB42" i="99"/>
  <c r="AC42" i="99" s="1"/>
  <c r="AH42" i="99"/>
  <c r="AJ42" i="99" s="1"/>
  <c r="N54" i="99"/>
  <c r="L44" i="99"/>
  <c r="L45" i="99"/>
  <c r="L46" i="99"/>
  <c r="M48" i="99"/>
  <c r="M49" i="99"/>
  <c r="M50" i="99"/>
  <c r="M51" i="99"/>
  <c r="N30" i="99"/>
  <c r="AA156" i="97"/>
  <c r="L157" i="97"/>
  <c r="L159" i="97"/>
  <c r="M163" i="97"/>
  <c r="M166" i="97"/>
  <c r="S24" i="99"/>
  <c r="M25" i="99"/>
  <c r="L21" i="99"/>
  <c r="L20" i="99"/>
  <c r="M24" i="99"/>
  <c r="M27" i="99"/>
  <c r="M26" i="99"/>
  <c r="AH18" i="99"/>
  <c r="AJ18" i="99" s="1"/>
  <c r="BU82" i="88" s="1"/>
  <c r="I56" i="99"/>
  <c r="AB156" i="97"/>
  <c r="M162" i="97"/>
  <c r="N168" i="97"/>
  <c r="AH156" i="97"/>
  <c r="AJ156" i="97" s="1"/>
  <c r="BU78" i="88" s="1"/>
  <c r="M165" i="97"/>
  <c r="M120" i="97"/>
  <c r="AA133" i="97"/>
  <c r="L136" i="97"/>
  <c r="M141" i="97"/>
  <c r="L137" i="97"/>
  <c r="L135" i="97"/>
  <c r="L134" i="97"/>
  <c r="AB133" i="97"/>
  <c r="M140" i="97"/>
  <c r="M139" i="97"/>
  <c r="N145" i="97"/>
  <c r="AH133" i="97"/>
  <c r="AJ133" i="97" s="1"/>
  <c r="BU79" i="88" s="1"/>
  <c r="M142" i="97"/>
  <c r="AA87" i="97"/>
  <c r="L90" i="97"/>
  <c r="M93" i="97"/>
  <c r="AB110" i="97"/>
  <c r="AC110" i="97" s="1"/>
  <c r="BP77" i="88" s="1"/>
  <c r="AH110" i="97"/>
  <c r="AJ110" i="97" s="1"/>
  <c r="BU77" i="88" s="1"/>
  <c r="L111" i="97"/>
  <c r="L112" i="97"/>
  <c r="L113" i="97"/>
  <c r="L114" i="97"/>
  <c r="N122" i="97"/>
  <c r="M116" i="97"/>
  <c r="M117" i="97"/>
  <c r="M118" i="97"/>
  <c r="M119" i="97"/>
  <c r="S70" i="97"/>
  <c r="AB64" i="97" s="1"/>
  <c r="Q94" i="97"/>
  <c r="S94" i="97" s="1"/>
  <c r="Q95" i="97"/>
  <c r="S95" i="97" s="1"/>
  <c r="M97" i="97"/>
  <c r="N99" i="97"/>
  <c r="L88" i="97"/>
  <c r="M96" i="97"/>
  <c r="AH87" i="97"/>
  <c r="AJ87" i="97" s="1"/>
  <c r="L89" i="97"/>
  <c r="AH64" i="97"/>
  <c r="AJ64" i="97" s="1"/>
  <c r="BU75" i="88" s="1"/>
  <c r="L65" i="97"/>
  <c r="L66" i="97"/>
  <c r="L67" i="97"/>
  <c r="L68" i="97"/>
  <c r="N76" i="97"/>
  <c r="AA64" i="97"/>
  <c r="M70" i="97"/>
  <c r="M71" i="97"/>
  <c r="M72" i="97"/>
  <c r="M73" i="97"/>
  <c r="AA41" i="97"/>
  <c r="Q44" i="97"/>
  <c r="Q48" i="97"/>
  <c r="S48" i="97" s="1"/>
  <c r="Q47" i="97"/>
  <c r="S47" i="97" s="1"/>
  <c r="Q42" i="97"/>
  <c r="Q49" i="97"/>
  <c r="S49" i="97" s="1"/>
  <c r="Q45" i="97"/>
  <c r="M47" i="97"/>
  <c r="L42" i="97"/>
  <c r="L44" i="97"/>
  <c r="M48" i="97"/>
  <c r="AH41" i="97"/>
  <c r="AJ41" i="97" s="1"/>
  <c r="BU74" i="88" s="1"/>
  <c r="L43" i="97"/>
  <c r="L45" i="97"/>
  <c r="M49" i="97"/>
  <c r="M50" i="97"/>
  <c r="M51" i="97"/>
  <c r="M26" i="97"/>
  <c r="AA18" i="97"/>
  <c r="M28" i="97"/>
  <c r="L20" i="97"/>
  <c r="M25" i="97"/>
  <c r="L19" i="97"/>
  <c r="M24" i="97"/>
  <c r="L22" i="97"/>
  <c r="AB18" i="97"/>
  <c r="N30" i="97"/>
  <c r="AH18" i="97"/>
  <c r="AJ18" i="97" s="1"/>
  <c r="BU73" i="88" s="1"/>
  <c r="M27" i="97"/>
  <c r="L138" i="96"/>
  <c r="AH335" i="92"/>
  <c r="AA134" i="96"/>
  <c r="L137" i="96"/>
  <c r="L136" i="96"/>
  <c r="M141" i="96"/>
  <c r="M144" i="96"/>
  <c r="L135" i="96"/>
  <c r="Y134" i="96"/>
  <c r="U134" i="96"/>
  <c r="BK70" i="88" s="1"/>
  <c r="AB134" i="96"/>
  <c r="AF134" i="96"/>
  <c r="N146" i="96"/>
  <c r="AH134" i="96"/>
  <c r="AJ134" i="96" s="1"/>
  <c r="BU70" i="88" s="1"/>
  <c r="M142" i="96"/>
  <c r="M143" i="96"/>
  <c r="S119" i="96"/>
  <c r="AB110" i="96" s="1"/>
  <c r="L111" i="96"/>
  <c r="L112" i="96"/>
  <c r="L113" i="96"/>
  <c r="L114" i="96"/>
  <c r="M116" i="96"/>
  <c r="M117" i="96"/>
  <c r="M118" i="96"/>
  <c r="AH110" i="96"/>
  <c r="AJ110" i="96" s="1"/>
  <c r="BU69" i="88" s="1"/>
  <c r="M119" i="96"/>
  <c r="AA110" i="96"/>
  <c r="N122" i="96"/>
  <c r="Q88" i="96"/>
  <c r="Q91" i="96"/>
  <c r="Q90" i="96"/>
  <c r="AB87" i="96"/>
  <c r="AH87" i="96"/>
  <c r="AJ87" i="96" s="1"/>
  <c r="BU68" i="88" s="1"/>
  <c r="M96" i="96"/>
  <c r="L88" i="96"/>
  <c r="L89" i="96"/>
  <c r="L90" i="96"/>
  <c r="L91" i="96"/>
  <c r="M93" i="96"/>
  <c r="M94" i="96"/>
  <c r="M95" i="96"/>
  <c r="AA87" i="96"/>
  <c r="N99" i="96"/>
  <c r="M74" i="96"/>
  <c r="N76" i="96"/>
  <c r="AB64" i="96"/>
  <c r="AC64" i="96" s="1"/>
  <c r="BP67" i="88" s="1"/>
  <c r="M73" i="96"/>
  <c r="AH64" i="96"/>
  <c r="AJ64" i="96" s="1"/>
  <c r="BU67" i="88" s="1"/>
  <c r="M72" i="96"/>
  <c r="L65" i="96"/>
  <c r="L66" i="96"/>
  <c r="L67" i="96"/>
  <c r="L68" i="96"/>
  <c r="M70" i="96"/>
  <c r="M71" i="96"/>
  <c r="AB41" i="96"/>
  <c r="L19" i="96"/>
  <c r="M26" i="96"/>
  <c r="M24" i="96"/>
  <c r="AH41" i="96"/>
  <c r="AJ41" i="96" s="1"/>
  <c r="BU65" i="88" s="1"/>
  <c r="M50" i="96"/>
  <c r="L42" i="96"/>
  <c r="L43" i="96"/>
  <c r="L44" i="96"/>
  <c r="L45" i="96"/>
  <c r="M47" i="96"/>
  <c r="M48" i="96"/>
  <c r="M49" i="96"/>
  <c r="AA41" i="96"/>
  <c r="N53" i="96"/>
  <c r="M25" i="96"/>
  <c r="M28" i="96"/>
  <c r="L21" i="96"/>
  <c r="N30" i="96"/>
  <c r="L20" i="96"/>
  <c r="L22" i="96"/>
  <c r="AA18" i="96"/>
  <c r="AB18" i="96"/>
  <c r="AH18" i="96"/>
  <c r="AJ18" i="96" s="1"/>
  <c r="BU66" i="88" s="1"/>
  <c r="Q44" i="95"/>
  <c r="R44" i="95" s="1"/>
  <c r="Q45" i="95"/>
  <c r="R45" i="95" s="1"/>
  <c r="M51" i="95"/>
  <c r="AB41" i="95"/>
  <c r="AC41" i="95" s="1"/>
  <c r="BP62" i="88" s="1"/>
  <c r="AH41" i="95"/>
  <c r="AJ41" i="95" s="1"/>
  <c r="BU62" i="88" s="1"/>
  <c r="N53" i="95"/>
  <c r="L42" i="95"/>
  <c r="L43" i="95"/>
  <c r="L44" i="95"/>
  <c r="L45" i="95"/>
  <c r="M47" i="95"/>
  <c r="M48" i="95"/>
  <c r="M49" i="95"/>
  <c r="M50" i="95"/>
  <c r="M49" i="94"/>
  <c r="AH19" i="94"/>
  <c r="AJ19" i="94" s="1"/>
  <c r="BU56" i="88" s="1"/>
  <c r="M25" i="95"/>
  <c r="L20" i="95"/>
  <c r="L19" i="95"/>
  <c r="M24" i="95"/>
  <c r="L22" i="95"/>
  <c r="M27" i="95"/>
  <c r="AA18" i="95"/>
  <c r="L21" i="95"/>
  <c r="M26" i="95"/>
  <c r="AB18" i="95"/>
  <c r="N30" i="95"/>
  <c r="AH18" i="95"/>
  <c r="AJ18" i="95" s="1"/>
  <c r="BU61" i="88" s="1"/>
  <c r="L23" i="94"/>
  <c r="AB65" i="94"/>
  <c r="AH65" i="94"/>
  <c r="AJ65" i="94" s="1"/>
  <c r="M74" i="94"/>
  <c r="L66" i="94"/>
  <c r="L67" i="94"/>
  <c r="L68" i="94"/>
  <c r="L69" i="94"/>
  <c r="M71" i="94"/>
  <c r="M72" i="94"/>
  <c r="M73" i="94"/>
  <c r="AA65" i="94"/>
  <c r="N77" i="94"/>
  <c r="L44" i="94"/>
  <c r="M52" i="94"/>
  <c r="L43" i="94"/>
  <c r="M48" i="94"/>
  <c r="L46" i="94"/>
  <c r="M51" i="94"/>
  <c r="AA42" i="94"/>
  <c r="L45" i="94"/>
  <c r="AB42" i="94"/>
  <c r="N54" i="94"/>
  <c r="AH42" i="94"/>
  <c r="AJ42" i="94" s="1"/>
  <c r="L21" i="94"/>
  <c r="AA19" i="94"/>
  <c r="AB19" i="94"/>
  <c r="L20" i="94"/>
  <c r="M25" i="94"/>
  <c r="M26" i="94"/>
  <c r="M27" i="94"/>
  <c r="M28" i="94"/>
  <c r="M29" i="94"/>
  <c r="N31" i="94"/>
  <c r="Q373" i="92"/>
  <c r="S373" i="92" s="1"/>
  <c r="Q376" i="92"/>
  <c r="S376" i="92" s="1"/>
  <c r="Q372" i="92"/>
  <c r="S372" i="92" s="1"/>
  <c r="Q368" i="92"/>
  <c r="R368" i="92" s="1"/>
  <c r="Q375" i="92"/>
  <c r="S375" i="92" s="1"/>
  <c r="Q367" i="92"/>
  <c r="R367" i="92" s="1"/>
  <c r="Q374" i="92"/>
  <c r="S374" i="92" s="1"/>
  <c r="Q370" i="92"/>
  <c r="S370" i="92" s="1"/>
  <c r="L363" i="92"/>
  <c r="L364" i="92"/>
  <c r="L365" i="92"/>
  <c r="L366" i="92"/>
  <c r="L367" i="92"/>
  <c r="L368" i="92"/>
  <c r="M370" i="92"/>
  <c r="M371" i="92"/>
  <c r="M372" i="92"/>
  <c r="M373" i="92"/>
  <c r="M374" i="92"/>
  <c r="M375" i="92"/>
  <c r="M376" i="92"/>
  <c r="N378" i="92"/>
  <c r="AH362" i="92"/>
  <c r="L339" i="92"/>
  <c r="M349" i="92"/>
  <c r="L340" i="92"/>
  <c r="L337" i="92"/>
  <c r="L341" i="92"/>
  <c r="AA335" i="92"/>
  <c r="L336" i="92"/>
  <c r="M343" i="92"/>
  <c r="M344" i="92"/>
  <c r="M345" i="92"/>
  <c r="M346" i="92"/>
  <c r="M347" i="92"/>
  <c r="M348" i="92"/>
  <c r="N351" i="92"/>
  <c r="AH287" i="92"/>
  <c r="AA287" i="92"/>
  <c r="Q322" i="92"/>
  <c r="Q318" i="92"/>
  <c r="Q321" i="92"/>
  <c r="Q317" i="92"/>
  <c r="Q320" i="92"/>
  <c r="Q291" i="92"/>
  <c r="R291" i="92" s="1"/>
  <c r="Q319" i="92"/>
  <c r="AH311" i="92"/>
  <c r="L312" i="92"/>
  <c r="L313" i="92"/>
  <c r="L314" i="92"/>
  <c r="L315" i="92"/>
  <c r="M317" i="92"/>
  <c r="M318" i="92"/>
  <c r="M319" i="92"/>
  <c r="M320" i="92"/>
  <c r="M321" i="92"/>
  <c r="N324" i="92"/>
  <c r="AA311" i="92"/>
  <c r="M322" i="92"/>
  <c r="N300" i="92"/>
  <c r="M298" i="92"/>
  <c r="M297" i="92"/>
  <c r="M296" i="92"/>
  <c r="M295" i="92"/>
  <c r="M294" i="92"/>
  <c r="M293" i="92"/>
  <c r="L291" i="92"/>
  <c r="L290" i="92"/>
  <c r="L289" i="92"/>
  <c r="BS47" i="88"/>
  <c r="BT47" i="88" s="1"/>
  <c r="BN47" i="88"/>
  <c r="BO47" i="88" s="1"/>
  <c r="BO54" i="88" s="1"/>
  <c r="W47" i="88"/>
  <c r="W54" i="88" s="1"/>
  <c r="W86" i="88" s="1"/>
  <c r="J47" i="88"/>
  <c r="U47" i="88"/>
  <c r="U54" i="88" s="1"/>
  <c r="U86" i="88" s="1"/>
  <c r="Q267" i="92"/>
  <c r="Q289" i="92" s="1"/>
  <c r="Q271" i="92"/>
  <c r="S271" i="92" s="1"/>
  <c r="R247" i="92"/>
  <c r="U243" i="92" s="1"/>
  <c r="BK39" i="88" s="1"/>
  <c r="Q266" i="92"/>
  <c r="Q288" i="92" s="1"/>
  <c r="Q273" i="92"/>
  <c r="Q276" i="92"/>
  <c r="Q300" i="92" s="1"/>
  <c r="Q272" i="92"/>
  <c r="Q268" i="92"/>
  <c r="Q290" i="92" s="1"/>
  <c r="R290" i="92" s="1"/>
  <c r="L267" i="92"/>
  <c r="L266" i="92"/>
  <c r="L268" i="92"/>
  <c r="AA265" i="92"/>
  <c r="M271" i="92"/>
  <c r="M272" i="92"/>
  <c r="M273" i="92"/>
  <c r="M274" i="92"/>
  <c r="AH265" i="92"/>
  <c r="L269" i="92"/>
  <c r="N276" i="92"/>
  <c r="M60" i="84"/>
  <c r="AA243" i="92"/>
  <c r="M251" i="92"/>
  <c r="M250" i="92"/>
  <c r="M252" i="92"/>
  <c r="AB243" i="92"/>
  <c r="AH243" i="92"/>
  <c r="AJ243" i="92" s="1"/>
  <c r="BU39" i="88" s="1"/>
  <c r="N254" i="92"/>
  <c r="L244" i="92"/>
  <c r="L245" i="92"/>
  <c r="L246" i="92"/>
  <c r="L247" i="92"/>
  <c r="AJ221" i="92"/>
  <c r="BU50" i="88" s="1"/>
  <c r="N54" i="88"/>
  <c r="AB155" i="92"/>
  <c r="M161" i="92"/>
  <c r="L157" i="92"/>
  <c r="L159" i="92"/>
  <c r="M164" i="92"/>
  <c r="N166" i="92"/>
  <c r="AH155" i="92"/>
  <c r="AJ155" i="92" s="1"/>
  <c r="Q203" i="92"/>
  <c r="AA155" i="92"/>
  <c r="M162" i="92"/>
  <c r="M163" i="92"/>
  <c r="L156" i="92"/>
  <c r="S184" i="92"/>
  <c r="S183" i="92"/>
  <c r="AE86" i="88"/>
  <c r="L223" i="92"/>
  <c r="M227" i="92"/>
  <c r="L225" i="92"/>
  <c r="Q227" i="92"/>
  <c r="S227" i="92" s="1"/>
  <c r="S205" i="92"/>
  <c r="S206" i="92"/>
  <c r="Q228" i="92"/>
  <c r="S228" i="92" s="1"/>
  <c r="Q200" i="92"/>
  <c r="Q202" i="92"/>
  <c r="AA221" i="92"/>
  <c r="M230" i="92"/>
  <c r="N232" i="92"/>
  <c r="L222" i="92"/>
  <c r="L224" i="92"/>
  <c r="M228" i="92"/>
  <c r="M229" i="92"/>
  <c r="AH199" i="92"/>
  <c r="AJ199" i="92" s="1"/>
  <c r="L201" i="92"/>
  <c r="L203" i="92"/>
  <c r="M208" i="92"/>
  <c r="N210" i="92"/>
  <c r="M205" i="92"/>
  <c r="AA199" i="92"/>
  <c r="M206" i="92"/>
  <c r="M207" i="92"/>
  <c r="L200" i="92"/>
  <c r="M62" i="84"/>
  <c r="M61" i="84"/>
  <c r="BJ54" i="88"/>
  <c r="BJ86" i="88" s="1"/>
  <c r="AD86" i="88"/>
  <c r="AH177" i="92"/>
  <c r="AJ177" i="92" s="1"/>
  <c r="BU42" i="88" s="1"/>
  <c r="M54" i="88"/>
  <c r="AA86" i="88"/>
  <c r="L179" i="92"/>
  <c r="M139" i="92"/>
  <c r="L181" i="92"/>
  <c r="M183" i="92"/>
  <c r="M184" i="92"/>
  <c r="M185" i="92"/>
  <c r="M186" i="92"/>
  <c r="AA177" i="92"/>
  <c r="L180" i="92"/>
  <c r="N188" i="92"/>
  <c r="L113" i="92"/>
  <c r="M116" i="92"/>
  <c r="S71" i="92"/>
  <c r="M95" i="92"/>
  <c r="T121" i="92"/>
  <c r="AI110" i="92" s="1"/>
  <c r="Q144" i="92"/>
  <c r="T144" i="92" s="1"/>
  <c r="AI133" i="92" s="1"/>
  <c r="M140" i="92"/>
  <c r="M142" i="92"/>
  <c r="AH133" i="92"/>
  <c r="L135" i="92"/>
  <c r="L137" i="92"/>
  <c r="S94" i="92"/>
  <c r="N121" i="92"/>
  <c r="AA133" i="92"/>
  <c r="Q140" i="92"/>
  <c r="S140" i="92" s="1"/>
  <c r="M141" i="92"/>
  <c r="N144" i="92"/>
  <c r="L134" i="92"/>
  <c r="S95" i="92"/>
  <c r="Q118" i="92"/>
  <c r="S72" i="92"/>
  <c r="T98" i="92"/>
  <c r="AI87" i="92" s="1"/>
  <c r="Q93" i="92"/>
  <c r="AH110" i="92"/>
  <c r="M117" i="92"/>
  <c r="M119" i="92"/>
  <c r="L112" i="92"/>
  <c r="L114" i="92"/>
  <c r="Q88" i="92"/>
  <c r="Q91" i="92"/>
  <c r="AA110" i="92"/>
  <c r="M118" i="92"/>
  <c r="Q90" i="92"/>
  <c r="L91" i="92"/>
  <c r="AA87" i="92"/>
  <c r="L89" i="92"/>
  <c r="M93" i="92"/>
  <c r="L88" i="92"/>
  <c r="L90" i="92"/>
  <c r="M94" i="92"/>
  <c r="M96" i="92"/>
  <c r="AH87" i="92"/>
  <c r="T75" i="92"/>
  <c r="AI64" i="92" s="1"/>
  <c r="M72" i="92"/>
  <c r="M73" i="92"/>
  <c r="AH41" i="92"/>
  <c r="AJ41" i="92" s="1"/>
  <c r="L67" i="92"/>
  <c r="L66" i="92"/>
  <c r="M71" i="92"/>
  <c r="L65" i="92"/>
  <c r="M70" i="92"/>
  <c r="AA64" i="92"/>
  <c r="AH64" i="92"/>
  <c r="N75" i="92"/>
  <c r="L45" i="92"/>
  <c r="M47" i="92"/>
  <c r="L21" i="92"/>
  <c r="L43" i="92"/>
  <c r="AA18" i="92"/>
  <c r="AA41" i="92"/>
  <c r="L42" i="92"/>
  <c r="L44" i="92"/>
  <c r="M48" i="92"/>
  <c r="N52" i="92"/>
  <c r="L20" i="92"/>
  <c r="N29" i="92"/>
  <c r="L19" i="92"/>
  <c r="AH18" i="92"/>
  <c r="AJ18" i="92" s="1"/>
  <c r="AB16" i="91"/>
  <c r="N26" i="91"/>
  <c r="M23" i="91"/>
  <c r="M95" i="90"/>
  <c r="M60" i="90"/>
  <c r="L20" i="91"/>
  <c r="M98" i="90"/>
  <c r="N100" i="90"/>
  <c r="M40" i="90"/>
  <c r="N42" i="90"/>
  <c r="M79" i="90"/>
  <c r="N81" i="90"/>
  <c r="L19" i="91"/>
  <c r="M22" i="91"/>
  <c r="L18" i="91"/>
  <c r="AH16" i="91"/>
  <c r="AJ16" i="91" s="1"/>
  <c r="L17" i="91"/>
  <c r="AA16" i="91"/>
  <c r="AB92" i="90"/>
  <c r="M96" i="90"/>
  <c r="Y92" i="90"/>
  <c r="U92" i="90"/>
  <c r="AF92" i="90"/>
  <c r="AH92" i="90"/>
  <c r="AJ92" i="90" s="1"/>
  <c r="L94" i="90"/>
  <c r="AA92" i="90"/>
  <c r="AB73" i="90"/>
  <c r="AC73" i="90" s="1"/>
  <c r="Y73" i="90"/>
  <c r="U73" i="90"/>
  <c r="AF73" i="90"/>
  <c r="AH73" i="90"/>
  <c r="AJ73" i="90" s="1"/>
  <c r="M77" i="90"/>
  <c r="L74" i="90"/>
  <c r="L75" i="90"/>
  <c r="M76" i="90"/>
  <c r="AB54" i="90"/>
  <c r="L55" i="90"/>
  <c r="U54" i="90"/>
  <c r="AA54" i="90"/>
  <c r="AF54" i="90"/>
  <c r="M58" i="90"/>
  <c r="AH54" i="90"/>
  <c r="AJ54" i="90" s="1"/>
  <c r="M57" i="90"/>
  <c r="Y54" i="90"/>
  <c r="L56" i="90"/>
  <c r="AB34" i="90"/>
  <c r="AA34" i="90"/>
  <c r="U34" i="90"/>
  <c r="AF34" i="90"/>
  <c r="M39" i="90"/>
  <c r="AH34" i="90"/>
  <c r="AJ34" i="90" s="1"/>
  <c r="M38" i="90"/>
  <c r="Y34" i="90"/>
  <c r="L35" i="90"/>
  <c r="L36" i="90"/>
  <c r="L37" i="84"/>
  <c r="U15" i="90"/>
  <c r="BK24" i="88" s="1"/>
  <c r="AA15" i="90"/>
  <c r="AB15" i="90"/>
  <c r="AF15" i="90"/>
  <c r="M21" i="90"/>
  <c r="N23" i="90"/>
  <c r="AH15" i="90"/>
  <c r="AJ15" i="90" s="1"/>
  <c r="M20" i="90"/>
  <c r="Y15" i="90"/>
  <c r="L16" i="90"/>
  <c r="L17" i="90"/>
  <c r="AB54" i="84"/>
  <c r="AB35" i="84"/>
  <c r="BT22" i="88"/>
  <c r="AA54" i="84"/>
  <c r="U54" i="84"/>
  <c r="BK21" i="88" s="1"/>
  <c r="Y54" i="84"/>
  <c r="AF54" i="84"/>
  <c r="L55" i="84"/>
  <c r="N64" i="84"/>
  <c r="AH54" i="84"/>
  <c r="AJ54" i="84" s="1"/>
  <c r="L56" i="84"/>
  <c r="L57" i="84"/>
  <c r="U35" i="84"/>
  <c r="AF35" i="84"/>
  <c r="AH35" i="84"/>
  <c r="AJ35" i="84" s="1"/>
  <c r="M41" i="84"/>
  <c r="N43" i="84"/>
  <c r="Y35" i="84"/>
  <c r="L36" i="84"/>
  <c r="M40" i="84"/>
  <c r="AA35" i="84"/>
  <c r="L17" i="84"/>
  <c r="L18" i="84"/>
  <c r="M23" i="84"/>
  <c r="L19" i="84"/>
  <c r="L16" i="84"/>
  <c r="M21" i="84"/>
  <c r="AA15" i="84"/>
  <c r="T24" i="84"/>
  <c r="AI15" i="84" s="1"/>
  <c r="AJ15" i="84" s="1"/>
  <c r="Q23" i="84"/>
  <c r="S23" i="84" s="1"/>
  <c r="Q22" i="84"/>
  <c r="S22" i="84" s="1"/>
  <c r="Q21" i="84"/>
  <c r="S21" i="84" s="1"/>
  <c r="H139" i="86"/>
  <c r="Q73" i="92" s="1"/>
  <c r="H78" i="86"/>
  <c r="H70" i="86"/>
  <c r="H69" i="86"/>
  <c r="H68" i="86"/>
  <c r="H67" i="86"/>
  <c r="H66" i="86"/>
  <c r="H65" i="86"/>
  <c r="H64" i="86"/>
  <c r="H63" i="86"/>
  <c r="H62" i="86"/>
  <c r="H61" i="86"/>
  <c r="H60" i="86"/>
  <c r="H59" i="86"/>
  <c r="H58" i="86"/>
  <c r="H57" i="86"/>
  <c r="H56" i="86"/>
  <c r="H52" i="86"/>
  <c r="H11" i="86"/>
  <c r="E139" i="86"/>
  <c r="A129" i="86"/>
  <c r="A130" i="86" s="1"/>
  <c r="A131" i="86" s="1"/>
  <c r="A132" i="86" s="1"/>
  <c r="E94" i="86"/>
  <c r="E92" i="86"/>
  <c r="E90" i="86"/>
  <c r="E88" i="86"/>
  <c r="E78" i="86"/>
  <c r="E70" i="86"/>
  <c r="E69" i="86"/>
  <c r="E68" i="86"/>
  <c r="E67" i="86"/>
  <c r="E66" i="86"/>
  <c r="E65" i="86"/>
  <c r="E64" i="86"/>
  <c r="E63" i="86"/>
  <c r="E62" i="86"/>
  <c r="E61" i="86"/>
  <c r="E60" i="86"/>
  <c r="E59" i="86"/>
  <c r="E58" i="86"/>
  <c r="E57" i="86"/>
  <c r="E56" i="86"/>
  <c r="E52" i="86"/>
  <c r="E45" i="86"/>
  <c r="E42" i="86"/>
  <c r="E41" i="86"/>
  <c r="E40" i="86"/>
  <c r="E39" i="86"/>
  <c r="E11" i="86"/>
  <c r="Q19" i="84"/>
  <c r="R19" i="84" s="1"/>
  <c r="Q18" i="84"/>
  <c r="R18" i="84" s="1"/>
  <c r="Q17" i="84"/>
  <c r="R17" i="84" s="1"/>
  <c r="Q16" i="84"/>
  <c r="R16" i="84" s="1"/>
  <c r="G7" i="85"/>
  <c r="K19" i="85"/>
  <c r="K20" i="85" s="1"/>
  <c r="K21" i="85" s="1"/>
  <c r="P14" i="85" s="1"/>
  <c r="P12" i="85"/>
  <c r="P13" i="85" s="1"/>
  <c r="F7" i="85"/>
  <c r="F8" i="85" s="1"/>
  <c r="F9" i="85" s="1"/>
  <c r="F10" i="85" s="1"/>
  <c r="P17" i="84"/>
  <c r="P18" i="84"/>
  <c r="P19" i="84"/>
  <c r="P21" i="84"/>
  <c r="P22" i="84"/>
  <c r="P23" i="84"/>
  <c r="P16" i="84"/>
  <c r="B3" i="84"/>
  <c r="G8" i="85" l="1"/>
  <c r="Q44" i="94"/>
  <c r="R44" i="94" s="1"/>
  <c r="Q20" i="95"/>
  <c r="Q21" i="94"/>
  <c r="R21" i="94" s="1"/>
  <c r="Q43" i="92"/>
  <c r="R43" i="92" s="1"/>
  <c r="Q20" i="92"/>
  <c r="R20" i="92" s="1"/>
  <c r="Q67" i="94"/>
  <c r="R67" i="94" s="1"/>
  <c r="Q337" i="92"/>
  <c r="Q66" i="92"/>
  <c r="Q18" i="91"/>
  <c r="R18" i="91" s="1"/>
  <c r="S73" i="92"/>
  <c r="Q27" i="92"/>
  <c r="AC54" i="84"/>
  <c r="BT54" i="88"/>
  <c r="AJ110" i="92"/>
  <c r="BU45" i="88" s="1"/>
  <c r="BT86" i="88"/>
  <c r="BO86" i="88"/>
  <c r="Z86" i="88"/>
  <c r="R45" i="99"/>
  <c r="Q69" i="99"/>
  <c r="R69" i="99" s="1"/>
  <c r="R46" i="99"/>
  <c r="Q70" i="99"/>
  <c r="R70" i="99" s="1"/>
  <c r="AC66" i="99"/>
  <c r="BU84" i="88"/>
  <c r="R43" i="99"/>
  <c r="Q67" i="99"/>
  <c r="R67" i="99" s="1"/>
  <c r="AC65" i="94"/>
  <c r="BP58" i="88" s="1"/>
  <c r="BP83" i="88"/>
  <c r="BU83" i="88"/>
  <c r="AC156" i="97"/>
  <c r="BP78" i="88" s="1"/>
  <c r="AB18" i="99"/>
  <c r="AC18" i="99" s="1"/>
  <c r="BP82" i="88" s="1"/>
  <c r="AC134" i="96"/>
  <c r="BP70" i="88" s="1"/>
  <c r="AC133" i="97"/>
  <c r="BP79" i="88" s="1"/>
  <c r="AB87" i="97"/>
  <c r="AC87" i="97" s="1"/>
  <c r="BU76" i="88"/>
  <c r="BU80" i="88" s="1"/>
  <c r="R42" i="97"/>
  <c r="Q65" i="97"/>
  <c r="Q88" i="97" s="1"/>
  <c r="Q111" i="97" s="1"/>
  <c r="R45" i="97"/>
  <c r="Q68" i="97"/>
  <c r="Q91" i="97" s="1"/>
  <c r="Q114" i="97" s="1"/>
  <c r="R44" i="97"/>
  <c r="Q67" i="97"/>
  <c r="Q90" i="97" s="1"/>
  <c r="Q113" i="97" s="1"/>
  <c r="AC64" i="97"/>
  <c r="BP75" i="88" s="1"/>
  <c r="AB41" i="97"/>
  <c r="AC41" i="97" s="1"/>
  <c r="BP74" i="88" s="1"/>
  <c r="AC18" i="97"/>
  <c r="BP73" i="88" s="1"/>
  <c r="R91" i="96"/>
  <c r="Q114" i="96"/>
  <c r="R114" i="96" s="1"/>
  <c r="R90" i="96"/>
  <c r="Q113" i="96"/>
  <c r="R113" i="96" s="1"/>
  <c r="R88" i="96"/>
  <c r="Q111" i="96"/>
  <c r="R111" i="96" s="1"/>
  <c r="AC110" i="96"/>
  <c r="BP69" i="88" s="1"/>
  <c r="AC87" i="96"/>
  <c r="BP68" i="88" s="1"/>
  <c r="AC41" i="96"/>
  <c r="BP65" i="88" s="1"/>
  <c r="BU71" i="88"/>
  <c r="BU63" i="88"/>
  <c r="AC243" i="92"/>
  <c r="BP39" i="88" s="1"/>
  <c r="AC18" i="96"/>
  <c r="BP66" i="88" s="1"/>
  <c r="AC18" i="95"/>
  <c r="BP61" i="88" s="1"/>
  <c r="BP63" i="88" s="1"/>
  <c r="BU58" i="88"/>
  <c r="AC19" i="94"/>
  <c r="BP56" i="88" s="1"/>
  <c r="BU57" i="88"/>
  <c r="AC42" i="94"/>
  <c r="S320" i="92"/>
  <c r="S322" i="92"/>
  <c r="S317" i="92"/>
  <c r="S319" i="92"/>
  <c r="S344" i="92"/>
  <c r="S321" i="92"/>
  <c r="S318" i="92"/>
  <c r="Q324" i="92"/>
  <c r="T300" i="92"/>
  <c r="Q315" i="92"/>
  <c r="Q314" i="92"/>
  <c r="R288" i="92"/>
  <c r="Q312" i="92"/>
  <c r="R312" i="92" s="1"/>
  <c r="R289" i="92"/>
  <c r="Q313" i="92"/>
  <c r="R313" i="92" s="1"/>
  <c r="T47" i="88"/>
  <c r="AF243" i="92"/>
  <c r="Y243" i="92"/>
  <c r="S273" i="92"/>
  <c r="S272" i="92"/>
  <c r="R266" i="92"/>
  <c r="T276" i="92"/>
  <c r="AI265" i="92" s="1"/>
  <c r="AJ265" i="92" s="1"/>
  <c r="R267" i="92"/>
  <c r="R268" i="92"/>
  <c r="AB177" i="92"/>
  <c r="AC177" i="92" s="1"/>
  <c r="BP42" i="88" s="1"/>
  <c r="BU38" i="88"/>
  <c r="AB199" i="92"/>
  <c r="AC199" i="92" s="1"/>
  <c r="Q225" i="92"/>
  <c r="R225" i="92" s="1"/>
  <c r="R203" i="92"/>
  <c r="AC155" i="92"/>
  <c r="Q96" i="92"/>
  <c r="Q119" i="92" s="1"/>
  <c r="R200" i="92"/>
  <c r="Q222" i="92"/>
  <c r="R222" i="92" s="1"/>
  <c r="R202" i="92"/>
  <c r="Q224" i="92"/>
  <c r="R224" i="92" s="1"/>
  <c r="AB221" i="92"/>
  <c r="AC221" i="92" s="1"/>
  <c r="BP50" i="88" s="1"/>
  <c r="BU46" i="88"/>
  <c r="AJ133" i="92"/>
  <c r="S118" i="92"/>
  <c r="Q141" i="92"/>
  <c r="S141" i="92" s="1"/>
  <c r="Q114" i="92"/>
  <c r="R91" i="92"/>
  <c r="AJ87" i="92"/>
  <c r="BU41" i="88" s="1"/>
  <c r="Q113" i="92"/>
  <c r="R90" i="92"/>
  <c r="R88" i="92"/>
  <c r="Q111" i="92"/>
  <c r="Q116" i="92"/>
  <c r="S93" i="92"/>
  <c r="AJ64" i="92"/>
  <c r="BU37" i="88" s="1"/>
  <c r="AB64" i="92"/>
  <c r="AC64" i="92" s="1"/>
  <c r="BP37" i="88" s="1"/>
  <c r="BU35" i="88"/>
  <c r="AC54" i="90"/>
  <c r="BP26" i="88" s="1"/>
  <c r="W54" i="84"/>
  <c r="X54" i="84" s="1"/>
  <c r="BM21" i="88" s="1"/>
  <c r="AC35" i="84"/>
  <c r="BP20" i="88" s="1"/>
  <c r="BU34" i="88"/>
  <c r="BU31" i="88"/>
  <c r="BU32" i="88" s="1"/>
  <c r="AC16" i="91"/>
  <c r="AC92" i="90"/>
  <c r="BP28" i="88" s="1"/>
  <c r="BK28" i="88"/>
  <c r="BU28" i="88"/>
  <c r="BP27" i="88"/>
  <c r="BK27" i="88"/>
  <c r="BU27" i="88"/>
  <c r="BU26" i="88"/>
  <c r="BK26" i="88"/>
  <c r="AC34" i="90"/>
  <c r="BU25" i="88"/>
  <c r="BK25" i="88"/>
  <c r="BU24" i="88"/>
  <c r="AC15" i="90"/>
  <c r="AD54" i="84"/>
  <c r="BP21" i="88"/>
  <c r="AK54" i="84"/>
  <c r="BU21" i="88"/>
  <c r="BU20" i="88"/>
  <c r="BK20" i="88"/>
  <c r="AF15" i="84"/>
  <c r="Y15" i="84"/>
  <c r="BU19" i="88"/>
  <c r="AB15" i="84"/>
  <c r="E5" i="85"/>
  <c r="Q50" i="92" l="1"/>
  <c r="S50" i="92" s="1"/>
  <c r="AB41" i="92" s="1"/>
  <c r="AC41" i="92" s="1"/>
  <c r="S27" i="92"/>
  <c r="AB18" i="92" s="1"/>
  <c r="AC18" i="92" s="1"/>
  <c r="BP34" i="88" s="1"/>
  <c r="R337" i="92"/>
  <c r="Q364" i="92"/>
  <c r="R364" i="92" s="1"/>
  <c r="U19" i="94"/>
  <c r="BK56" i="88" s="1"/>
  <c r="AF19" i="94"/>
  <c r="Y19" i="94"/>
  <c r="U65" i="94"/>
  <c r="BK58" i="88" s="1"/>
  <c r="BK59" i="88" s="1"/>
  <c r="Y65" i="94"/>
  <c r="AF65" i="94"/>
  <c r="R20" i="95"/>
  <c r="Q43" i="95"/>
  <c r="R43" i="95" s="1"/>
  <c r="Y16" i="91"/>
  <c r="AF16" i="91"/>
  <c r="U16" i="91"/>
  <c r="BK31" i="88" s="1"/>
  <c r="BK32" i="88" s="1"/>
  <c r="U18" i="92"/>
  <c r="BK34" i="88" s="1"/>
  <c r="AF18" i="92"/>
  <c r="Y18" i="92"/>
  <c r="AF42" i="94"/>
  <c r="Y42" i="94"/>
  <c r="U42" i="94"/>
  <c r="BK57" i="88" s="1"/>
  <c r="Q89" i="92"/>
  <c r="R66" i="92"/>
  <c r="U41" i="92"/>
  <c r="BK35" i="88" s="1"/>
  <c r="Y41" i="92"/>
  <c r="AF41" i="92"/>
  <c r="G9" i="85"/>
  <c r="Q20" i="97"/>
  <c r="Q339" i="92"/>
  <c r="Q20" i="96"/>
  <c r="R20" i="96" s="1"/>
  <c r="Q43" i="96"/>
  <c r="R43" i="96" s="1"/>
  <c r="Q157" i="92"/>
  <c r="R157" i="92" s="1"/>
  <c r="Q179" i="92"/>
  <c r="Q66" i="96"/>
  <c r="BU59" i="88"/>
  <c r="BU85" i="88"/>
  <c r="BP84" i="88"/>
  <c r="BP85" i="88" s="1"/>
  <c r="R111" i="97"/>
  <c r="Q134" i="97"/>
  <c r="R113" i="97"/>
  <c r="Q136" i="97"/>
  <c r="R114" i="97"/>
  <c r="Q137" i="97"/>
  <c r="BP76" i="88"/>
  <c r="BP80" i="88" s="1"/>
  <c r="R67" i="97"/>
  <c r="R90" i="97"/>
  <c r="R65" i="97"/>
  <c r="R88" i="97"/>
  <c r="R68" i="97"/>
  <c r="R91" i="97"/>
  <c r="BP71" i="88"/>
  <c r="BP57" i="88"/>
  <c r="BP59" i="88" s="1"/>
  <c r="R314" i="92"/>
  <c r="R315" i="92"/>
  <c r="T324" i="92"/>
  <c r="AI311" i="92" s="1"/>
  <c r="AJ311" i="92" s="1"/>
  <c r="Q351" i="92"/>
  <c r="U265" i="92"/>
  <c r="BK43" i="88" s="1"/>
  <c r="AI287" i="92"/>
  <c r="AJ287" i="92" s="1"/>
  <c r="AB287" i="92"/>
  <c r="AC287" i="92" s="1"/>
  <c r="U287" i="92"/>
  <c r="AF287" i="92"/>
  <c r="Y287" i="92"/>
  <c r="AB265" i="92"/>
  <c r="AC265" i="92" s="1"/>
  <c r="BP43" i="88" s="1"/>
  <c r="AU47" i="88"/>
  <c r="AU54" i="88" s="1"/>
  <c r="AU86" i="88" s="1"/>
  <c r="Y265" i="92"/>
  <c r="BU43" i="88"/>
  <c r="AF265" i="92"/>
  <c r="BP38" i="88"/>
  <c r="S96" i="92"/>
  <c r="AB87" i="92" s="1"/>
  <c r="AC87" i="92" s="1"/>
  <c r="BP41" i="88" s="1"/>
  <c r="BP46" i="88"/>
  <c r="BL21" i="88"/>
  <c r="BU49" i="88"/>
  <c r="S119" i="92"/>
  <c r="Q142" i="92"/>
  <c r="S142" i="92" s="1"/>
  <c r="R113" i="92"/>
  <c r="Q136" i="92"/>
  <c r="R136" i="92" s="1"/>
  <c r="S116" i="92"/>
  <c r="Q139" i="92"/>
  <c r="S139" i="92" s="1"/>
  <c r="R111" i="92"/>
  <c r="Q134" i="92"/>
  <c r="R134" i="92" s="1"/>
  <c r="R114" i="92"/>
  <c r="Q137" i="92"/>
  <c r="R137" i="92" s="1"/>
  <c r="BP35" i="88"/>
  <c r="BP31" i="88"/>
  <c r="BK29" i="88"/>
  <c r="BU29" i="88"/>
  <c r="BP25" i="88"/>
  <c r="BP24" i="88"/>
  <c r="AL54" i="84"/>
  <c r="BW21" i="88" s="1"/>
  <c r="BV21" i="88"/>
  <c r="AE54" i="84"/>
  <c r="BR21" i="88" s="1"/>
  <c r="BQ21" i="88"/>
  <c r="BU22" i="88"/>
  <c r="AC15" i="84"/>
  <c r="BP19" i="88" s="1"/>
  <c r="U15" i="84"/>
  <c r="BK19" i="88" s="1"/>
  <c r="BK22" i="88" s="1"/>
  <c r="E12" i="85"/>
  <c r="E21" i="85" s="1"/>
  <c r="E14" i="85"/>
  <c r="E11" i="85"/>
  <c r="E20" i="85" s="1"/>
  <c r="E6" i="85"/>
  <c r="Y41" i="96" l="1"/>
  <c r="U41" i="96"/>
  <c r="BK65" i="88" s="1"/>
  <c r="AF41" i="96"/>
  <c r="G10" i="85"/>
  <c r="Q20" i="99"/>
  <c r="Y64" i="92"/>
  <c r="AF64" i="92"/>
  <c r="U64" i="92"/>
  <c r="BK37" i="88" s="1"/>
  <c r="U41" i="95"/>
  <c r="BK62" i="88" s="1"/>
  <c r="AF41" i="95"/>
  <c r="Y41" i="95"/>
  <c r="AF362" i="92"/>
  <c r="R339" i="92"/>
  <c r="AF335" i="92" s="1"/>
  <c r="Q366" i="92"/>
  <c r="R366" i="92" s="1"/>
  <c r="Y362" i="92" s="1"/>
  <c r="R66" i="96"/>
  <c r="Q89" i="96"/>
  <c r="Y18" i="96"/>
  <c r="U18" i="96"/>
  <c r="BK66" i="88" s="1"/>
  <c r="AF18" i="96"/>
  <c r="Q112" i="92"/>
  <c r="R89" i="92"/>
  <c r="Y87" i="92" s="1"/>
  <c r="AF18" i="95"/>
  <c r="U18" i="95"/>
  <c r="BK61" i="88" s="1"/>
  <c r="BK63" i="88" s="1"/>
  <c r="Y18" i="95"/>
  <c r="Q201" i="92"/>
  <c r="R179" i="92"/>
  <c r="Y155" i="92"/>
  <c r="U155" i="92"/>
  <c r="BK38" i="88" s="1"/>
  <c r="AF155" i="92"/>
  <c r="R20" i="97"/>
  <c r="Q43" i="97"/>
  <c r="AB110" i="92"/>
  <c r="AC110" i="92" s="1"/>
  <c r="R137" i="97"/>
  <c r="Q160" i="97"/>
  <c r="R160" i="97" s="1"/>
  <c r="R134" i="97"/>
  <c r="Q157" i="97"/>
  <c r="R157" i="97" s="1"/>
  <c r="R136" i="97"/>
  <c r="Q159" i="97"/>
  <c r="R159" i="97" s="1"/>
  <c r="T351" i="92"/>
  <c r="AI335" i="92" s="1"/>
  <c r="AJ335" i="92" s="1"/>
  <c r="BU52" i="88" s="1"/>
  <c r="Q378" i="92"/>
  <c r="T378" i="92" s="1"/>
  <c r="BK47" i="88"/>
  <c r="Y335" i="92"/>
  <c r="U311" i="92"/>
  <c r="BK51" i="88" s="1"/>
  <c r="BU51" i="88"/>
  <c r="AF311" i="92"/>
  <c r="AB311" i="92"/>
  <c r="AC311" i="92" s="1"/>
  <c r="Y311" i="92"/>
  <c r="AB335" i="92"/>
  <c r="AC335" i="92" s="1"/>
  <c r="BU47" i="88"/>
  <c r="BP47" i="88"/>
  <c r="AY47" i="88"/>
  <c r="AF87" i="92"/>
  <c r="AB133" i="92"/>
  <c r="AC133" i="92" s="1"/>
  <c r="BP45" i="88"/>
  <c r="BP32" i="88"/>
  <c r="BP29" i="88"/>
  <c r="BP22" i="88"/>
  <c r="E15" i="85"/>
  <c r="E16" i="85" s="1"/>
  <c r="E17" i="85" s="1"/>
  <c r="E18" i="85" s="1"/>
  <c r="E19" i="85" s="1"/>
  <c r="E7" i="85"/>
  <c r="E8" i="85" s="1"/>
  <c r="E9" i="85" s="1"/>
  <c r="E10" i="85" s="1"/>
  <c r="J498" i="69"/>
  <c r="K498" i="69" s="1"/>
  <c r="E87" i="83"/>
  <c r="E88" i="83"/>
  <c r="J483" i="69"/>
  <c r="J126" i="69"/>
  <c r="J470" i="69"/>
  <c r="K470" i="69" s="1"/>
  <c r="J469" i="69"/>
  <c r="K469" i="69" s="1"/>
  <c r="K471" i="69" s="1"/>
  <c r="J457" i="69"/>
  <c r="K457" i="69" s="1"/>
  <c r="J456" i="69"/>
  <c r="J454" i="69"/>
  <c r="J453" i="69"/>
  <c r="J452" i="69"/>
  <c r="J451" i="69"/>
  <c r="J444" i="69"/>
  <c r="J443" i="69"/>
  <c r="J442" i="69"/>
  <c r="J430" i="69"/>
  <c r="J429" i="69"/>
  <c r="J417" i="69"/>
  <c r="J416" i="69"/>
  <c r="J415" i="69"/>
  <c r="J413" i="69"/>
  <c r="J427" i="69" s="1"/>
  <c r="J440" i="69" s="1"/>
  <c r="J412" i="69"/>
  <c r="J426" i="69" s="1"/>
  <c r="J439" i="69" s="1"/>
  <c r="J410" i="69"/>
  <c r="J424" i="69" s="1"/>
  <c r="J437" i="69" s="1"/>
  <c r="R43" i="97" l="1"/>
  <c r="Q66" i="97"/>
  <c r="AF64" i="96"/>
  <c r="Y64" i="96"/>
  <c r="U64" i="96"/>
  <c r="BK67" i="88" s="1"/>
  <c r="AF18" i="97"/>
  <c r="Y18" i="97"/>
  <c r="U18" i="97"/>
  <c r="BK73" i="88" s="1"/>
  <c r="Y177" i="92"/>
  <c r="U177" i="92"/>
  <c r="BK42" i="88" s="1"/>
  <c r="AF177" i="92"/>
  <c r="Q223" i="92"/>
  <c r="R223" i="92" s="1"/>
  <c r="R201" i="92"/>
  <c r="U87" i="92"/>
  <c r="BK41" i="88" s="1"/>
  <c r="U335" i="92"/>
  <c r="BK52" i="88" s="1"/>
  <c r="Q135" i="92"/>
  <c r="R135" i="92" s="1"/>
  <c r="R112" i="92"/>
  <c r="Q112" i="96"/>
  <c r="R112" i="96" s="1"/>
  <c r="R89" i="96"/>
  <c r="R20" i="99"/>
  <c r="Q44" i="99"/>
  <c r="AY54" i="88"/>
  <c r="AY86" i="88" s="1"/>
  <c r="AI362" i="92"/>
  <c r="AJ362" i="92" s="1"/>
  <c r="AB362" i="92"/>
  <c r="AC362" i="92" s="1"/>
  <c r="U362" i="92"/>
  <c r="BP52" i="88"/>
  <c r="BP51" i="88"/>
  <c r="S47" i="88"/>
  <c r="S54" i="88" s="1"/>
  <c r="S86" i="88" s="1"/>
  <c r="J499" i="69"/>
  <c r="K499" i="69" s="1"/>
  <c r="J484" i="69"/>
  <c r="BP49" i="88"/>
  <c r="J465" i="69"/>
  <c r="J464" i="69"/>
  <c r="J478" i="69" s="1"/>
  <c r="J493" i="69" s="1"/>
  <c r="K493" i="69" s="1"/>
  <c r="J467" i="69"/>
  <c r="J481" i="69" s="1"/>
  <c r="J496" i="69" s="1"/>
  <c r="K496" i="69" s="1"/>
  <c r="J466" i="69"/>
  <c r="J480" i="69" s="1"/>
  <c r="J495" i="69" s="1"/>
  <c r="K495" i="69" s="1"/>
  <c r="K468" i="69"/>
  <c r="AF221" i="92" l="1"/>
  <c r="U221" i="92"/>
  <c r="BK50" i="88" s="1"/>
  <c r="Y221" i="92"/>
  <c r="AF110" i="96"/>
  <c r="Y110" i="96"/>
  <c r="U110" i="96"/>
  <c r="BK69" i="88" s="1"/>
  <c r="Q89" i="97"/>
  <c r="R66" i="97"/>
  <c r="Y18" i="99"/>
  <c r="U18" i="99"/>
  <c r="BK82" i="88" s="1"/>
  <c r="AF18" i="99"/>
  <c r="AF133" i="92"/>
  <c r="U133" i="92"/>
  <c r="BK49" i="88" s="1"/>
  <c r="Y133" i="92"/>
  <c r="AF87" i="96"/>
  <c r="U87" i="96"/>
  <c r="BK68" i="88" s="1"/>
  <c r="BK71" i="88" s="1"/>
  <c r="Y87" i="96"/>
  <c r="R44" i="99"/>
  <c r="Q68" i="99"/>
  <c r="R68" i="99" s="1"/>
  <c r="U110" i="92"/>
  <c r="BK45" i="88" s="1"/>
  <c r="Y110" i="92"/>
  <c r="AF110" i="92"/>
  <c r="Y199" i="92"/>
  <c r="AF199" i="92"/>
  <c r="U199" i="92"/>
  <c r="BK46" i="88" s="1"/>
  <c r="U41" i="97"/>
  <c r="BK74" i="88" s="1"/>
  <c r="Y41" i="97"/>
  <c r="AF41" i="97"/>
  <c r="BK53" i="88"/>
  <c r="BP53" i="88"/>
  <c r="BP54" i="88" s="1"/>
  <c r="BP86" i="88" s="1"/>
  <c r="BU53" i="88"/>
  <c r="BU54" i="88" s="1"/>
  <c r="BU86" i="88" s="1"/>
  <c r="R47" i="88"/>
  <c r="R54" i="88" s="1"/>
  <c r="K465" i="69"/>
  <c r="J479" i="69"/>
  <c r="J494" i="69" s="1"/>
  <c r="K494" i="69" s="1"/>
  <c r="K492" i="69" s="1"/>
  <c r="K466" i="69"/>
  <c r="K464" i="69"/>
  <c r="K467" i="69"/>
  <c r="BK54" i="88" l="1"/>
  <c r="Q112" i="97"/>
  <c r="R89" i="97"/>
  <c r="U42" i="99"/>
  <c r="BK83" i="88" s="1"/>
  <c r="AF42" i="99"/>
  <c r="Y42" i="99"/>
  <c r="Y64" i="97"/>
  <c r="AF64" i="97"/>
  <c r="U64" i="97"/>
  <c r="BK75" i="88" s="1"/>
  <c r="U66" i="99"/>
  <c r="BK84" i="88" s="1"/>
  <c r="BK85" i="88" s="1"/>
  <c r="Y66" i="99"/>
  <c r="AF66" i="99"/>
  <c r="L47" i="88"/>
  <c r="K463" i="69"/>
  <c r="K472" i="69" s="1"/>
  <c r="K473" i="69" s="1"/>
  <c r="K474" i="69" s="1"/>
  <c r="K462" i="69" s="1"/>
  <c r="U87" i="97" l="1"/>
  <c r="BK76" i="88" s="1"/>
  <c r="AF87" i="97"/>
  <c r="Y87" i="97"/>
  <c r="R112" i="97"/>
  <c r="Q135" i="97"/>
  <c r="K47" i="88"/>
  <c r="H70" i="59"/>
  <c r="G78" i="88"/>
  <c r="H78" i="88" s="1"/>
  <c r="V156" i="97" s="1"/>
  <c r="E77" i="83"/>
  <c r="J402" i="69"/>
  <c r="K402" i="69" s="1"/>
  <c r="J389" i="69"/>
  <c r="J403" i="69" s="1"/>
  <c r="K403" i="69" s="1"/>
  <c r="J388" i="69"/>
  <c r="J386" i="69"/>
  <c r="J400" i="69" s="1"/>
  <c r="K400" i="69" s="1"/>
  <c r="J385" i="69"/>
  <c r="J399" i="69" s="1"/>
  <c r="K399" i="69" s="1"/>
  <c r="J384" i="69"/>
  <c r="J398" i="69" s="1"/>
  <c r="J383" i="69"/>
  <c r="J397" i="69" s="1"/>
  <c r="K397" i="69" s="1"/>
  <c r="E52" i="83"/>
  <c r="J372" i="69"/>
  <c r="K372" i="69" s="1"/>
  <c r="J371" i="69"/>
  <c r="J369" i="69"/>
  <c r="K369" i="69" s="1"/>
  <c r="K376" i="69"/>
  <c r="K371" i="69"/>
  <c r="J359" i="69"/>
  <c r="J358" i="69"/>
  <c r="J356" i="69"/>
  <c r="J348" i="69"/>
  <c r="K348" i="69" s="1"/>
  <c r="K347" i="69" s="1"/>
  <c r="K350" i="69"/>
  <c r="J336" i="69"/>
  <c r="J349" i="69" s="1"/>
  <c r="K349" i="69" s="1"/>
  <c r="J335" i="69"/>
  <c r="K335" i="69" s="1"/>
  <c r="K334" i="69" s="1"/>
  <c r="J333" i="69"/>
  <c r="J346" i="69" s="1"/>
  <c r="K346" i="69" s="1"/>
  <c r="J332" i="69"/>
  <c r="K332" i="69" s="1"/>
  <c r="J331" i="69"/>
  <c r="J344" i="69" s="1"/>
  <c r="K344" i="69" s="1"/>
  <c r="J330" i="69"/>
  <c r="K330" i="69" s="1"/>
  <c r="K337" i="69"/>
  <c r="J311" i="69"/>
  <c r="J310" i="69"/>
  <c r="J323" i="69" s="1"/>
  <c r="J308" i="69"/>
  <c r="J321" i="69" s="1"/>
  <c r="J307" i="69"/>
  <c r="J320" i="69" s="1"/>
  <c r="J305" i="69"/>
  <c r="J318" i="69" s="1"/>
  <c r="K331" i="69" s="1"/>
  <c r="J298" i="69"/>
  <c r="J297" i="69"/>
  <c r="J295" i="69"/>
  <c r="J293" i="69"/>
  <c r="J292" i="69"/>
  <c r="J290" i="69"/>
  <c r="J283" i="69"/>
  <c r="J282" i="69"/>
  <c r="J280" i="69"/>
  <c r="J278" i="69"/>
  <c r="J277" i="69"/>
  <c r="J275" i="69"/>
  <c r="J266" i="69"/>
  <c r="J265" i="69"/>
  <c r="J263" i="69"/>
  <c r="J256" i="69"/>
  <c r="J253" i="69"/>
  <c r="J252" i="69"/>
  <c r="J250" i="69"/>
  <c r="J243" i="69"/>
  <c r="J241" i="69"/>
  <c r="J239" i="69"/>
  <c r="J238" i="69"/>
  <c r="J236" i="69"/>
  <c r="J208" i="69"/>
  <c r="J228" i="69" s="1"/>
  <c r="J207" i="69"/>
  <c r="J227" i="69" s="1"/>
  <c r="J205" i="69"/>
  <c r="J225" i="69" s="1"/>
  <c r="J204" i="69"/>
  <c r="J224" i="69" s="1"/>
  <c r="J200" i="69"/>
  <c r="J220" i="69" s="1"/>
  <c r="J199" i="69"/>
  <c r="J219" i="69" s="1"/>
  <c r="J197" i="69"/>
  <c r="J217" i="69" s="1"/>
  <c r="J195" i="69"/>
  <c r="J215" i="69" s="1"/>
  <c r="J188" i="69"/>
  <c r="J187" i="69"/>
  <c r="J186" i="69"/>
  <c r="J185" i="69"/>
  <c r="J184" i="69"/>
  <c r="J183" i="69"/>
  <c r="J181" i="69"/>
  <c r="J180" i="69"/>
  <c r="J179" i="69"/>
  <c r="J178" i="69"/>
  <c r="J171" i="69"/>
  <c r="J170" i="69"/>
  <c r="J169" i="69"/>
  <c r="J168" i="69"/>
  <c r="J167" i="69"/>
  <c r="J166" i="69"/>
  <c r="J164" i="69"/>
  <c r="J163" i="69"/>
  <c r="J162" i="69"/>
  <c r="J161" i="69"/>
  <c r="J154" i="69"/>
  <c r="J153" i="69"/>
  <c r="J152" i="69"/>
  <c r="J150" i="69"/>
  <c r="J149" i="69"/>
  <c r="J148" i="69"/>
  <c r="J147" i="69"/>
  <c r="J138" i="69"/>
  <c r="J140" i="69"/>
  <c r="J139" i="69"/>
  <c r="J136" i="69"/>
  <c r="J135" i="69"/>
  <c r="J134" i="69"/>
  <c r="J133" i="69"/>
  <c r="J125" i="69"/>
  <c r="J123" i="69"/>
  <c r="J122" i="69"/>
  <c r="J120" i="69"/>
  <c r="J112" i="69"/>
  <c r="J111" i="69"/>
  <c r="J108" i="69"/>
  <c r="J107" i="69"/>
  <c r="J105" i="69"/>
  <c r="J96" i="69"/>
  <c r="J95" i="69"/>
  <c r="J92" i="69"/>
  <c r="J91" i="69"/>
  <c r="J89" i="69"/>
  <c r="J81" i="69"/>
  <c r="J79" i="69"/>
  <c r="J77" i="69"/>
  <c r="J76" i="69"/>
  <c r="J74" i="69"/>
  <c r="J67" i="69"/>
  <c r="J65" i="69"/>
  <c r="J64" i="69"/>
  <c r="J56" i="69"/>
  <c r="J55" i="69"/>
  <c r="J46" i="69"/>
  <c r="K46" i="69" s="1"/>
  <c r="J45" i="69"/>
  <c r="K45" i="69" s="1"/>
  <c r="J37" i="69"/>
  <c r="J36" i="69"/>
  <c r="J28" i="69"/>
  <c r="J27" i="69"/>
  <c r="D196" i="69"/>
  <c r="D198" i="69"/>
  <c r="D216" i="69"/>
  <c r="D218" i="69"/>
  <c r="E4" i="69"/>
  <c r="E5" i="69"/>
  <c r="E6" i="69"/>
  <c r="R135" i="97" l="1"/>
  <c r="Q158" i="97"/>
  <c r="R158" i="97" s="1"/>
  <c r="AF110" i="97"/>
  <c r="U110" i="97"/>
  <c r="BK77" i="88" s="1"/>
  <c r="Y110" i="97"/>
  <c r="AD156" i="97"/>
  <c r="AK156" i="97"/>
  <c r="J374" i="69"/>
  <c r="J375" i="69" s="1"/>
  <c r="K375" i="69" s="1"/>
  <c r="J203" i="69"/>
  <c r="J223" i="69" s="1"/>
  <c r="J202" i="69"/>
  <c r="J222" i="69" s="1"/>
  <c r="K398" i="69"/>
  <c r="K396" i="69" s="1"/>
  <c r="K401" i="69"/>
  <c r="K404" i="69"/>
  <c r="J343" i="69"/>
  <c r="K343" i="69" s="1"/>
  <c r="J345" i="69"/>
  <c r="K345" i="69" s="1"/>
  <c r="K336" i="69"/>
  <c r="K333" i="69"/>
  <c r="K329" i="69" s="1"/>
  <c r="K338" i="69" s="1"/>
  <c r="K339" i="69" s="1"/>
  <c r="K340" i="69" s="1"/>
  <c r="K328" i="69" s="1"/>
  <c r="K44" i="69"/>
  <c r="AF156" i="97" l="1"/>
  <c r="Y156" i="97"/>
  <c r="U156" i="97"/>
  <c r="Y133" i="97"/>
  <c r="AF133" i="97"/>
  <c r="U133" i="97"/>
  <c r="BK79" i="88" s="1"/>
  <c r="K374" i="69"/>
  <c r="K373" i="69" s="1"/>
  <c r="AE156" i="97"/>
  <c r="BR78" i="88" s="1"/>
  <c r="BQ78" i="88"/>
  <c r="AL156" i="97"/>
  <c r="BW78" i="88" s="1"/>
  <c r="BV78" i="88"/>
  <c r="H59" i="59"/>
  <c r="G67" i="88"/>
  <c r="H67" i="88" s="1"/>
  <c r="V64" i="96" s="1"/>
  <c r="K405" i="69"/>
  <c r="K406" i="69" s="1"/>
  <c r="K407" i="69" s="1"/>
  <c r="K394" i="69" s="1"/>
  <c r="K342" i="69"/>
  <c r="K351" i="69" s="1"/>
  <c r="K352" i="69" s="1"/>
  <c r="K353" i="69" s="1"/>
  <c r="K341" i="69" s="1"/>
  <c r="K49" i="69"/>
  <c r="K50" i="69" s="1"/>
  <c r="K51" i="69" s="1"/>
  <c r="K43" i="69" s="1"/>
  <c r="BK78" i="88" l="1"/>
  <c r="BK80" i="88" s="1"/>
  <c r="BK86" i="88" s="1"/>
  <c r="W156" i="97"/>
  <c r="AK64" i="96"/>
  <c r="AD64" i="96"/>
  <c r="W64" i="96"/>
  <c r="H60" i="59"/>
  <c r="G68" i="88"/>
  <c r="H68" i="88" s="1"/>
  <c r="V87" i="96" s="1"/>
  <c r="H17" i="59"/>
  <c r="G25" i="88"/>
  <c r="H25" i="88" s="1"/>
  <c r="V34" i="90" s="1"/>
  <c r="I13" i="59"/>
  <c r="A13" i="59"/>
  <c r="X156" i="97" l="1"/>
  <c r="BM78" i="88" s="1"/>
  <c r="BL78" i="88"/>
  <c r="W87" i="96"/>
  <c r="AK87" i="96"/>
  <c r="AD87" i="96"/>
  <c r="X64" i="96"/>
  <c r="BM67" i="88" s="1"/>
  <c r="BL67" i="88"/>
  <c r="AE64" i="96"/>
  <c r="BR67" i="88" s="1"/>
  <c r="BQ67" i="88"/>
  <c r="AL64" i="96"/>
  <c r="BW67" i="88" s="1"/>
  <c r="BV67" i="88"/>
  <c r="AK34" i="90"/>
  <c r="W34" i="90"/>
  <c r="AD34" i="90"/>
  <c r="J19" i="69"/>
  <c r="J20" i="69"/>
  <c r="J18" i="69"/>
  <c r="J16" i="69"/>
  <c r="J15" i="69"/>
  <c r="J14" i="69"/>
  <c r="J13" i="69"/>
  <c r="E90" i="83"/>
  <c r="E89" i="83"/>
  <c r="E69" i="83"/>
  <c r="E68" i="83"/>
  <c r="E67" i="83"/>
  <c r="E66" i="83"/>
  <c r="E65" i="83"/>
  <c r="E64" i="83"/>
  <c r="E58" i="83"/>
  <c r="E56" i="83"/>
  <c r="E57" i="83"/>
  <c r="E59" i="83"/>
  <c r="E60" i="83"/>
  <c r="E61" i="83"/>
  <c r="E62" i="83"/>
  <c r="E63" i="83"/>
  <c r="E55" i="83"/>
  <c r="E40" i="83"/>
  <c r="E45" i="83"/>
  <c r="E11" i="83"/>
  <c r="E134" i="83"/>
  <c r="A124" i="83"/>
  <c r="A125" i="83" s="1"/>
  <c r="A126" i="83" s="1"/>
  <c r="A127" i="83" s="1"/>
  <c r="E42" i="83"/>
  <c r="E41" i="83"/>
  <c r="E39" i="83"/>
  <c r="J19" i="82"/>
  <c r="J20" i="82" s="1"/>
  <c r="J21" i="82" s="1"/>
  <c r="O14" i="82" s="1"/>
  <c r="O12" i="82"/>
  <c r="E5" i="82" s="1"/>
  <c r="E12" i="82" s="1"/>
  <c r="E21" i="82" s="1"/>
  <c r="F7" i="82"/>
  <c r="F8" i="82" l="1"/>
  <c r="J276" i="69"/>
  <c r="J264" i="69"/>
  <c r="J90" i="69"/>
  <c r="J75" i="69"/>
  <c r="J357" i="69"/>
  <c r="J237" i="69"/>
  <c r="J291" i="69"/>
  <c r="J251" i="69"/>
  <c r="J196" i="69"/>
  <c r="J216" i="69" s="1"/>
  <c r="J106" i="69"/>
  <c r="AE87" i="96"/>
  <c r="BR68" i="88" s="1"/>
  <c r="BQ68" i="88"/>
  <c r="AL87" i="96"/>
  <c r="BW68" i="88" s="1"/>
  <c r="BV68" i="88"/>
  <c r="X87" i="96"/>
  <c r="BM68" i="88" s="1"/>
  <c r="BL68" i="88"/>
  <c r="J485" i="69"/>
  <c r="J500" i="69"/>
  <c r="K500" i="69" s="1"/>
  <c r="K497" i="69" s="1"/>
  <c r="K502" i="69" s="1"/>
  <c r="AE34" i="90"/>
  <c r="BR25" i="88" s="1"/>
  <c r="BQ25" i="88"/>
  <c r="X34" i="90"/>
  <c r="BM25" i="88" s="1"/>
  <c r="BL25" i="88"/>
  <c r="AL34" i="90"/>
  <c r="BW25" i="88" s="1"/>
  <c r="BV25" i="88"/>
  <c r="J296" i="69"/>
  <c r="J361" i="69"/>
  <c r="J362" i="69" s="1"/>
  <c r="J94" i="69"/>
  <c r="J80" i="69"/>
  <c r="J281" i="69"/>
  <c r="J255" i="69"/>
  <c r="J242" i="69"/>
  <c r="J206" i="69"/>
  <c r="J226" i="69" s="1"/>
  <c r="J110" i="69"/>
  <c r="J268" i="69"/>
  <c r="J97" i="69"/>
  <c r="J113" i="69"/>
  <c r="O13" i="82"/>
  <c r="E11" i="82"/>
  <c r="E20" i="82" s="1"/>
  <c r="E14" i="82"/>
  <c r="E6" i="82"/>
  <c r="F9" i="82" l="1"/>
  <c r="F10" i="82" s="1"/>
  <c r="J411" i="69"/>
  <c r="J425" i="69" s="1"/>
  <c r="J438" i="69" s="1"/>
  <c r="J121" i="69"/>
  <c r="J370" i="69"/>
  <c r="K370" i="69" s="1"/>
  <c r="K368" i="69" s="1"/>
  <c r="K377" i="69" s="1"/>
  <c r="K378" i="69" s="1"/>
  <c r="K379" i="69" s="1"/>
  <c r="K367" i="69" s="1"/>
  <c r="J306" i="69"/>
  <c r="J319" i="69" s="1"/>
  <c r="J198" i="69"/>
  <c r="J218" i="69" s="1"/>
  <c r="E15" i="82"/>
  <c r="E16" i="82" s="1"/>
  <c r="E17" i="82" s="1"/>
  <c r="E18" i="82" s="1"/>
  <c r="E19" i="82" s="1"/>
  <c r="E7" i="82"/>
  <c r="E8" i="82" s="1"/>
  <c r="E9" i="82" s="1"/>
  <c r="E10" i="82" s="1"/>
  <c r="H61" i="59" l="1"/>
  <c r="G69" i="88"/>
  <c r="H69" i="88" s="1"/>
  <c r="V110" i="96" s="1"/>
  <c r="E3" i="69"/>
  <c r="D3" i="89"/>
  <c r="L85" i="88"/>
  <c r="M85" i="88"/>
  <c r="K32" i="88"/>
  <c r="L32" i="88"/>
  <c r="L63" i="88"/>
  <c r="K80" i="88"/>
  <c r="L71" i="88"/>
  <c r="L54" i="88"/>
  <c r="L59" i="88"/>
  <c r="K59" i="88"/>
  <c r="K22" i="88"/>
  <c r="L29" i="88"/>
  <c r="L22" i="88"/>
  <c r="K29" i="88"/>
  <c r="K71" i="88"/>
  <c r="K54" i="88"/>
  <c r="K85" i="88"/>
  <c r="K63" i="88"/>
  <c r="L80" i="88"/>
  <c r="M32" i="88"/>
  <c r="M59" i="88"/>
  <c r="I61" i="59"/>
  <c r="I60" i="59"/>
  <c r="I59" i="59"/>
  <c r="I70" i="59"/>
  <c r="A66" i="59"/>
  <c r="A67" i="59" s="1"/>
  <c r="A60" i="59"/>
  <c r="A62" i="59" s="1"/>
  <c r="W110" i="96" l="1"/>
  <c r="AK110" i="96"/>
  <c r="AD110" i="96"/>
  <c r="K86" i="88"/>
  <c r="M86" i="88"/>
  <c r="L86" i="88"/>
  <c r="N59" i="88"/>
  <c r="BV69" i="88" l="1"/>
  <c r="AL110" i="96"/>
  <c r="BW69" i="88" s="1"/>
  <c r="AE110" i="96"/>
  <c r="BR69" i="88" s="1"/>
  <c r="BQ69" i="88"/>
  <c r="BL69" i="88"/>
  <c r="X110" i="96"/>
  <c r="BM69" i="88" s="1"/>
  <c r="N86" i="88"/>
  <c r="O86" i="88" l="1"/>
  <c r="K456" i="69"/>
  <c r="K455" i="69" s="1"/>
  <c r="K388" i="69"/>
  <c r="P86" i="88" l="1"/>
  <c r="R86" i="88"/>
  <c r="K458" i="69"/>
  <c r="K390" i="69"/>
  <c r="K485" i="69"/>
  <c r="K484" i="69"/>
  <c r="K483" i="69"/>
  <c r="K284" i="69"/>
  <c r="K444" i="69"/>
  <c r="K445" i="69"/>
  <c r="K443" i="69"/>
  <c r="K430" i="69"/>
  <c r="K431" i="69"/>
  <c r="K418" i="69"/>
  <c r="K324" i="69"/>
  <c r="K312" i="69"/>
  <c r="K363" i="69"/>
  <c r="Q86" i="88" l="1"/>
  <c r="K482" i="69"/>
  <c r="K361" i="69"/>
  <c r="K208" i="69"/>
  <c r="K207" i="69"/>
  <c r="K125" i="69"/>
  <c r="K362" i="69" l="1"/>
  <c r="K360" i="69" s="1"/>
  <c r="K37" i="69" l="1"/>
  <c r="K28" i="69"/>
  <c r="K27" i="69"/>
  <c r="D6" i="71"/>
  <c r="D5" i="71"/>
  <c r="D4" i="71"/>
  <c r="D3" i="71"/>
  <c r="A6" i="71"/>
  <c r="A5" i="71"/>
  <c r="A4" i="71"/>
  <c r="A3" i="71"/>
  <c r="A11" i="7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C6" i="71"/>
  <c r="C5" i="71"/>
  <c r="C4" i="71"/>
  <c r="C3" i="71"/>
  <c r="K275" i="69"/>
  <c r="K278" i="69"/>
  <c r="K282" i="69"/>
  <c r="K283" i="69"/>
  <c r="K290" i="69"/>
  <c r="K293" i="69"/>
  <c r="K305" i="69"/>
  <c r="K308" i="69"/>
  <c r="K310" i="69"/>
  <c r="K311" i="69"/>
  <c r="K323" i="69"/>
  <c r="K322" i="69" s="1"/>
  <c r="K416" i="69"/>
  <c r="K417" i="69"/>
  <c r="K89" i="69"/>
  <c r="K92" i="69"/>
  <c r="G129" i="69"/>
  <c r="G143" i="69" s="1"/>
  <c r="G157" i="69" s="1"/>
  <c r="G174" i="69" s="1"/>
  <c r="G191" i="69" s="1"/>
  <c r="K105" i="69"/>
  <c r="K108" i="69"/>
  <c r="K120" i="69"/>
  <c r="K123" i="69"/>
  <c r="K126" i="69"/>
  <c r="K133" i="69"/>
  <c r="K135" i="69"/>
  <c r="K136" i="69"/>
  <c r="K138" i="69"/>
  <c r="K139" i="69"/>
  <c r="K140" i="69"/>
  <c r="K147" i="69"/>
  <c r="K149" i="69"/>
  <c r="K150" i="69"/>
  <c r="K152" i="69"/>
  <c r="K153" i="69"/>
  <c r="K154" i="69"/>
  <c r="K161" i="69"/>
  <c r="K163" i="69"/>
  <c r="K164" i="69"/>
  <c r="K167" i="69"/>
  <c r="K168" i="69"/>
  <c r="K169" i="69"/>
  <c r="K170" i="69"/>
  <c r="K171" i="69"/>
  <c r="K178" i="69"/>
  <c r="K180" i="69"/>
  <c r="K181" i="69"/>
  <c r="K184" i="69"/>
  <c r="K185" i="69"/>
  <c r="G188" i="69"/>
  <c r="K223" i="69"/>
  <c r="K227" i="69"/>
  <c r="K263" i="69"/>
  <c r="K266" i="69"/>
  <c r="K236" i="69"/>
  <c r="K239" i="69"/>
  <c r="K74" i="69"/>
  <c r="K77" i="69"/>
  <c r="K79" i="69"/>
  <c r="K81" i="69"/>
  <c r="K55" i="69"/>
  <c r="K56" i="69"/>
  <c r="K64" i="69"/>
  <c r="K65" i="69"/>
  <c r="K67" i="69"/>
  <c r="K66" i="69" s="1"/>
  <c r="K19" i="69"/>
  <c r="K20" i="69"/>
  <c r="K18" i="69"/>
  <c r="K15" i="69"/>
  <c r="K16" i="69"/>
  <c r="K13" i="69"/>
  <c r="B6" i="69"/>
  <c r="B5" i="69"/>
  <c r="B4" i="69"/>
  <c r="B3" i="69"/>
  <c r="K54" i="69" l="1"/>
  <c r="K59" i="69" s="1"/>
  <c r="K60" i="69" s="1"/>
  <c r="K61" i="69" s="1"/>
  <c r="K215" i="69"/>
  <c r="K220" i="69"/>
  <c r="K228" i="69"/>
  <c r="K478" i="69"/>
  <c r="K481" i="69"/>
  <c r="K413" i="69"/>
  <c r="K410" i="69"/>
  <c r="K415" i="69"/>
  <c r="K414" i="69" s="1"/>
  <c r="K318" i="69"/>
  <c r="K321" i="69"/>
  <c r="K199" i="69"/>
  <c r="K200" i="69"/>
  <c r="K224" i="69"/>
  <c r="K204" i="69"/>
  <c r="K203" i="69"/>
  <c r="K225" i="69"/>
  <c r="K205" i="69"/>
  <c r="K195" i="69"/>
  <c r="K250" i="69"/>
  <c r="K253" i="69"/>
  <c r="K256" i="69"/>
  <c r="K243" i="69"/>
  <c r="K241" i="69"/>
  <c r="K26" i="69"/>
  <c r="K31" i="69" s="1"/>
  <c r="K17" i="69"/>
  <c r="K166" i="69"/>
  <c r="K165" i="69" s="1"/>
  <c r="K298" i="69"/>
  <c r="K309" i="69"/>
  <c r="K151" i="69"/>
  <c r="K188" i="69"/>
  <c r="K186" i="69"/>
  <c r="K137" i="69"/>
  <c r="K187" i="69"/>
  <c r="K124" i="69"/>
  <c r="K63" i="69"/>
  <c r="A17" i="59"/>
  <c r="D6" i="59"/>
  <c r="A6" i="59"/>
  <c r="D5" i="59"/>
  <c r="A5" i="59"/>
  <c r="D4" i="59"/>
  <c r="A4" i="59"/>
  <c r="K69" i="69" l="1"/>
  <c r="K70" i="69" s="1"/>
  <c r="K71" i="69" s="1"/>
  <c r="K62" i="69" s="1"/>
  <c r="K52" i="69"/>
  <c r="G314" i="69"/>
  <c r="G326" i="69" s="1"/>
  <c r="K429" i="69"/>
  <c r="K428" i="69" s="1"/>
  <c r="K442" i="69"/>
  <c r="K441" i="69" s="1"/>
  <c r="K427" i="69"/>
  <c r="K437" i="69"/>
  <c r="K424" i="69"/>
  <c r="K32" i="69"/>
  <c r="K33" i="69" s="1"/>
  <c r="K25" i="69" s="1"/>
  <c r="K297" i="69"/>
  <c r="G27" i="88" l="1"/>
  <c r="H27" i="88" s="1"/>
  <c r="G28" i="88"/>
  <c r="H28" i="88" s="1"/>
  <c r="H18" i="59"/>
  <c r="G26" i="88"/>
  <c r="H26" i="88" s="1"/>
  <c r="H12" i="59"/>
  <c r="I12" i="59" s="1"/>
  <c r="G20" i="88"/>
  <c r="H20" i="88" s="1"/>
  <c r="G365" i="69"/>
  <c r="G339" i="69"/>
  <c r="G352" i="69" s="1"/>
  <c r="H20" i="59"/>
  <c r="H19" i="59"/>
  <c r="K183" i="69"/>
  <c r="K182" i="69" s="1"/>
  <c r="K202" i="69"/>
  <c r="V54" i="90" l="1"/>
  <c r="V35" i="84"/>
  <c r="V92" i="90"/>
  <c r="V73" i="90"/>
  <c r="I18" i="59"/>
  <c r="K222" i="69"/>
  <c r="AD35" i="84" l="1"/>
  <c r="AK35" i="84"/>
  <c r="W35" i="84"/>
  <c r="W92" i="90"/>
  <c r="AD92" i="90"/>
  <c r="AK92" i="90"/>
  <c r="AD54" i="90"/>
  <c r="AK54" i="90"/>
  <c r="W54" i="90"/>
  <c r="AD73" i="90"/>
  <c r="AK73" i="90"/>
  <c r="W73" i="90"/>
  <c r="I20" i="59"/>
  <c r="I19" i="59"/>
  <c r="BL28" i="88" l="1"/>
  <c r="X92" i="90"/>
  <c r="BM28" i="88" s="1"/>
  <c r="X73" i="90"/>
  <c r="BM27" i="88" s="1"/>
  <c r="BL27" i="88"/>
  <c r="BL20" i="88"/>
  <c r="X35" i="84"/>
  <c r="BM20" i="88" s="1"/>
  <c r="BV26" i="88"/>
  <c r="AL54" i="90"/>
  <c r="BW26" i="88" s="1"/>
  <c r="BV27" i="88"/>
  <c r="AL73" i="90"/>
  <c r="BW27" i="88" s="1"/>
  <c r="BQ26" i="88"/>
  <c r="AE54" i="90"/>
  <c r="BR26" i="88" s="1"/>
  <c r="BV28" i="88"/>
  <c r="AL92" i="90"/>
  <c r="BW28" i="88" s="1"/>
  <c r="AL35" i="84"/>
  <c r="BW20" i="88" s="1"/>
  <c r="BV20" i="88"/>
  <c r="X54" i="90"/>
  <c r="BM26" i="88" s="1"/>
  <c r="BL26" i="88"/>
  <c r="BQ27" i="88"/>
  <c r="AE73" i="90"/>
  <c r="BR27" i="88" s="1"/>
  <c r="BQ28" i="88"/>
  <c r="AE92" i="90"/>
  <c r="BR28" i="88" s="1"/>
  <c r="BQ20" i="88"/>
  <c r="AE35" i="84"/>
  <c r="BR20" i="88" s="1"/>
  <c r="K503" i="69"/>
  <c r="K504" i="69" s="1"/>
  <c r="K490" i="69" s="1"/>
  <c r="K295" i="69"/>
  <c r="H75" i="59" l="1"/>
  <c r="G83" i="88"/>
  <c r="H83" i="88" s="1"/>
  <c r="V42" i="99" s="1"/>
  <c r="K383" i="69"/>
  <c r="K389" i="69"/>
  <c r="K387" i="69" s="1"/>
  <c r="K280" i="69"/>
  <c r="K96" i="69"/>
  <c r="K112" i="69"/>
  <c r="AD42" i="99" l="1"/>
  <c r="AK42" i="99"/>
  <c r="W42" i="99"/>
  <c r="K451" i="69"/>
  <c r="K454" i="69"/>
  <c r="K386" i="69"/>
  <c r="K359" i="69"/>
  <c r="K356" i="69"/>
  <c r="AE42" i="99" l="1"/>
  <c r="BR83" i="88" s="1"/>
  <c r="BQ83" i="88"/>
  <c r="X42" i="99"/>
  <c r="BM83" i="88" s="1"/>
  <c r="BL83" i="88"/>
  <c r="AL42" i="99"/>
  <c r="BW83" i="88" s="1"/>
  <c r="BV83" i="88"/>
  <c r="K80" i="69"/>
  <c r="K78" i="69" s="1"/>
  <c r="K113" i="69"/>
  <c r="K97" i="69"/>
  <c r="K111" i="69"/>
  <c r="K95" i="69"/>
  <c r="K265" i="69"/>
  <c r="K91" i="69"/>
  <c r="K292" i="69"/>
  <c r="K277" i="69"/>
  <c r="K238" i="69"/>
  <c r="K76" i="69"/>
  <c r="K107" i="69"/>
  <c r="K162" i="69"/>
  <c r="K160" i="69" s="1"/>
  <c r="K173" i="69" s="1"/>
  <c r="K174" i="69" s="1"/>
  <c r="K175" i="69" s="1"/>
  <c r="K159" i="69" s="1"/>
  <c r="K134" i="69"/>
  <c r="K132" i="69" s="1"/>
  <c r="K142" i="69" s="1"/>
  <c r="K143" i="69" s="1"/>
  <c r="K144" i="69" s="1"/>
  <c r="K131" i="69" s="1"/>
  <c r="K148" i="69"/>
  <c r="K146" i="69" s="1"/>
  <c r="K156" i="69" s="1"/>
  <c r="K157" i="69" s="1"/>
  <c r="K158" i="69" s="1"/>
  <c r="K145" i="69" s="1"/>
  <c r="K179" i="69"/>
  <c r="K177" i="69" s="1"/>
  <c r="K190" i="69" s="1"/>
  <c r="K14" i="69"/>
  <c r="K12" i="69" s="1"/>
  <c r="K22" i="69" s="1"/>
  <c r="K23" i="69" s="1"/>
  <c r="K24" i="69" s="1"/>
  <c r="K11" i="69" s="1"/>
  <c r="G39" i="88" l="1"/>
  <c r="H39" i="88" s="1"/>
  <c r="V243" i="92" s="1"/>
  <c r="H11" i="59"/>
  <c r="I11" i="59" s="1"/>
  <c r="I14" i="59" s="1"/>
  <c r="E11" i="1" s="1"/>
  <c r="G19" i="88"/>
  <c r="H19" i="88" s="1"/>
  <c r="H39" i="59"/>
  <c r="H43" i="59" s="1"/>
  <c r="G47" i="88"/>
  <c r="G51" i="88" s="1"/>
  <c r="H35" i="59"/>
  <c r="G43" i="88"/>
  <c r="H43" i="88" s="1"/>
  <c r="V265" i="92" s="1"/>
  <c r="H31" i="59"/>
  <c r="K217" i="69"/>
  <c r="K206" i="69"/>
  <c r="K201" i="69" s="1"/>
  <c r="K242" i="69"/>
  <c r="K240" i="69" s="1"/>
  <c r="K196" i="69"/>
  <c r="K252" i="69"/>
  <c r="K307" i="69"/>
  <c r="K122" i="69"/>
  <c r="K276" i="69"/>
  <c r="K274" i="69" s="1"/>
  <c r="K237" i="69"/>
  <c r="K235" i="69" s="1"/>
  <c r="K90" i="69"/>
  <c r="K88" i="69" s="1"/>
  <c r="K216" i="69"/>
  <c r="K291" i="69"/>
  <c r="K289" i="69" s="1"/>
  <c r="K106" i="69"/>
  <c r="K104" i="69" s="1"/>
  <c r="K264" i="69"/>
  <c r="K262" i="69" s="1"/>
  <c r="K75" i="69"/>
  <c r="K73" i="69" s="1"/>
  <c r="K191" i="69"/>
  <c r="K192" i="69" s="1"/>
  <c r="K176" i="69" s="1"/>
  <c r="W265" i="92" l="1"/>
  <c r="AD265" i="92"/>
  <c r="AK265" i="92"/>
  <c r="AD243" i="92"/>
  <c r="AK243" i="92"/>
  <c r="W243" i="92"/>
  <c r="V15" i="84"/>
  <c r="H22" i="88"/>
  <c r="H47" i="88"/>
  <c r="V287" i="92" s="1"/>
  <c r="K83" i="69"/>
  <c r="K84" i="69" s="1"/>
  <c r="K85" i="69" s="1"/>
  <c r="K72" i="69" s="1"/>
  <c r="K226" i="69"/>
  <c r="K221" i="69" s="1"/>
  <c r="K219" i="69"/>
  <c r="K245" i="69"/>
  <c r="K246" i="69" s="1"/>
  <c r="K247" i="69" s="1"/>
  <c r="K233" i="69" s="1"/>
  <c r="K412" i="69"/>
  <c r="K320" i="69"/>
  <c r="K198" i="69"/>
  <c r="K197" i="69"/>
  <c r="K251" i="69"/>
  <c r="K36" i="69"/>
  <c r="K35" i="69" s="1"/>
  <c r="K40" i="69" s="1"/>
  <c r="K41" i="69" s="1"/>
  <c r="K42" i="69" s="1"/>
  <c r="K34" i="69" s="1"/>
  <c r="K121" i="69"/>
  <c r="K119" i="69" s="1"/>
  <c r="K128" i="69" s="1"/>
  <c r="K129" i="69" s="1"/>
  <c r="K130" i="69" s="1"/>
  <c r="K118" i="69" s="1"/>
  <c r="K218" i="69"/>
  <c r="K306" i="69"/>
  <c r="K304" i="69" s="1"/>
  <c r="K313" i="69" s="1"/>
  <c r="K314" i="69" s="1"/>
  <c r="K315" i="69" s="1"/>
  <c r="K303" i="69" s="1"/>
  <c r="H58" i="59" s="1"/>
  <c r="G66" i="88" s="1"/>
  <c r="G38" i="88" l="1"/>
  <c r="H30" i="59"/>
  <c r="AD287" i="92"/>
  <c r="AE287" i="92" s="1"/>
  <c r="W287" i="92"/>
  <c r="X287" i="92" s="1"/>
  <c r="AK287" i="92"/>
  <c r="AL287" i="92" s="1"/>
  <c r="AL265" i="92"/>
  <c r="BW43" i="88" s="1"/>
  <c r="BV43" i="88"/>
  <c r="BQ43" i="88"/>
  <c r="AE265" i="92"/>
  <c r="BR43" i="88" s="1"/>
  <c r="X265" i="92"/>
  <c r="BM43" i="88" s="1"/>
  <c r="BL43" i="88"/>
  <c r="X243" i="92"/>
  <c r="BM39" i="88" s="1"/>
  <c r="BL39" i="88"/>
  <c r="AL243" i="92"/>
  <c r="BW39" i="88" s="1"/>
  <c r="BV39" i="88"/>
  <c r="AE243" i="92"/>
  <c r="BR39" i="88" s="1"/>
  <c r="BQ39" i="88"/>
  <c r="H16" i="59"/>
  <c r="G24" i="88"/>
  <c r="H24" i="88" s="1"/>
  <c r="H23" i="59"/>
  <c r="G31" i="88"/>
  <c r="H31" i="88" s="1"/>
  <c r="H34" i="59"/>
  <c r="H38" i="59" s="1"/>
  <c r="H42" i="59" s="1"/>
  <c r="G42" i="88"/>
  <c r="G56" i="88"/>
  <c r="H56" i="88" s="1"/>
  <c r="V19" i="94" s="1"/>
  <c r="AK15" i="84"/>
  <c r="AD15" i="84"/>
  <c r="W15" i="84"/>
  <c r="K249" i="69"/>
  <c r="H48" i="59"/>
  <c r="K214" i="69"/>
  <c r="K230" i="69" s="1"/>
  <c r="K480" i="69"/>
  <c r="K426" i="69"/>
  <c r="K440" i="69"/>
  <c r="K411" i="69"/>
  <c r="K409" i="69" s="1"/>
  <c r="K419" i="69" s="1"/>
  <c r="K420" i="69" s="1"/>
  <c r="K421" i="69" s="1"/>
  <c r="K408" i="69" s="1"/>
  <c r="K319" i="69"/>
  <c r="K317" i="69" s="1"/>
  <c r="K325" i="69" s="1"/>
  <c r="K326" i="69" s="1"/>
  <c r="K327" i="69" s="1"/>
  <c r="K316" i="69" s="1"/>
  <c r="K255" i="69"/>
  <c r="K254" i="69" s="1"/>
  <c r="K194" i="69"/>
  <c r="K210" i="69" s="1"/>
  <c r="K211" i="69" s="1"/>
  <c r="K212" i="69" s="1"/>
  <c r="K193" i="69" s="1"/>
  <c r="AK19" i="94" l="1"/>
  <c r="W19" i="94"/>
  <c r="AD19" i="94"/>
  <c r="BM47" i="88"/>
  <c r="BL47" i="88"/>
  <c r="BR47" i="88"/>
  <c r="BQ47" i="88"/>
  <c r="BW47" i="88"/>
  <c r="BV47" i="88"/>
  <c r="H38" i="88"/>
  <c r="V155" i="92" s="1"/>
  <c r="AL15" i="84"/>
  <c r="BW19" i="88" s="1"/>
  <c r="BV19" i="88"/>
  <c r="BV22" i="88" s="1"/>
  <c r="H51" i="88"/>
  <c r="V311" i="92" s="1"/>
  <c r="H44" i="59"/>
  <c r="G52" i="88"/>
  <c r="H52" i="88" s="1"/>
  <c r="V335" i="92" s="1"/>
  <c r="V16" i="91"/>
  <c r="H32" i="88"/>
  <c r="G74" i="88"/>
  <c r="H74" i="88" s="1"/>
  <c r="V41" i="97" s="1"/>
  <c r="G73" i="88"/>
  <c r="H73" i="88" s="1"/>
  <c r="BL19" i="88"/>
  <c r="BL22" i="88" s="1"/>
  <c r="X15" i="84"/>
  <c r="BM19" i="88" s="1"/>
  <c r="H42" i="88"/>
  <c r="V177" i="92" s="1"/>
  <c r="G46" i="88"/>
  <c r="G50" i="88" s="1"/>
  <c r="H57" i="59"/>
  <c r="G65" i="88"/>
  <c r="H65" i="88" s="1"/>
  <c r="V41" i="96" s="1"/>
  <c r="AE15" i="84"/>
  <c r="BR19" i="88" s="1"/>
  <c r="BQ19" i="88"/>
  <c r="BQ22" i="88" s="1"/>
  <c r="V15" i="90"/>
  <c r="H29" i="88"/>
  <c r="H66" i="59"/>
  <c r="H65" i="59"/>
  <c r="K258" i="69"/>
  <c r="K259" i="69" s="1"/>
  <c r="K260" i="69" s="1"/>
  <c r="K248" i="69" s="1"/>
  <c r="K231" i="69"/>
  <c r="K232" i="69" s="1"/>
  <c r="K213" i="69" s="1"/>
  <c r="K479" i="69"/>
  <c r="K477" i="69" s="1"/>
  <c r="K487" i="69" s="1"/>
  <c r="K488" i="69" s="1"/>
  <c r="K489" i="69" s="1"/>
  <c r="K475" i="69" s="1"/>
  <c r="K438" i="69"/>
  <c r="K425" i="69"/>
  <c r="K423" i="69" s="1"/>
  <c r="K432" i="69" s="1"/>
  <c r="K433" i="69" s="1"/>
  <c r="K434" i="69" s="1"/>
  <c r="K422" i="69" s="1"/>
  <c r="K268" i="69"/>
  <c r="K267" i="69" s="1"/>
  <c r="K270" i="69" s="1"/>
  <c r="K271" i="69" s="1"/>
  <c r="K272" i="69" s="1"/>
  <c r="K261" i="69" s="1"/>
  <c r="V18" i="97" l="1"/>
  <c r="W18" i="97" s="1"/>
  <c r="AK41" i="97"/>
  <c r="W41" i="97"/>
  <c r="AD41" i="97"/>
  <c r="AD41" i="96"/>
  <c r="AK41" i="96"/>
  <c r="W41" i="96"/>
  <c r="AE19" i="94"/>
  <c r="BR56" i="88" s="1"/>
  <c r="BQ56" i="88"/>
  <c r="X19" i="94"/>
  <c r="BM56" i="88" s="1"/>
  <c r="BL56" i="88"/>
  <c r="AL19" i="94"/>
  <c r="BW56" i="88" s="1"/>
  <c r="BV56" i="88"/>
  <c r="AK335" i="92"/>
  <c r="W335" i="92"/>
  <c r="AD335" i="92"/>
  <c r="AK311" i="92"/>
  <c r="W311" i="92"/>
  <c r="AD311" i="92"/>
  <c r="AK155" i="92"/>
  <c r="W155" i="92"/>
  <c r="AD155" i="92"/>
  <c r="AK177" i="92"/>
  <c r="W177" i="92"/>
  <c r="AD177" i="92"/>
  <c r="H66" i="88"/>
  <c r="V18" i="96" s="1"/>
  <c r="H69" i="59"/>
  <c r="G77" i="88"/>
  <c r="H77" i="88" s="1"/>
  <c r="V110" i="97" s="1"/>
  <c r="H45" i="59"/>
  <c r="G53" i="88"/>
  <c r="H53" i="88" s="1"/>
  <c r="V362" i="92" s="1"/>
  <c r="G57" i="88"/>
  <c r="H57" i="88" s="1"/>
  <c r="V42" i="94" s="1"/>
  <c r="W15" i="90"/>
  <c r="AK15" i="90"/>
  <c r="AD15" i="90"/>
  <c r="G58" i="88"/>
  <c r="H58" i="88" s="1"/>
  <c r="V65" i="94" s="1"/>
  <c r="BR22" i="88"/>
  <c r="BW22" i="88"/>
  <c r="H74" i="59"/>
  <c r="H76" i="59" s="1"/>
  <c r="G82" i="88"/>
  <c r="H46" i="88"/>
  <c r="V199" i="92" s="1"/>
  <c r="BM22" i="88"/>
  <c r="AK16" i="91"/>
  <c r="W16" i="91"/>
  <c r="AD16" i="91"/>
  <c r="H50" i="59"/>
  <c r="I50" i="59" s="1"/>
  <c r="H49" i="59"/>
  <c r="I49" i="59" s="1"/>
  <c r="I17" i="59"/>
  <c r="I16" i="59"/>
  <c r="I48" i="59"/>
  <c r="I65" i="59"/>
  <c r="I44" i="59"/>
  <c r="I23" i="59"/>
  <c r="I24" i="59" s="1"/>
  <c r="K439" i="69"/>
  <c r="K436" i="69" s="1"/>
  <c r="K446" i="69" s="1"/>
  <c r="K447" i="69" s="1"/>
  <c r="K448" i="69" s="1"/>
  <c r="K435" i="69" s="1"/>
  <c r="K281" i="69"/>
  <c r="K279" i="69" s="1"/>
  <c r="K285" i="69" s="1"/>
  <c r="K286" i="69" s="1"/>
  <c r="K287" i="69" s="1"/>
  <c r="K273" i="69" s="1"/>
  <c r="AK18" i="97" l="1"/>
  <c r="AL18" i="97" s="1"/>
  <c r="BW73" i="88" s="1"/>
  <c r="AD18" i="97"/>
  <c r="AE18" i="97" s="1"/>
  <c r="BR73" i="88" s="1"/>
  <c r="AK110" i="97"/>
  <c r="AD110" i="97"/>
  <c r="W110" i="97"/>
  <c r="AE41" i="97"/>
  <c r="BR74" i="88" s="1"/>
  <c r="BQ74" i="88"/>
  <c r="X41" i="97"/>
  <c r="BM74" i="88" s="1"/>
  <c r="BL74" i="88"/>
  <c r="AL41" i="97"/>
  <c r="BW74" i="88" s="1"/>
  <c r="BV74" i="88"/>
  <c r="BV73" i="88"/>
  <c r="X18" i="97"/>
  <c r="BM73" i="88" s="1"/>
  <c r="BL73" i="88"/>
  <c r="AL41" i="96"/>
  <c r="BW65" i="88" s="1"/>
  <c r="BV65" i="88"/>
  <c r="X41" i="96"/>
  <c r="BM65" i="88" s="1"/>
  <c r="BL65" i="88"/>
  <c r="AE41" i="96"/>
  <c r="BR65" i="88" s="1"/>
  <c r="BQ65" i="88"/>
  <c r="AK18" i="96"/>
  <c r="W18" i="96"/>
  <c r="AD18" i="96"/>
  <c r="W42" i="94"/>
  <c r="AK42" i="94"/>
  <c r="AD42" i="94"/>
  <c r="W65" i="94"/>
  <c r="AD65" i="94"/>
  <c r="AK65" i="94"/>
  <c r="AE335" i="92"/>
  <c r="BR52" i="88" s="1"/>
  <c r="BQ52" i="88"/>
  <c r="AL311" i="92"/>
  <c r="BW51" i="88" s="1"/>
  <c r="BV51" i="88"/>
  <c r="BQ51" i="88"/>
  <c r="AE311" i="92"/>
  <c r="BR51" i="88" s="1"/>
  <c r="BL52" i="88"/>
  <c r="X335" i="92"/>
  <c r="BM52" i="88" s="1"/>
  <c r="AK362" i="92"/>
  <c r="AD362" i="92"/>
  <c r="W362" i="92"/>
  <c r="X311" i="92"/>
  <c r="BM51" i="88" s="1"/>
  <c r="BL51" i="88"/>
  <c r="AL335" i="92"/>
  <c r="BW52" i="88" s="1"/>
  <c r="BV52" i="88"/>
  <c r="BL38" i="88"/>
  <c r="X155" i="92"/>
  <c r="BM38" i="88" s="1"/>
  <c r="AE155" i="92"/>
  <c r="BR38" i="88" s="1"/>
  <c r="BQ38" i="88"/>
  <c r="AL155" i="92"/>
  <c r="BW38" i="88" s="1"/>
  <c r="BV38" i="88"/>
  <c r="AK199" i="92"/>
  <c r="AD199" i="92"/>
  <c r="W199" i="92"/>
  <c r="AE177" i="92"/>
  <c r="BR42" i="88" s="1"/>
  <c r="BQ42" i="88"/>
  <c r="X177" i="92"/>
  <c r="BM42" i="88" s="1"/>
  <c r="BL42" i="88"/>
  <c r="AL177" i="92"/>
  <c r="BW42" i="88" s="1"/>
  <c r="BV42" i="88"/>
  <c r="BV24" i="88"/>
  <c r="BV29" i="88" s="1"/>
  <c r="AL15" i="90"/>
  <c r="BW24" i="88" s="1"/>
  <c r="AE16" i="91"/>
  <c r="BR31" i="88" s="1"/>
  <c r="BQ31" i="88"/>
  <c r="BQ32" i="88" s="1"/>
  <c r="BR32" i="88" s="1"/>
  <c r="X15" i="90"/>
  <c r="BM24" i="88" s="1"/>
  <c r="BL24" i="88"/>
  <c r="BL29" i="88" s="1"/>
  <c r="H67" i="59"/>
  <c r="H68" i="59" s="1"/>
  <c r="G75" i="88"/>
  <c r="G61" i="88"/>
  <c r="H61" i="88" s="1"/>
  <c r="V18" i="95" s="1"/>
  <c r="X16" i="91"/>
  <c r="BM31" i="88" s="1"/>
  <c r="BL31" i="88"/>
  <c r="BL32" i="88" s="1"/>
  <c r="BM32" i="88" s="1"/>
  <c r="G84" i="88"/>
  <c r="H84" i="88" s="1"/>
  <c r="H82" i="88"/>
  <c r="V18" i="99" s="1"/>
  <c r="BV31" i="88"/>
  <c r="BV32" i="88" s="1"/>
  <c r="BW32" i="88" s="1"/>
  <c r="AL16" i="91"/>
  <c r="BW31" i="88" s="1"/>
  <c r="BQ24" i="88"/>
  <c r="BQ29" i="88" s="1"/>
  <c r="AE15" i="90"/>
  <c r="BR24" i="88" s="1"/>
  <c r="I21" i="59"/>
  <c r="E12" i="1" s="1"/>
  <c r="H53" i="59"/>
  <c r="I53" i="59" s="1"/>
  <c r="E13" i="1"/>
  <c r="I69" i="59"/>
  <c r="I66" i="59"/>
  <c r="I74" i="59"/>
  <c r="V66" i="99" l="1"/>
  <c r="BQ73" i="88"/>
  <c r="AD18" i="99"/>
  <c r="W18" i="99"/>
  <c r="AK18" i="99"/>
  <c r="AE110" i="97"/>
  <c r="BR77" i="88" s="1"/>
  <c r="BQ77" i="88"/>
  <c r="X110" i="97"/>
  <c r="BM77" i="88" s="1"/>
  <c r="BL77" i="88"/>
  <c r="AL110" i="97"/>
  <c r="BW77" i="88" s="1"/>
  <c r="BV77" i="88"/>
  <c r="AE18" i="96"/>
  <c r="BR66" i="88" s="1"/>
  <c r="BQ66" i="88"/>
  <c r="X18" i="96"/>
  <c r="BM66" i="88" s="1"/>
  <c r="BL66" i="88"/>
  <c r="AL18" i="96"/>
  <c r="BW66" i="88" s="1"/>
  <c r="BV66" i="88"/>
  <c r="AE65" i="94"/>
  <c r="BR58" i="88" s="1"/>
  <c r="BQ58" i="88"/>
  <c r="BQ57" i="88"/>
  <c r="AE42" i="94"/>
  <c r="BR57" i="88" s="1"/>
  <c r="AK18" i="95"/>
  <c r="W18" i="95"/>
  <c r="AD18" i="95"/>
  <c r="BL58" i="88"/>
  <c r="X65" i="94"/>
  <c r="BM58" i="88" s="1"/>
  <c r="AL42" i="94"/>
  <c r="BW57" i="88" s="1"/>
  <c r="BV57" i="88"/>
  <c r="BV58" i="88"/>
  <c r="AL65" i="94"/>
  <c r="BW58" i="88" s="1"/>
  <c r="X42" i="94"/>
  <c r="BM57" i="88" s="1"/>
  <c r="BL57" i="88"/>
  <c r="BL53" i="88"/>
  <c r="X362" i="92"/>
  <c r="BM53" i="88" s="1"/>
  <c r="AE362" i="92"/>
  <c r="BR53" i="88" s="1"/>
  <c r="BQ53" i="88"/>
  <c r="AL362" i="92"/>
  <c r="BW53" i="88" s="1"/>
  <c r="BV53" i="88"/>
  <c r="X199" i="92"/>
  <c r="BM46" i="88" s="1"/>
  <c r="BL46" i="88"/>
  <c r="BQ46" i="88"/>
  <c r="AE199" i="92"/>
  <c r="BR46" i="88" s="1"/>
  <c r="AL199" i="92"/>
  <c r="BW46" i="88" s="1"/>
  <c r="BV46" i="88"/>
  <c r="BW29" i="88"/>
  <c r="BR29" i="88"/>
  <c r="G76" i="88"/>
  <c r="H76" i="88" s="1"/>
  <c r="V87" i="97" s="1"/>
  <c r="H75" i="88"/>
  <c r="V64" i="97" s="1"/>
  <c r="H85" i="88"/>
  <c r="BM29" i="88"/>
  <c r="I76" i="59"/>
  <c r="I67" i="59"/>
  <c r="K296" i="69"/>
  <c r="K294" i="69" s="1"/>
  <c r="K300" i="69" s="1"/>
  <c r="K301" i="69" s="1"/>
  <c r="K302" i="69" s="1"/>
  <c r="K288" i="69" s="1"/>
  <c r="AK66" i="99" l="1"/>
  <c r="AD66" i="99"/>
  <c r="W66" i="99"/>
  <c r="AL18" i="99"/>
  <c r="BW82" i="88" s="1"/>
  <c r="BV82" i="88"/>
  <c r="X18" i="99"/>
  <c r="BM82" i="88" s="1"/>
  <c r="BL82" i="88"/>
  <c r="AE18" i="99"/>
  <c r="BR82" i="88" s="1"/>
  <c r="BQ82" i="88"/>
  <c r="AK87" i="97"/>
  <c r="AD87" i="97"/>
  <c r="W87" i="97"/>
  <c r="W64" i="97"/>
  <c r="AK64" i="97"/>
  <c r="AD64" i="97"/>
  <c r="BQ59" i="88"/>
  <c r="AE18" i="95"/>
  <c r="BR61" i="88" s="1"/>
  <c r="BQ61" i="88"/>
  <c r="X18" i="95"/>
  <c r="BM61" i="88" s="1"/>
  <c r="BL61" i="88"/>
  <c r="AL18" i="95"/>
  <c r="BW61" i="88" s="1"/>
  <c r="BV61" i="88"/>
  <c r="BL59" i="88"/>
  <c r="BV59" i="88"/>
  <c r="G62" i="88"/>
  <c r="H62" i="88" s="1"/>
  <c r="V41" i="95" s="1"/>
  <c r="H59" i="88"/>
  <c r="H54" i="59"/>
  <c r="I54" i="59" s="1"/>
  <c r="I51" i="59"/>
  <c r="I68" i="59"/>
  <c r="I75" i="59"/>
  <c r="K453" i="69"/>
  <c r="K358" i="69"/>
  <c r="K357" i="69"/>
  <c r="X66" i="99" l="1"/>
  <c r="BM84" i="88" s="1"/>
  <c r="BL84" i="88"/>
  <c r="BL85" i="88" s="1"/>
  <c r="BM85" i="88" s="1"/>
  <c r="BR59" i="88"/>
  <c r="AE66" i="99"/>
  <c r="BR84" i="88" s="1"/>
  <c r="BQ84" i="88"/>
  <c r="BQ85" i="88" s="1"/>
  <c r="BR85" i="88" s="1"/>
  <c r="AL66" i="99"/>
  <c r="BW84" i="88" s="1"/>
  <c r="BV84" i="88"/>
  <c r="BV85" i="88" s="1"/>
  <c r="BW85" i="88" s="1"/>
  <c r="X87" i="97"/>
  <c r="BM76" i="88" s="1"/>
  <c r="BL76" i="88"/>
  <c r="BV76" i="88"/>
  <c r="AL87" i="97"/>
  <c r="BW76" i="88" s="1"/>
  <c r="AE87" i="97"/>
  <c r="BR76" i="88" s="1"/>
  <c r="BQ76" i="88"/>
  <c r="AE64" i="97"/>
  <c r="BR75" i="88" s="1"/>
  <c r="BQ75" i="88"/>
  <c r="AL64" i="97"/>
  <c r="BW75" i="88" s="1"/>
  <c r="BV75" i="88"/>
  <c r="X64" i="97"/>
  <c r="BM75" i="88" s="1"/>
  <c r="BL75" i="88"/>
  <c r="W41" i="95"/>
  <c r="AK41" i="95"/>
  <c r="AD41" i="95"/>
  <c r="BW59" i="88"/>
  <c r="BM59" i="88"/>
  <c r="H63" i="88"/>
  <c r="I55" i="59"/>
  <c r="E16" i="1" s="1"/>
  <c r="I77" i="59"/>
  <c r="E19" i="1" s="1"/>
  <c r="E15" i="1"/>
  <c r="K384" i="69"/>
  <c r="K385" i="69"/>
  <c r="K355" i="69"/>
  <c r="K364" i="69" s="1"/>
  <c r="K365" i="69" s="1"/>
  <c r="K366" i="69" s="1"/>
  <c r="K354" i="69" s="1"/>
  <c r="K94" i="69"/>
  <c r="K93" i="69" s="1"/>
  <c r="K99" i="69" s="1"/>
  <c r="K100" i="69" s="1"/>
  <c r="K101" i="69" s="1"/>
  <c r="K86" i="69" s="1"/>
  <c r="AE41" i="95" l="1"/>
  <c r="BR62" i="88" s="1"/>
  <c r="BQ62" i="88"/>
  <c r="BQ63" i="88" s="1"/>
  <c r="BR63" i="88" s="1"/>
  <c r="X41" i="95"/>
  <c r="BM62" i="88" s="1"/>
  <c r="BL62" i="88"/>
  <c r="BL63" i="88" s="1"/>
  <c r="BM63" i="88" s="1"/>
  <c r="AL41" i="95"/>
  <c r="BW62" i="88" s="1"/>
  <c r="BV62" i="88"/>
  <c r="BV63" i="88" s="1"/>
  <c r="BW63" i="88" s="1"/>
  <c r="G35" i="88"/>
  <c r="H35" i="88" s="1"/>
  <c r="G34" i="88"/>
  <c r="H34" i="88" s="1"/>
  <c r="I42" i="59"/>
  <c r="H27" i="59"/>
  <c r="I27" i="59" s="1"/>
  <c r="H26" i="59"/>
  <c r="I26" i="59" s="1"/>
  <c r="K452" i="69"/>
  <c r="K450" i="69" s="1"/>
  <c r="K459" i="69" s="1"/>
  <c r="K460" i="69" s="1"/>
  <c r="K461" i="69" s="1"/>
  <c r="K449" i="69" s="1"/>
  <c r="K382" i="69"/>
  <c r="K391" i="69" s="1"/>
  <c r="K392" i="69" s="1"/>
  <c r="K393" i="69" s="1"/>
  <c r="K380" i="69" s="1"/>
  <c r="V18" i="92" l="1"/>
  <c r="V41" i="92"/>
  <c r="H62" i="59"/>
  <c r="I62" i="59" s="1"/>
  <c r="G70" i="88"/>
  <c r="H70" i="88" s="1"/>
  <c r="V134" i="96" s="1"/>
  <c r="H71" i="59"/>
  <c r="I71" i="59" s="1"/>
  <c r="I72" i="59" s="1"/>
  <c r="E18" i="1" s="1"/>
  <c r="G79" i="88"/>
  <c r="H79" i="88" s="1"/>
  <c r="V133" i="97" s="1"/>
  <c r="I30" i="59"/>
  <c r="K110" i="69"/>
  <c r="K109" i="69" s="1"/>
  <c r="K115" i="69" s="1"/>
  <c r="K116" i="69" s="1"/>
  <c r="K117" i="69" s="1"/>
  <c r="K102" i="69" s="1"/>
  <c r="AD133" i="97" l="1"/>
  <c r="AK133" i="97"/>
  <c r="W133" i="97"/>
  <c r="AD134" i="96"/>
  <c r="AK134" i="96"/>
  <c r="W134" i="96"/>
  <c r="G37" i="88"/>
  <c r="H71" i="88"/>
  <c r="H80" i="88"/>
  <c r="AK41" i="92"/>
  <c r="AD41" i="92"/>
  <c r="W41" i="92"/>
  <c r="AK18" i="92"/>
  <c r="W18" i="92"/>
  <c r="AD18" i="92"/>
  <c r="H29" i="59"/>
  <c r="H33" i="59" s="1"/>
  <c r="I34" i="59"/>
  <c r="X133" i="97" l="1"/>
  <c r="BM79" i="88" s="1"/>
  <c r="BL79" i="88"/>
  <c r="BL80" i="88" s="1"/>
  <c r="BM80" i="88" s="1"/>
  <c r="AL133" i="97"/>
  <c r="BW79" i="88" s="1"/>
  <c r="BV79" i="88"/>
  <c r="BV80" i="88" s="1"/>
  <c r="BW80" i="88" s="1"/>
  <c r="AE133" i="97"/>
  <c r="BR79" i="88" s="1"/>
  <c r="BQ79" i="88"/>
  <c r="BQ80" i="88" s="1"/>
  <c r="BR80" i="88" s="1"/>
  <c r="AE134" i="96"/>
  <c r="BR70" i="88" s="1"/>
  <c r="BQ70" i="88"/>
  <c r="BQ71" i="88" s="1"/>
  <c r="BR71" i="88" s="1"/>
  <c r="X134" i="96"/>
  <c r="BM70" i="88" s="1"/>
  <c r="BL70" i="88"/>
  <c r="BL71" i="88" s="1"/>
  <c r="BM71" i="88" s="1"/>
  <c r="AL134" i="96"/>
  <c r="BW70" i="88" s="1"/>
  <c r="BV70" i="88"/>
  <c r="BV71" i="88" s="1"/>
  <c r="BW71" i="88" s="1"/>
  <c r="H37" i="88"/>
  <c r="V64" i="92" s="1"/>
  <c r="G41" i="88"/>
  <c r="X41" i="92"/>
  <c r="BL35" i="88"/>
  <c r="BQ34" i="88"/>
  <c r="AE18" i="92"/>
  <c r="BR34" i="88" s="1"/>
  <c r="BQ35" i="88"/>
  <c r="AE41" i="92"/>
  <c r="BL34" i="88"/>
  <c r="X18" i="92"/>
  <c r="BM34" i="88" s="1"/>
  <c r="BV35" i="88"/>
  <c r="AL41" i="92"/>
  <c r="BV34" i="88"/>
  <c r="AL18" i="92"/>
  <c r="BW34" i="88" s="1"/>
  <c r="I58" i="59"/>
  <c r="I31" i="59"/>
  <c r="I29" i="59"/>
  <c r="I38" i="59"/>
  <c r="BM35" i="88" l="1"/>
  <c r="BR35" i="88"/>
  <c r="BW35" i="88"/>
  <c r="W64" i="92"/>
  <c r="AK64" i="92"/>
  <c r="AD64" i="92"/>
  <c r="H50" i="88"/>
  <c r="V221" i="92" s="1"/>
  <c r="H37" i="59"/>
  <c r="H41" i="59" s="1"/>
  <c r="I57" i="59"/>
  <c r="I35" i="59"/>
  <c r="AE64" i="92" l="1"/>
  <c r="BR37" i="88" s="1"/>
  <c r="BQ37" i="88"/>
  <c r="AL64" i="92"/>
  <c r="BW37" i="88" s="1"/>
  <c r="BV37" i="88"/>
  <c r="X64" i="92"/>
  <c r="BM37" i="88" s="1"/>
  <c r="BL37" i="88"/>
  <c r="AK221" i="92"/>
  <c r="AD221" i="92"/>
  <c r="W221" i="92"/>
  <c r="G45" i="88"/>
  <c r="G49" i="88" s="1"/>
  <c r="H41" i="88"/>
  <c r="V87" i="92" s="1"/>
  <c r="I33" i="59"/>
  <c r="I63" i="59"/>
  <c r="E17" i="1" s="1"/>
  <c r="I39" i="59"/>
  <c r="I37" i="59"/>
  <c r="X221" i="92" l="1"/>
  <c r="BM50" i="88" s="1"/>
  <c r="BL50" i="88"/>
  <c r="AE221" i="92"/>
  <c r="BR50" i="88" s="1"/>
  <c r="BQ50" i="88"/>
  <c r="AL221" i="92"/>
  <c r="BW50" i="88" s="1"/>
  <c r="BV50" i="88"/>
  <c r="AK87" i="92"/>
  <c r="W87" i="92"/>
  <c r="AD87" i="92"/>
  <c r="H45" i="88"/>
  <c r="V110" i="92" s="1"/>
  <c r="I43" i="59"/>
  <c r="AK110" i="92" l="1"/>
  <c r="W110" i="92"/>
  <c r="AD110" i="92"/>
  <c r="AE87" i="92"/>
  <c r="BR41" i="88" s="1"/>
  <c r="BQ41" i="88"/>
  <c r="X87" i="92"/>
  <c r="BM41" i="88" s="1"/>
  <c r="BL41" i="88"/>
  <c r="AL87" i="92"/>
  <c r="BW41" i="88" s="1"/>
  <c r="BV41" i="88"/>
  <c r="I45" i="59"/>
  <c r="AE110" i="92" l="1"/>
  <c r="BR45" i="88" s="1"/>
  <c r="BQ45" i="88"/>
  <c r="X110" i="92"/>
  <c r="BM45" i="88" s="1"/>
  <c r="BL45" i="88"/>
  <c r="AL110" i="92"/>
  <c r="BW45" i="88" s="1"/>
  <c r="BV45" i="88"/>
  <c r="I41" i="59"/>
  <c r="I46" i="59" l="1"/>
  <c r="E14" i="1" l="1"/>
  <c r="E20" i="1" l="1"/>
  <c r="E21" i="1" l="1"/>
  <c r="E22" i="1" s="1"/>
  <c r="E23" i="1" s="1"/>
  <c r="H49" i="88" l="1"/>
  <c r="V133" i="92" s="1"/>
  <c r="AK133" i="92" l="1"/>
  <c r="W133" i="92"/>
  <c r="AD133" i="92"/>
  <c r="H54" i="88"/>
  <c r="H86" i="88" s="1"/>
  <c r="AE133" i="92" l="1"/>
  <c r="BR49" i="88" s="1"/>
  <c r="BQ49" i="88"/>
  <c r="BQ54" i="88" s="1"/>
  <c r="BQ86" i="88" s="1"/>
  <c r="BR86" i="88" s="1"/>
  <c r="X133" i="92"/>
  <c r="BM49" i="88" s="1"/>
  <c r="BL49" i="88"/>
  <c r="BL54" i="88" s="1"/>
  <c r="BL86" i="88" s="1"/>
  <c r="BM86" i="88" s="1"/>
  <c r="BV49" i="88"/>
  <c r="BV54" i="88" s="1"/>
  <c r="BV86" i="88" s="1"/>
  <c r="BW86" i="88" s="1"/>
  <c r="AL133" i="92"/>
  <c r="BW49" i="88" s="1"/>
  <c r="I49" i="88"/>
  <c r="I67" i="88"/>
  <c r="I21" i="88"/>
  <c r="I25" i="88"/>
  <c r="I78" i="88"/>
  <c r="I68" i="88"/>
  <c r="I69" i="88"/>
  <c r="I20" i="88"/>
  <c r="I27" i="88"/>
  <c r="I26" i="88"/>
  <c r="I28" i="88"/>
  <c r="I83" i="88"/>
  <c r="I43" i="88"/>
  <c r="I39" i="88"/>
  <c r="I19" i="88"/>
  <c r="I47" i="88"/>
  <c r="I38" i="88"/>
  <c r="I56" i="88"/>
  <c r="I24" i="88"/>
  <c r="I31" i="88"/>
  <c r="I32" i="88" s="1"/>
  <c r="I73" i="88"/>
  <c r="I42" i="88"/>
  <c r="I51" i="88"/>
  <c r="I65" i="88"/>
  <c r="I52" i="88"/>
  <c r="I74" i="88"/>
  <c r="I57" i="88"/>
  <c r="I58" i="88"/>
  <c r="I66" i="88"/>
  <c r="I77" i="88"/>
  <c r="I46" i="88"/>
  <c r="I53" i="88"/>
  <c r="I84" i="88"/>
  <c r="I61" i="88"/>
  <c r="I82" i="88"/>
  <c r="I75" i="88"/>
  <c r="I76" i="88"/>
  <c r="I62" i="88"/>
  <c r="I35" i="88"/>
  <c r="I34" i="88"/>
  <c r="I79" i="88"/>
  <c r="I70" i="88"/>
  <c r="I37" i="88"/>
  <c r="I50" i="88"/>
  <c r="I41" i="88"/>
  <c r="I45" i="88"/>
  <c r="I54" i="88" l="1"/>
  <c r="BM54" i="88"/>
  <c r="BR54" i="88"/>
  <c r="BW54" i="88"/>
  <c r="I63" i="88"/>
  <c r="I80" i="88"/>
  <c r="I22" i="88"/>
  <c r="I85" i="88"/>
  <c r="I71" i="88"/>
  <c r="I59" i="88"/>
  <c r="I29" i="88"/>
  <c r="I86" i="88" l="1"/>
</calcChain>
</file>

<file path=xl/sharedStrings.xml><?xml version="1.0" encoding="utf-8"?>
<sst xmlns="http://schemas.openxmlformats.org/spreadsheetml/2006/main" count="8593" uniqueCount="782">
  <si>
    <t>REKAPITULASI</t>
  </si>
  <si>
    <t>:</t>
  </si>
  <si>
    <t>LOKASI</t>
  </si>
  <si>
    <t>URAIAN PEKERJAAN</t>
  </si>
  <si>
    <t>A</t>
  </si>
  <si>
    <t>B</t>
  </si>
  <si>
    <t>C</t>
  </si>
  <si>
    <t>TERBILANG</t>
  </si>
  <si>
    <t>PEKERJAAN</t>
  </si>
  <si>
    <t>TAHUN ANGGARAN</t>
  </si>
  <si>
    <t>JUMLAH</t>
  </si>
  <si>
    <t>PEKERJAAN TANAH</t>
  </si>
  <si>
    <t>M3</t>
  </si>
  <si>
    <t>NO</t>
  </si>
  <si>
    <t>ANALISA</t>
  </si>
  <si>
    <t>VOLUME</t>
  </si>
  <si>
    <t>Taksir</t>
  </si>
  <si>
    <t>Urugan Tanah Kembali</t>
  </si>
  <si>
    <t>A.2.3.1.11</t>
  </si>
  <si>
    <t>A.2.3.1.14</t>
  </si>
  <si>
    <t>A.2.3.1.9</t>
  </si>
  <si>
    <t>I</t>
  </si>
  <si>
    <t>II</t>
  </si>
  <si>
    <t>III</t>
  </si>
  <si>
    <t>A.3.2.1.2</t>
  </si>
  <si>
    <t>A.4.4.1.9</t>
  </si>
  <si>
    <t>A.4.4.2.4</t>
  </si>
  <si>
    <t>A.4.4.3.36</t>
  </si>
  <si>
    <t>A.4.1.1.36</t>
  </si>
  <si>
    <t>A.4.4.2.27</t>
  </si>
  <si>
    <t>M2</t>
  </si>
  <si>
    <t>M'</t>
  </si>
  <si>
    <t>IV</t>
  </si>
  <si>
    <t>A.4.2.1.11</t>
  </si>
  <si>
    <t>Buah</t>
  </si>
  <si>
    <t>V</t>
  </si>
  <si>
    <t>VI</t>
  </si>
  <si>
    <t>A.4.2.1.2</t>
  </si>
  <si>
    <t>A.4.2.1.1</t>
  </si>
  <si>
    <t>Kg</t>
  </si>
  <si>
    <t>VII</t>
  </si>
  <si>
    <t>A.4.7.1.10</t>
  </si>
  <si>
    <t>VIII</t>
  </si>
  <si>
    <t>A.4.1.1.8</t>
  </si>
  <si>
    <t>A.4.1.1.17</t>
  </si>
  <si>
    <t>A.4.1.1.20</t>
  </si>
  <si>
    <t>A.4.1.1.22</t>
  </si>
  <si>
    <t>A.4.1.1.21</t>
  </si>
  <si>
    <t>A.4.1.1.23</t>
  </si>
  <si>
    <t>URAIAN</t>
  </si>
  <si>
    <t>SATUAN</t>
  </si>
  <si>
    <t>Pekerja</t>
  </si>
  <si>
    <t>Mandor</t>
  </si>
  <si>
    <t>KET</t>
  </si>
  <si>
    <t>DAFTAR UPAH PEKERJA</t>
  </si>
  <si>
    <t>Tukang Listrik</t>
  </si>
  <si>
    <t>Tukang Kayu</t>
  </si>
  <si>
    <t>Tukang Batu</t>
  </si>
  <si>
    <t>Tukang Besi</t>
  </si>
  <si>
    <t>Tukang Cat</t>
  </si>
  <si>
    <t>KETERANGAN</t>
  </si>
  <si>
    <t>No</t>
  </si>
  <si>
    <t>JENIS BAHAN</t>
  </si>
  <si>
    <t>HARGA</t>
  </si>
  <si>
    <t>Semen Warna</t>
  </si>
  <si>
    <t>m3</t>
  </si>
  <si>
    <t>kg</t>
  </si>
  <si>
    <t>bh</t>
  </si>
  <si>
    <t>MERANTI</t>
  </si>
  <si>
    <t>DOLKEN</t>
  </si>
  <si>
    <t>m'</t>
  </si>
  <si>
    <t>lbr</t>
  </si>
  <si>
    <t>Keramik</t>
  </si>
  <si>
    <t>Batu Tempel Hitam</t>
  </si>
  <si>
    <t>Besi Profil</t>
  </si>
  <si>
    <t>m2</t>
  </si>
  <si>
    <t>Gypsum tebal 9 mm</t>
  </si>
  <si>
    <t>Cat Tembok</t>
  </si>
  <si>
    <t>POLOS</t>
  </si>
  <si>
    <t>RAY BAND</t>
  </si>
  <si>
    <t>5 kg</t>
  </si>
  <si>
    <t>ltr</t>
  </si>
  <si>
    <t>Lain - Lain</t>
  </si>
  <si>
    <t>Paku - payung</t>
  </si>
  <si>
    <t>Paku - Sekrup</t>
  </si>
  <si>
    <t>Paku - Beton</t>
  </si>
  <si>
    <t>Minyak Beton &amp; Bekisting</t>
  </si>
  <si>
    <t>Pintu Lipat Besi</t>
  </si>
  <si>
    <t>Air</t>
  </si>
  <si>
    <t>KODE</t>
  </si>
  <si>
    <t>Pengurugan Kembali</t>
  </si>
  <si>
    <t>Pembesian dg Besi Polos</t>
  </si>
  <si>
    <t>Memasang Bekisting untuk Sloof</t>
  </si>
  <si>
    <t>Memasang Bekisting untuk Kolom</t>
  </si>
  <si>
    <t>Membuat Ring Balok Beton Bertulang (10 x 15) cm</t>
  </si>
  <si>
    <t>Pemasangan Besi Profil</t>
  </si>
  <si>
    <t>IX</t>
  </si>
  <si>
    <t>Pemasangan Lantai Keramik 20 x 20 cm</t>
  </si>
  <si>
    <t>X</t>
  </si>
  <si>
    <t>NO.</t>
  </si>
  <si>
    <t>SNI</t>
  </si>
  <si>
    <t>KOEF.</t>
  </si>
  <si>
    <t>SAT.</t>
  </si>
  <si>
    <t>URAIAN  PEKERJAAN</t>
  </si>
  <si>
    <t>BAHAN / UPAH</t>
  </si>
  <si>
    <t>( Rp. )</t>
  </si>
  <si>
    <t>TENAGA</t>
  </si>
  <si>
    <t>L.01</t>
  </si>
  <si>
    <t>OH</t>
  </si>
  <si>
    <t>L.04</t>
  </si>
  <si>
    <t>BAHAN</t>
  </si>
  <si>
    <t>PERALATAN</t>
  </si>
  <si>
    <t>D</t>
  </si>
  <si>
    <t>Jumlah A + B + C</t>
  </si>
  <si>
    <t>E</t>
  </si>
  <si>
    <t>F</t>
  </si>
  <si>
    <t>Harga Satuan Pekerjaan  ( D + E )</t>
  </si>
  <si>
    <t>Pasir Urug</t>
  </si>
  <si>
    <t>DAFTAR ANALISA PEKERJAAN</t>
  </si>
  <si>
    <t>Sirtu</t>
  </si>
  <si>
    <t>Tenaga</t>
  </si>
  <si>
    <t>L.02</t>
  </si>
  <si>
    <t>L.03</t>
  </si>
  <si>
    <t>Kepala Tukang</t>
  </si>
  <si>
    <t>Bahan</t>
  </si>
  <si>
    <t>Portland Sement</t>
  </si>
  <si>
    <t>Pasir Pasang</t>
  </si>
  <si>
    <t>Harga Satuan Pekerjaan (D+E)</t>
  </si>
  <si>
    <t xml:space="preserve">Pemasangan Pondasi Batu Belah 1SP : 4 PP </t>
  </si>
  <si>
    <t>Portland Semen</t>
  </si>
  <si>
    <t xml:space="preserve">Overhead &amp; Profit </t>
  </si>
  <si>
    <t xml:space="preserve">Tukang batu </t>
  </si>
  <si>
    <t>Ltr</t>
  </si>
  <si>
    <t>Lbr</t>
  </si>
  <si>
    <t xml:space="preserve">Tukang Batu </t>
  </si>
  <si>
    <t xml:space="preserve">Pasir Beton </t>
  </si>
  <si>
    <t>Kerikil  ( maksimum 30 mm )</t>
  </si>
  <si>
    <t>Kawat Beton</t>
  </si>
  <si>
    <t xml:space="preserve">Memasang Bekisting untuk Pondasi  </t>
  </si>
  <si>
    <t xml:space="preserve">Bahan </t>
  </si>
  <si>
    <t>Kayu Klas III (Terentang)</t>
  </si>
  <si>
    <t xml:space="preserve">Paku Biasa 2" - 5" </t>
  </si>
  <si>
    <t xml:space="preserve">Minyak Bekisting </t>
  </si>
  <si>
    <t xml:space="preserve">Kayu Klas III (Terentang) </t>
  </si>
  <si>
    <t>Plywood tebal 9 mm</t>
  </si>
  <si>
    <t>Btg</t>
  </si>
  <si>
    <t>Memasang Bekisting untuk Balok</t>
  </si>
  <si>
    <t>Plywood tebal 9mm</t>
  </si>
  <si>
    <t>Paku Biasa 2"-5"</t>
  </si>
  <si>
    <t>Besi Beton Polos</t>
  </si>
  <si>
    <t>Pasir Beton</t>
  </si>
  <si>
    <t>Kerikir Beton</t>
  </si>
  <si>
    <t>Balok Kayu Klas II</t>
  </si>
  <si>
    <t>Minyak Bekisting</t>
  </si>
  <si>
    <t>-</t>
  </si>
  <si>
    <t>buah</t>
  </si>
  <si>
    <t>Meni Besi</t>
  </si>
  <si>
    <t>Pemasangan Rangka Kuda-kuda Baja IWF</t>
  </si>
  <si>
    <t>Besi Baja IWF</t>
  </si>
  <si>
    <t xml:space="preserve"> Pekerja</t>
  </si>
  <si>
    <t xml:space="preserve"> Kepala Tukang</t>
  </si>
  <si>
    <t xml:space="preserve"> Mandor</t>
  </si>
  <si>
    <t>Tube</t>
  </si>
  <si>
    <t xml:space="preserve"> Sealent</t>
  </si>
  <si>
    <t xml:space="preserve"> Profil alumunium</t>
  </si>
  <si>
    <t>Ubin Keramik  20 x 20 cm</t>
  </si>
  <si>
    <t>Overhead &amp; Profit</t>
  </si>
  <si>
    <t>Plamir</t>
  </si>
  <si>
    <t>Cat Dasar</t>
  </si>
  <si>
    <t>Hr</t>
  </si>
  <si>
    <t>Dolken Kayu Galam diameter 8 - 10 cm / 4 m</t>
  </si>
  <si>
    <t xml:space="preserve"> Tukang Besi</t>
  </si>
  <si>
    <t>Bh</t>
  </si>
  <si>
    <t>XI</t>
  </si>
  <si>
    <t>XII</t>
  </si>
  <si>
    <t>Ls</t>
  </si>
  <si>
    <t>Tebal 1/2 Bata Camp. 1SP : 4PP</t>
  </si>
  <si>
    <t>RENCANA ANGGARAN BIAYA (RAB)</t>
  </si>
  <si>
    <t>KABUPATEN</t>
  </si>
  <si>
    <t>A.2.2.1.4</t>
  </si>
  <si>
    <t>Galian Tanah Biasa 1 m</t>
  </si>
  <si>
    <t>Galian Tanah Biasa 2 m</t>
  </si>
  <si>
    <t>Urugan Pasir Bawah Lantai</t>
  </si>
  <si>
    <t xml:space="preserve">Pasangan Batu Belah 1Pc : 4Ps </t>
  </si>
  <si>
    <t>A.2.3.1.1</t>
  </si>
  <si>
    <t>A.2.3.1.2</t>
  </si>
  <si>
    <t xml:space="preserve">PEKERJAAN BETON </t>
  </si>
  <si>
    <t>Kolom Beton Praktis 11 x 11 (K175)</t>
  </si>
  <si>
    <t>Ring Balk Praktis</t>
  </si>
  <si>
    <t xml:space="preserve"> Kg</t>
  </si>
  <si>
    <t>A.4.1.1.35</t>
  </si>
  <si>
    <t>A.5.1.1.32</t>
  </si>
  <si>
    <t xml:space="preserve">PEKERJAAN KUSEN, PINTU &amp; JENDELA </t>
  </si>
  <si>
    <t xml:space="preserve">PEKERJAAN PENGECATAN </t>
  </si>
  <si>
    <t>A.4.2.1.13</t>
  </si>
  <si>
    <t>A.4.2.1.12</t>
  </si>
  <si>
    <t>A.4.7.1.10m</t>
  </si>
  <si>
    <t xml:space="preserve">PEKERJAAN PONDASI </t>
  </si>
  <si>
    <t>PEKERJAAN PENUTUP LANTAI</t>
  </si>
  <si>
    <t xml:space="preserve">Pasangan Keramik Lantai KM / WC 20x20  </t>
  </si>
  <si>
    <t>Pasangan Lantai Granit tile uk. (60 x 60) cm</t>
  </si>
  <si>
    <t>PEKERJAAN ATAP &amp; PLAFON</t>
  </si>
  <si>
    <t>Gording CNP 150 x 50 x 20 x 2.3</t>
  </si>
  <si>
    <t>Memasang Atap Galvalum gelombang 35 warna</t>
  </si>
  <si>
    <t>Memasang bubungan seng Galvalum plat</t>
  </si>
  <si>
    <t>Rangka Plafond Hollow Galvalume / Zincalume 0.35 mm</t>
  </si>
  <si>
    <t>A.4.5.1.7</t>
  </si>
  <si>
    <t>A.4.6.2.17</t>
  </si>
  <si>
    <t>PEKERJAAN BETON</t>
  </si>
  <si>
    <t>Urugan Pasir bawah Pasangan / lantai</t>
  </si>
  <si>
    <t>Jam</t>
  </si>
  <si>
    <t>Excavator</t>
  </si>
  <si>
    <t>Wheel Loader</t>
  </si>
  <si>
    <t>Water Tank Truck</t>
  </si>
  <si>
    <t>Vibrator Roller</t>
  </si>
  <si>
    <t>DAFTAR HARGA SATUAN DASAR ALAT</t>
  </si>
  <si>
    <t>Asphalt Mixing Plant</t>
  </si>
  <si>
    <t>Asphalt Sprayer</t>
  </si>
  <si>
    <t>Asphalt Finisher</t>
  </si>
  <si>
    <t>Air Compressor</t>
  </si>
  <si>
    <t>Dump Truck, 8-10 m3</t>
  </si>
  <si>
    <t>Dump Truck, 3-4 m3</t>
  </si>
  <si>
    <t>Pneumatic Tyre Roller</t>
  </si>
  <si>
    <t>Genset</t>
  </si>
  <si>
    <t xml:space="preserve">Concrete Mixer </t>
  </si>
  <si>
    <t>Jack Hammer</t>
  </si>
  <si>
    <t>Concrete Batching Plant</t>
  </si>
  <si>
    <t>Mixer Truck</t>
  </si>
  <si>
    <t>Cold Milling Machine</t>
  </si>
  <si>
    <t>Concrete Vibrator</t>
  </si>
  <si>
    <t>Concrete Paver</t>
  </si>
  <si>
    <t>Baby roller</t>
  </si>
  <si>
    <t>Rolling door besi</t>
  </si>
  <si>
    <t>Rolling door Aluminium</t>
  </si>
  <si>
    <t>Pelumas</t>
  </si>
  <si>
    <t>Kayu Papan 3/20</t>
  </si>
  <si>
    <t>A.2.2.1.9</t>
  </si>
  <si>
    <t>Pengukuran dan Pemasangan Bouwplank</t>
  </si>
  <si>
    <t>Membersihkan Lapangan dan Perataan</t>
  </si>
  <si>
    <t xml:space="preserve">Pemasangan Acian </t>
  </si>
  <si>
    <t xml:space="preserve"> slum (3-6) cm, w/c = 0,87</t>
  </si>
  <si>
    <t xml:space="preserve">Membuat Lantai Kerja Beton mutu f'c=7,4 Mpa (K100), </t>
  </si>
  <si>
    <t>A.4.1.1.4</t>
  </si>
  <si>
    <t>slump (12±2) cm, w/c = 0,56</t>
  </si>
  <si>
    <t xml:space="preserve">Membuat Beton mutu f'c=21,7 MPa (K250), </t>
  </si>
  <si>
    <t>Membuat Kolom Penguat Beton Bertulang (11 x 11) cm</t>
  </si>
  <si>
    <t>Perlengkapan 35% x pipa</t>
  </si>
  <si>
    <t>Pemasangan Pipa PVC tipe AW  Ø 4"</t>
  </si>
  <si>
    <t xml:space="preserve">Overhead &amp; Profit  </t>
  </si>
  <si>
    <t>(di hitung dari 1/3 kali koefisien Pekerjaan galian)</t>
  </si>
  <si>
    <t>Kawat Las</t>
  </si>
  <si>
    <t>Pemasangan Kusen Pintu Alumunium 4"</t>
  </si>
  <si>
    <t>Pemasangan Pintu Alumunium Strip Lebar 8 cm</t>
  </si>
  <si>
    <t>Alluminium Strip</t>
  </si>
  <si>
    <t xml:space="preserve"> Profil alumunium 4"</t>
  </si>
  <si>
    <t xml:space="preserve">Kusen Almunium 4 " </t>
  </si>
  <si>
    <t xml:space="preserve">Pemasangan Pintu / Jendela Kaca Rangka Alumunium </t>
  </si>
  <si>
    <t>Profil Kaca</t>
  </si>
  <si>
    <t>Sealant</t>
  </si>
  <si>
    <t>Seng Plat</t>
  </si>
  <si>
    <t>A.4.4.3.9</t>
  </si>
  <si>
    <t>Pemasangan Lantai Ubin Granit Tile uk. 60 x 60 cm</t>
  </si>
  <si>
    <t>Ubin Granit Tile  60 x 60 cm</t>
  </si>
  <si>
    <t>( 1 lap. Plamir, 1 lap. Cat Dasar, 2 lap. Cat Penutup )</t>
  </si>
  <si>
    <t>Pengecatan Tembok Baru / dalam</t>
  </si>
  <si>
    <t>Pemasangan Atap Seng Gelombang</t>
  </si>
  <si>
    <t>A.4.5.2.39</t>
  </si>
  <si>
    <t xml:space="preserve">uk.  (1,20 x 2,40) m, tebal 9 mm </t>
  </si>
  <si>
    <t xml:space="preserve">Memasang Langit-langit Gypsum Board </t>
  </si>
  <si>
    <t>Gypsum Board</t>
  </si>
  <si>
    <t>Paku Sekrup</t>
  </si>
  <si>
    <t>Kaca tebal 5 mm</t>
  </si>
  <si>
    <t>Sloof  SL (15 x 30) cm  K250</t>
  </si>
  <si>
    <t>Kuda-kuda baja IWF 150.75.5.7 + Meni</t>
  </si>
  <si>
    <t xml:space="preserve">Kusen Pintu Alumunium 4' </t>
  </si>
  <si>
    <t xml:space="preserve">Kusen Jendela Alumunium 4' </t>
  </si>
  <si>
    <t xml:space="preserve">Memasang Pintu Alumunium KM Strip lebar 8 cm </t>
  </si>
  <si>
    <t xml:space="preserve">Memasang  Rangka Jendela Alumunium </t>
  </si>
  <si>
    <t>Memasang Kaca Buram / Raybend 5 mm</t>
  </si>
  <si>
    <t>Bata Merah</t>
  </si>
  <si>
    <t>Menggali Tanah Biasa sedalam 1 M</t>
  </si>
  <si>
    <t>Menggali Tanah Biasa sedalam 2 M</t>
  </si>
  <si>
    <t>Plesteran  1PC : 4PP tebal 1,5 cm</t>
  </si>
  <si>
    <t>Memasang Rangka Pintu Alumunium</t>
  </si>
  <si>
    <t>DAFTAR HARGA SATUAN BAHAN BANGUNAN</t>
  </si>
  <si>
    <t>Batu Belah</t>
  </si>
  <si>
    <t>PPN 10%</t>
  </si>
  <si>
    <t>TOTAL JUMLAH</t>
  </si>
  <si>
    <t>DIBULATKAN</t>
  </si>
  <si>
    <t xml:space="preserve">Pemasangan Plesteran 1 Pc : 4 Pp Tebal 15 mm </t>
  </si>
  <si>
    <t>Satuan</t>
  </si>
  <si>
    <t>Cat Penutup 2 kali (sek. Catyluc)</t>
  </si>
  <si>
    <t>SUB TOTAL I</t>
  </si>
  <si>
    <t>SUB TOTAL II</t>
  </si>
  <si>
    <t>SUB TOTAL III</t>
  </si>
  <si>
    <t>SUB TOTAL IV</t>
  </si>
  <si>
    <t>SUB TOTAL V</t>
  </si>
  <si>
    <t>SUB TOTAL VI</t>
  </si>
  <si>
    <t>SUB TOTAL VII</t>
  </si>
  <si>
    <t>SUB TOTAL VIII</t>
  </si>
  <si>
    <t>SUB TOTAL IX</t>
  </si>
  <si>
    <t>HARGA SATUAN
(Rp)</t>
  </si>
  <si>
    <t>JUMLAH HARGA
(Rp)</t>
  </si>
  <si>
    <t>JUMLAH HARGA 
(Rp)</t>
  </si>
  <si>
    <t>PEKERJAAN PONDASI</t>
  </si>
  <si>
    <t>PEKERJAAN ATAP DAN PLAFOND</t>
  </si>
  <si>
    <t>PEKERJAAN KUSEN, PINTU DAN JENDELA</t>
  </si>
  <si>
    <t>PEKERJAAN PENGECATAN</t>
  </si>
  <si>
    <t>Uraian</t>
  </si>
  <si>
    <t>Rp</t>
  </si>
  <si>
    <t>Pembulatan</t>
  </si>
  <si>
    <t>Acuan Berdasarkan UMK yang berlaku di setiap Daerah &amp; PERMENAKER 15/2018 Pasal 19</t>
  </si>
  <si>
    <t>Pekerja/Asisten Tukang/Kenek</t>
  </si>
  <si>
    <t>Pembulatan dari UMK</t>
  </si>
  <si>
    <t>20% &gt; dari Pekerja</t>
  </si>
  <si>
    <t xml:space="preserve">Jumlah Hari kerja (6 Hari / Minggu) </t>
  </si>
  <si>
    <t>Kerja</t>
  </si>
  <si>
    <t>08.00 s/d 12.00</t>
  </si>
  <si>
    <t>Hari</t>
  </si>
  <si>
    <t>Jam Kerja (Jam/Hari)</t>
  </si>
  <si>
    <t>Istirahat</t>
  </si>
  <si>
    <t>12.00 s/d 13.00</t>
  </si>
  <si>
    <t>13.00 s/d 16.00</t>
  </si>
  <si>
    <t>Jumlah Hari Kerja (5 Hari / Minggu)</t>
  </si>
  <si>
    <t xml:space="preserve">Kepala Tukang </t>
  </si>
  <si>
    <t>30% &gt; dari Pekerja</t>
  </si>
  <si>
    <t>13.00 s/d 17.00</t>
  </si>
  <si>
    <t xml:space="preserve">Mandor </t>
  </si>
  <si>
    <t>50% &gt; dari Pekerja</t>
  </si>
  <si>
    <t>Upah Per Hari ------ (G)</t>
  </si>
  <si>
    <t>(A/B) atau (A/D)</t>
  </si>
  <si>
    <t>Upah Per Jam (Dengan Analisa dibagi waktu kerja per hari) ------ (H)</t>
  </si>
  <si>
    <t>(G/C) atau (G/E)</t>
  </si>
  <si>
    <t>Upah Per Jam (Dengan Analisa dibagi waktu kerja per bulan) ------ (I)</t>
  </si>
  <si>
    <t xml:space="preserve">(A/F) </t>
  </si>
  <si>
    <t>Bulan/Tahun</t>
  </si>
  <si>
    <t>Minggu/Tahun</t>
  </si>
  <si>
    <t>jam/minggu</t>
  </si>
  <si>
    <t>minggu/bulan</t>
  </si>
  <si>
    <t>jam/bulan</t>
  </si>
  <si>
    <t>Pembulatan (Jam/bulan)</t>
  </si>
  <si>
    <t>Harga</t>
  </si>
  <si>
    <t>Harga Satuan (Rp.)</t>
  </si>
  <si>
    <t>UMK Kab. Purbalingga (Tahun 2019)</t>
  </si>
  <si>
    <t>Kerikil / Koral</t>
  </si>
  <si>
    <t>Pasir</t>
  </si>
  <si>
    <t>Semen 40 kg/Zak</t>
  </si>
  <si>
    <t>Zak</t>
  </si>
  <si>
    <t>Genteng (Tanah Liat)</t>
  </si>
  <si>
    <t>Nok kerpus (Tanah Liat)</t>
  </si>
  <si>
    <t>a. BJLS 0,18 lebar 55 cm</t>
  </si>
  <si>
    <t>b. BJLS 0,20 lebar 55 cm</t>
  </si>
  <si>
    <t>c. BJLS 0,28 lebar 55 cm</t>
  </si>
  <si>
    <t>d. BJLS 0,30 lebar 55 cm</t>
  </si>
  <si>
    <t>Seng Gelombang</t>
  </si>
  <si>
    <t>a. BJLS 0,18 lebar 180 cm</t>
  </si>
  <si>
    <t>b. BJLS 0,20 lebar 180 cm</t>
  </si>
  <si>
    <t>c. BJLS 0,30 lebar 180 cm</t>
  </si>
  <si>
    <t>d. BJLS 0,40 lebar 180 cm</t>
  </si>
  <si>
    <t>a. Sedang 8 x 10 x 400 cm</t>
  </si>
  <si>
    <t>b. Kecil 6 x 7 x 400 cm</t>
  </si>
  <si>
    <t>c. Besar 10 x 12 x 400 cm</t>
  </si>
  <si>
    <t>d. Kayu cetakan</t>
  </si>
  <si>
    <t>e. Kayu bakar</t>
  </si>
  <si>
    <t>f. Bambu</t>
  </si>
  <si>
    <t>btg</t>
  </si>
  <si>
    <t>BAHAN DASAR</t>
  </si>
  <si>
    <t>BAHAN PENUTUP ATAP</t>
  </si>
  <si>
    <t>BAHAN KAYU</t>
  </si>
  <si>
    <t>BAHAN PENUTUP DINDING / LANTAI</t>
  </si>
  <si>
    <t>a. 20 X 20 cm</t>
  </si>
  <si>
    <t>b. 20 X 25 cm</t>
  </si>
  <si>
    <t>c. 30 X 30 cm</t>
  </si>
  <si>
    <t>d. 40 X 40 cm</t>
  </si>
  <si>
    <t>e. 60 X 60 cm</t>
  </si>
  <si>
    <t>BAHAN BESI</t>
  </si>
  <si>
    <t>Besi Plat Strip</t>
  </si>
  <si>
    <t>Kawat Bendrat</t>
  </si>
  <si>
    <t>BAHAN PIPA</t>
  </si>
  <si>
    <t>a. 1/2" AW</t>
  </si>
  <si>
    <t>b. 3/4" AW</t>
  </si>
  <si>
    <t>c. 1" AW</t>
  </si>
  <si>
    <t>Pipa PVC (Panjang 4m' / batang)</t>
  </si>
  <si>
    <t>d. 1 1/4" AW</t>
  </si>
  <si>
    <t>e. 1 1/5" AW</t>
  </si>
  <si>
    <t>f. 2" AW</t>
  </si>
  <si>
    <t>h. 3" AW</t>
  </si>
  <si>
    <t>i. 4" AW</t>
  </si>
  <si>
    <t>g. 2 1/2" AW</t>
  </si>
  <si>
    <t>j. 1 1/4" D</t>
  </si>
  <si>
    <t>k. 1 1/5" D</t>
  </si>
  <si>
    <t>l. 2" D</t>
  </si>
  <si>
    <t>m. 2 1/2" D</t>
  </si>
  <si>
    <t>n. 3" D</t>
  </si>
  <si>
    <t>o. 4" D</t>
  </si>
  <si>
    <t>BAHAN LANGIT - LANGIT</t>
  </si>
  <si>
    <t>Kalsiboard tebal 6 mm</t>
  </si>
  <si>
    <t>Tripleks dan Multipleks</t>
  </si>
  <si>
    <t>a. Triplek tebal 6 mm (Ukuran 120 cm X 240 cm)</t>
  </si>
  <si>
    <t>b. Multipleks tebal 9 mm  (Ukuran 120 cm X 240 cm)</t>
  </si>
  <si>
    <t>c. Multipleks tebal 12 mm (Ukuran 120 cm X 240 cm)</t>
  </si>
  <si>
    <t>BAHAN FINISHING</t>
  </si>
  <si>
    <t>Cat Kayu</t>
  </si>
  <si>
    <t>a. Menie</t>
  </si>
  <si>
    <t>a. Dempul plamur</t>
  </si>
  <si>
    <t>b. Amplas</t>
  </si>
  <si>
    <t>c. Cat Dasar</t>
  </si>
  <si>
    <t>d. Cat Minyak (sekualitas Avian)</t>
  </si>
  <si>
    <t>e. Kuas</t>
  </si>
  <si>
    <t>a. Plamir</t>
  </si>
  <si>
    <t>Cat Besi</t>
  </si>
  <si>
    <t>e. Minyak Cat</t>
  </si>
  <si>
    <t>d. Thinner</t>
  </si>
  <si>
    <t>c. Cat Biasa</t>
  </si>
  <si>
    <t>BAHAN KACA</t>
  </si>
  <si>
    <t>a. 3 mm</t>
  </si>
  <si>
    <t>b. 5 mm</t>
  </si>
  <si>
    <t>ES</t>
  </si>
  <si>
    <t>BAHAN SANITAIR</t>
  </si>
  <si>
    <t>a. Kran Air</t>
  </si>
  <si>
    <t>b. Seal tape</t>
  </si>
  <si>
    <t>c. Floor Drain</t>
  </si>
  <si>
    <t>Kloset Duduk (Sekualitas Toto)</t>
  </si>
  <si>
    <t>Kloset Jongkok (Sekualitas Toto)</t>
  </si>
  <si>
    <t>ALAT PENGIKAT KAYU</t>
  </si>
  <si>
    <t>LAIN - LAIN</t>
  </si>
  <si>
    <t>Kayu Balok 5/7</t>
  </si>
  <si>
    <t>Paku 2"- 3"</t>
  </si>
  <si>
    <t>b. Balok 5/7 (Panjang 4 m' / btg)</t>
  </si>
  <si>
    <t>a. Papan 3/20 (Panjang 4 m' / btg)</t>
  </si>
  <si>
    <t>c. Balok 6/12 (Panjang 4 m' / btg)</t>
  </si>
  <si>
    <t>PEKERJAAN PERSIAPAN</t>
  </si>
  <si>
    <t>Kode</t>
  </si>
  <si>
    <t>Batu Bata Merah</t>
  </si>
  <si>
    <t>Pembersihan Lapangan dan Perataan</t>
  </si>
  <si>
    <t>Mobilisasi dan Demobilisasi Alat</t>
  </si>
  <si>
    <t>Motor Grader (Termasuk Operator dan BBM)</t>
  </si>
  <si>
    <t>Tandem Roller (Termasuk Operator dan BBM)</t>
  </si>
  <si>
    <t>Lantai Kerja (Rabat Beton) dibawah Foot Plat T=10 cm</t>
  </si>
  <si>
    <t>Batu Kali Belah Ukuran 10/15</t>
  </si>
  <si>
    <t>Pasangan Bata Merah tebal 1/2 bata 1 PC : 4 PC</t>
  </si>
  <si>
    <t>Pemasangan Dinding Bata Merah Ukuran (5x11x22) cm Tbal 1/2 Bata Camp. 1SP : 3PP</t>
  </si>
  <si>
    <t>Lantai Kerja (Rabat Beton) Lantai 1 T=10 cm</t>
  </si>
  <si>
    <t>Kawat Beton (Bendrat)</t>
  </si>
  <si>
    <t>Paku Biasa ukuran 1" s/d 5"</t>
  </si>
  <si>
    <t xml:space="preserve">c. Bekisting </t>
  </si>
  <si>
    <t>Acian</t>
  </si>
  <si>
    <t>PEKERJAAN DINDING, PLESTERAN DAN PARTISI</t>
  </si>
  <si>
    <t>PEKERJAAN DINDING, PLESTERAN DAN PASRTISI</t>
  </si>
  <si>
    <t>Granit Tile 60 cm x 60 cm</t>
  </si>
  <si>
    <t>Semen Nat / Semen Warna</t>
  </si>
  <si>
    <t>Dus</t>
  </si>
  <si>
    <t>Seng Gelombang Lebar 180 cm Tebal 0.3</t>
  </si>
  <si>
    <t>Sekrup</t>
  </si>
  <si>
    <t>A.4.5.2.40</t>
  </si>
  <si>
    <t>Pemasangan Nok Atap Seng Gelombang</t>
  </si>
  <si>
    <t>Seng Plat BJLS Lebar 55 cm Tebal 0.3</t>
  </si>
  <si>
    <t>Pipa PVC dia. 4" Tipe D</t>
  </si>
  <si>
    <t>A.4.2.1.21</t>
  </si>
  <si>
    <t>Pemasangan Rangka Besi Hollow untuk Plafond</t>
  </si>
  <si>
    <t>Rangka Hollow 40x40x2 mm</t>
  </si>
  <si>
    <t>Aksesories (100% dari Rangka)</t>
  </si>
  <si>
    <t>Hollow Plafond Ukuran 40 x 40 tebal 2 mm (4m'/btg)</t>
  </si>
  <si>
    <t>Memasang Plafond Gypsum Board 9 mm</t>
  </si>
  <si>
    <t>A.4.5.1.7b</t>
  </si>
  <si>
    <t xml:space="preserve">Memasang Langit-langit Kalsiboard Board </t>
  </si>
  <si>
    <t xml:space="preserve">uk.  (1,20 x 2,40) m, tebal 6 mm </t>
  </si>
  <si>
    <t>Kalsiboard Board</t>
  </si>
  <si>
    <t>List Gypsum (2m'/batang)</t>
  </si>
  <si>
    <t>Memasang Kaca Bening 5 mm</t>
  </si>
  <si>
    <t>Cat Dinding Interior</t>
  </si>
  <si>
    <t>Cat Dinding Eksterior</t>
  </si>
  <si>
    <t>Cat Plafond</t>
  </si>
  <si>
    <t xml:space="preserve"> Sekrup</t>
  </si>
  <si>
    <t xml:space="preserve">Sekrup Alumunium </t>
  </si>
  <si>
    <t>a. 5 mm</t>
  </si>
  <si>
    <t>b. 8 mm</t>
  </si>
  <si>
    <t>A.4.6.2.17b</t>
  </si>
  <si>
    <t>Tube atau Kg</t>
  </si>
  <si>
    <t>Pemasangan Kaca Bening tebal 5 mm</t>
  </si>
  <si>
    <t>Pemasangan Kaca Es tebal 5 mm</t>
  </si>
  <si>
    <t>Kaca Tempered 12 mm</t>
  </si>
  <si>
    <t>b. Cat Dasar</t>
  </si>
  <si>
    <t>b. Cat Sealer / Dasar Interior</t>
  </si>
  <si>
    <t>c. Cat Sealer / Dasar Eksterior</t>
  </si>
  <si>
    <t>d. Cat Tembok Interior (Sekualitas Dulux Catylac)</t>
  </si>
  <si>
    <t>e. Cat Tembok eksterior (Sekualitas Dulux Catylac)</t>
  </si>
  <si>
    <t>A.4.7.1.10b</t>
  </si>
  <si>
    <t>Pengecatan Tembok Baru / Luar</t>
  </si>
  <si>
    <t>Westafel (Sekualitas Toto)</t>
  </si>
  <si>
    <t xml:space="preserve">I.1. </t>
  </si>
  <si>
    <t>JUMLAH RESOURCE</t>
  </si>
  <si>
    <t>H</t>
  </si>
  <si>
    <t>DURASI</t>
  </si>
  <si>
    <t>L</t>
  </si>
  <si>
    <t>(Hari)</t>
  </si>
  <si>
    <t>J</t>
  </si>
  <si>
    <t>K = (D x I) / J</t>
  </si>
  <si>
    <t>L= D x I</t>
  </si>
  <si>
    <t>M = D x I</t>
  </si>
  <si>
    <t>M</t>
  </si>
  <si>
    <t>BIAYA RESOURCE</t>
  </si>
  <si>
    <t>(Rp.)</t>
  </si>
  <si>
    <t>P</t>
  </si>
  <si>
    <t>(%)</t>
  </si>
  <si>
    <t>N</t>
  </si>
  <si>
    <t>Harga Satuan RAB (Rp.)</t>
  </si>
  <si>
    <t>Harga Satuan
RAP
(Rp.)</t>
  </si>
  <si>
    <t>HARGA
RAB</t>
  </si>
  <si>
    <t>HARGA
RAP</t>
  </si>
  <si>
    <t>Catatan :</t>
  </si>
  <si>
    <t>Harga RAP boleh sama dengan RAB, atau juga jika berbeda pun tidak apa-apa (yang penting harga RAP &lt;= RAB)</t>
  </si>
  <si>
    <t>O</t>
  </si>
  <si>
    <t>R = N x P</t>
  </si>
  <si>
    <t>S = N x P</t>
  </si>
  <si>
    <t>U</t>
  </si>
  <si>
    <t>W = V/Ux 100</t>
  </si>
  <si>
    <t xml:space="preserve">Penyesuaian </t>
  </si>
  <si>
    <t>Q</t>
  </si>
  <si>
    <t>K</t>
  </si>
  <si>
    <t>DAFTAR UPAH PEKERJA RAB DAN RAP</t>
  </si>
  <si>
    <t>DAFTAR HARGA SATUAN BAHAN BANGUNAN RAB DAN RAP</t>
  </si>
  <si>
    <t>diinput dengan di link kan ke Bobot Nilai / Analisa Upah / Harga Bahan / Harga Material</t>
  </si>
  <si>
    <t>diinput manual (diisi manual)</t>
  </si>
  <si>
    <t>Jumlah 
Tenaga</t>
  </si>
  <si>
    <t>Jumlah 
Bahan</t>
  </si>
  <si>
    <t>Jumlah 
Alat</t>
  </si>
  <si>
    <t>Biaya 
Tenaga</t>
  </si>
  <si>
    <t>Biaya 
Bahan</t>
  </si>
  <si>
    <t>Biaya 
Alat</t>
  </si>
  <si>
    <t>TOTAL BIAYA
RAP</t>
  </si>
  <si>
    <t>TOTAL BIAYA 
RAB</t>
  </si>
  <si>
    <t>(Rp)</t>
  </si>
  <si>
    <t>HARGA 
UPAH / MATERIAL / ALAT
RAP</t>
  </si>
  <si>
    <t>Harga Borong Jasa  (Tenaga)</t>
  </si>
  <si>
    <t>Harga
(Rp)</t>
  </si>
  <si>
    <t>Penyesuaian
(Rp)</t>
  </si>
  <si>
    <t>Total Harga 
Biaya Upah</t>
  </si>
  <si>
    <t>Total Biaya
Material + Peralatan</t>
  </si>
  <si>
    <t>RAP DENGAN BAYARAN (UPAH TENAGA HARIAN)</t>
  </si>
  <si>
    <t>RAP DENGAN BAYARAN (UPAH TENAGA BORONGAN)</t>
  </si>
  <si>
    <t>RAP DENGAN BAYARAN (UPAH TENAGA + MATERIAL BORONGAN)</t>
  </si>
  <si>
    <t>Harga Borong Jasa  (Tenaga + Material)</t>
  </si>
  <si>
    <t>Total Harga 
Biaya Upah + Material</t>
  </si>
  <si>
    <t>Total Biaya
Peralatan</t>
  </si>
  <si>
    <t>RENCANA ANGGARAN PELAKSANAAN (RAP) PROYEK</t>
  </si>
  <si>
    <t>F = C x E</t>
  </si>
  <si>
    <t>G = F 
/ Total Seluruh x 100</t>
  </si>
  <si>
    <t>dihitung baru menggunakan rumus</t>
  </si>
  <si>
    <t>JUMLAH HARGA</t>
  </si>
  <si>
    <t xml:space="preserve">HARGA SATUAN </t>
  </si>
  <si>
    <t>BOBOT NILAI</t>
  </si>
  <si>
    <t>N = Penyesuaian 
K, L, dan M</t>
  </si>
  <si>
    <t>Q = J x N X P</t>
  </si>
  <si>
    <t>T = Total Q+R+S</t>
  </si>
  <si>
    <t>V = U - T</t>
  </si>
  <si>
    <t>X = Total Q / I</t>
  </si>
  <si>
    <t>Y = Penyesuaian X</t>
  </si>
  <si>
    <t>Z = Y x I</t>
  </si>
  <si>
    <t>AA = Total R + Total S</t>
  </si>
  <si>
    <t>AB = Z + AA</t>
  </si>
  <si>
    <t>AC = U - AB</t>
  </si>
  <si>
    <t>AD = AC/U X 100</t>
  </si>
  <si>
    <t>AE = (Total Q + Total R) / I</t>
  </si>
  <si>
    <t>AF = Penyesuaian AE</t>
  </si>
  <si>
    <t>AG = AF x I</t>
  </si>
  <si>
    <t>AH = Total S</t>
  </si>
  <si>
    <t>AI = AG + AH</t>
  </si>
  <si>
    <t>AJ = U - AI</t>
  </si>
  <si>
    <t>AK = AJ/U X 100</t>
  </si>
  <si>
    <t>%</t>
  </si>
  <si>
    <t>Paku 1''-5"</t>
  </si>
  <si>
    <t>Papan 3/20</t>
  </si>
  <si>
    <t>MATERIAL / BAHAN</t>
  </si>
  <si>
    <t>TOTAL RAP</t>
  </si>
  <si>
    <t>R</t>
  </si>
  <si>
    <t>S</t>
  </si>
  <si>
    <t>T</t>
  </si>
  <si>
    <t>PROFIT DAN
OVERHEAD</t>
  </si>
  <si>
    <t>% PROFIT
DAN OVERHEAD</t>
  </si>
  <si>
    <t>%PROFIT 
DAN OVERHEAD</t>
  </si>
  <si>
    <t>W</t>
  </si>
  <si>
    <t>Y</t>
  </si>
  <si>
    <t>VOL.</t>
  </si>
  <si>
    <t>Harga  Borongan Jasa 
(Tenaga)</t>
  </si>
  <si>
    <t>RAP - (UPAH TENAGA HARIAN)</t>
  </si>
  <si>
    <t>RAP - (UPAH TENAGA BORONGAN)</t>
  </si>
  <si>
    <t>RAP - (UPAH TENAGA + MATERIAL BORONGAN)</t>
  </si>
  <si>
    <t>Harga  Borongan 
(Tenaga + Material)</t>
  </si>
  <si>
    <t>I.2</t>
  </si>
  <si>
    <t>HARGA RAB</t>
  </si>
  <si>
    <t>DAFTAR HARGA SATUAN DASAR ALAT RAB DAN RAP</t>
  </si>
  <si>
    <t>HARGA RAP</t>
  </si>
  <si>
    <t>I.3</t>
  </si>
  <si>
    <t>Borong Upah + Material (Papan Nama Kegiatan)</t>
  </si>
  <si>
    <t>Borong Upah + Sewa (Kontainer Kantor dan Barak)</t>
  </si>
  <si>
    <t>Mobilisasi dan Demobilisasi</t>
  </si>
  <si>
    <t xml:space="preserve">Mobilisasi 
dan Demobilisasi </t>
  </si>
  <si>
    <t>ANALISA RENCANA ANGGARAN PROYEK (RAP)</t>
  </si>
  <si>
    <t>II.1</t>
  </si>
  <si>
    <t>II.2</t>
  </si>
  <si>
    <t>III.1</t>
  </si>
  <si>
    <t>II.3</t>
  </si>
  <si>
    <t>II.4</t>
  </si>
  <si>
    <t>II.5</t>
  </si>
  <si>
    <t>Batu Belah
15/20</t>
  </si>
  <si>
    <t>Semen</t>
  </si>
  <si>
    <t>IV.1</t>
  </si>
  <si>
    <t>Kerikil</t>
  </si>
  <si>
    <t>IV.2</t>
  </si>
  <si>
    <t>IV.3</t>
  </si>
  <si>
    <t xml:space="preserve">Foot Plat (200 x 200) cm  K250 </t>
  </si>
  <si>
    <t>Kolom Struktur (KB1)   K250</t>
  </si>
  <si>
    <t>Balok Struktur Atap  (20 x 30) cm  K250</t>
  </si>
  <si>
    <t xml:space="preserve">Foot Plat Foot Plat (200 x 200) cm  K250 </t>
  </si>
  <si>
    <t>Balok Atap  (20 x 30) cm  K250</t>
  </si>
  <si>
    <t>diubah satuannya</t>
  </si>
  <si>
    <t>Cor Foot Plat</t>
  </si>
  <si>
    <t>a. Cor Manual</t>
  </si>
  <si>
    <t>Alat Molen Cor</t>
  </si>
  <si>
    <t>Penambahan Alat disesuaikan dengan kebutuhan</t>
  </si>
  <si>
    <t>Molen Cor</t>
  </si>
  <si>
    <t>Sewa Molen Cor</t>
  </si>
  <si>
    <t>IV.4</t>
  </si>
  <si>
    <t>Cor Sloof</t>
  </si>
  <si>
    <t>IV.5</t>
  </si>
  <si>
    <t>Cor Kolom</t>
  </si>
  <si>
    <t>Cor  Balok Atap</t>
  </si>
  <si>
    <t>IV.6</t>
  </si>
  <si>
    <t>IV.7</t>
  </si>
  <si>
    <t>Besi</t>
  </si>
  <si>
    <t>IV.8</t>
  </si>
  <si>
    <t>IV.9</t>
  </si>
  <si>
    <t>b. Pembesian</t>
  </si>
  <si>
    <t xml:space="preserve">Pembesian </t>
  </si>
  <si>
    <t xml:space="preserve">Besi Beton  </t>
  </si>
  <si>
    <t>b. Pembesian'</t>
  </si>
  <si>
    <t>Besi beton</t>
  </si>
  <si>
    <t xml:space="preserve">Besi beton </t>
  </si>
  <si>
    <t>Besi Balok</t>
  </si>
  <si>
    <t>Besi Kolom</t>
  </si>
  <si>
    <t>Besi Sloof</t>
  </si>
  <si>
    <t>Besi Foot Plat</t>
  </si>
  <si>
    <t>IV.10</t>
  </si>
  <si>
    <t>IV.11</t>
  </si>
  <si>
    <t>Bekisting Foot Plat</t>
  </si>
  <si>
    <t>IV.12</t>
  </si>
  <si>
    <t>Bekisting Sloof</t>
  </si>
  <si>
    <t>Bekisting Kolom</t>
  </si>
  <si>
    <t>Balok 6/12</t>
  </si>
  <si>
    <t>Kaso 5/7</t>
  </si>
  <si>
    <t>Multiplek 9 mm</t>
  </si>
  <si>
    <t>Lembar</t>
  </si>
  <si>
    <t>Dolken D 8 cm</t>
  </si>
  <si>
    <t>IV.13</t>
  </si>
  <si>
    <t>Bekisting Balok</t>
  </si>
  <si>
    <t>IV.14</t>
  </si>
  <si>
    <t>Kolom Praktis</t>
  </si>
  <si>
    <t>IV.15</t>
  </si>
  <si>
    <t>Balok Praktis</t>
  </si>
  <si>
    <t>V.1</t>
  </si>
  <si>
    <t>V.2</t>
  </si>
  <si>
    <t>V.3</t>
  </si>
  <si>
    <t>VI.1</t>
  </si>
  <si>
    <t>Bungkus</t>
  </si>
  <si>
    <t>Alat / Peralatan</t>
  </si>
  <si>
    <t>Granite
60 x 60</t>
  </si>
  <si>
    <t>Semen Nat</t>
  </si>
  <si>
    <t>1 Kg / Bks</t>
  </si>
  <si>
    <t>VI.2</t>
  </si>
  <si>
    <t>Keramik
20x20</t>
  </si>
  <si>
    <t>VII.1</t>
  </si>
  <si>
    <t>Baja Gording</t>
  </si>
  <si>
    <t>Cat Meni Besi</t>
  </si>
  <si>
    <t>VII.2</t>
  </si>
  <si>
    <t>Baja WF</t>
  </si>
  <si>
    <t>VII.3</t>
  </si>
  <si>
    <t>Atap Seng Gelombang</t>
  </si>
  <si>
    <t>VII.4</t>
  </si>
  <si>
    <t>VII.5</t>
  </si>
  <si>
    <t>Rangka Hollow 20x40x2 mm</t>
  </si>
  <si>
    <t>Paku Sekrup Baja</t>
  </si>
  <si>
    <t>Paku Sekrup
Gypsum</t>
  </si>
  <si>
    <t>Hollow 40x40</t>
  </si>
  <si>
    <t>Hollow 20x40</t>
  </si>
  <si>
    <t>VII.6</t>
  </si>
  <si>
    <t>Gypsum 9 mm</t>
  </si>
  <si>
    <t>VIII.1</t>
  </si>
  <si>
    <t xml:space="preserve">btg </t>
  </si>
  <si>
    <t xml:space="preserve">Kusen Alumunium </t>
  </si>
  <si>
    <t>Sekrup Alumunium</t>
  </si>
  <si>
    <t>VIII.2</t>
  </si>
  <si>
    <t>Pemasangan Kusen Jendela Alumunium 4"</t>
  </si>
  <si>
    <t>VIII.3</t>
  </si>
  <si>
    <t xml:space="preserve"> Profil Jendela</t>
  </si>
  <si>
    <t>Profil Jendela</t>
  </si>
  <si>
    <t>Profil Alumunium Kaca</t>
  </si>
  <si>
    <t>VIII.4</t>
  </si>
  <si>
    <t>Profil Pintu</t>
  </si>
  <si>
    <t>Profil Jendela atau Pintu</t>
  </si>
  <si>
    <t>Profil Almunium Jendela / Pintu</t>
  </si>
  <si>
    <t>VIII.5</t>
  </si>
  <si>
    <t xml:space="preserve"> Profil Pintu</t>
  </si>
  <si>
    <t>Alumunium Strip</t>
  </si>
  <si>
    <t>VIII.6</t>
  </si>
  <si>
    <t>Kaca Bening 5 mm</t>
  </si>
  <si>
    <t>VIII.7</t>
  </si>
  <si>
    <t>Kaca Es 5 mm</t>
  </si>
  <si>
    <t>IX.1</t>
  </si>
  <si>
    <t>Pail</t>
  </si>
  <si>
    <t>Pail (25 kg)</t>
  </si>
  <si>
    <t xml:space="preserve">Sealer Interior </t>
  </si>
  <si>
    <t>25 kg/Pail</t>
  </si>
  <si>
    <t>Sealer Eksterior</t>
  </si>
  <si>
    <t>Cat Eksterior Dinding</t>
  </si>
  <si>
    <t>Cat Interior Dinding</t>
  </si>
  <si>
    <t>Cat Interior Plafond</t>
  </si>
  <si>
    <t>IX.2</t>
  </si>
  <si>
    <t>Pail (5 Kg)</t>
  </si>
  <si>
    <t>IX.3</t>
  </si>
  <si>
    <t>TOTAL SELURUH  (I+II+III+IV+V+VI+VII+VIII+IX)</t>
  </si>
  <si>
    <t>DINAS ABC</t>
  </si>
  <si>
    <t># Satu Milyar Empat Ratus Sembilan Puluh Empat Juta Lima Ratus Lima Puluh Dua Ribu Rupiah #</t>
  </si>
  <si>
    <t>PEMBANGUNAN GEDUNG A (STRUKTUR DAN ARSITEKTUR)</t>
  </si>
  <si>
    <t>Total Harga Borongan Jasa
(Tenaga)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</si>
  <si>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</si>
  <si>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</si>
  <si>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</si>
  <si>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</si>
  <si>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</si>
  <si>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</si>
  <si>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</si>
  <si>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</si>
  <si>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</si>
  <si>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</si>
  <si>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</si>
  <si>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</si>
  <si>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</si>
  <si>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</si>
  <si>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</si>
  <si>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</si>
  <si>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</si>
  <si>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</si>
  <si>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</si>
  <si>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</si>
  <si>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</si>
  <si>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</si>
  <si>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</si>
  <si>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</si>
  <si>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</si>
  <si>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</si>
  <si>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</si>
  <si>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</si>
  <si>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</si>
  <si>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</si>
  <si>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</si>
  <si>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</si>
  <si>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</si>
  <si>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</si>
  <si>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</si>
  <si>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</si>
  <si>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</si>
  <si>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</si>
  <si>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</si>
  <si>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</si>
  <si>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 = BM x C</t>
  </si>
  <si>
    <t>BO</t>
  </si>
  <si>
    <t>BP</t>
  </si>
  <si>
    <t>BQ</t>
  </si>
  <si>
    <t>BR</t>
  </si>
  <si>
    <t>BT</t>
  </si>
  <si>
    <t>BU</t>
  </si>
  <si>
    <t>Total Harga Borongan 
(Tenaga + Material)</t>
  </si>
  <si>
    <t>BS = BR x C</t>
  </si>
  <si>
    <t>BV</t>
  </si>
  <si>
    <t>DURASI WAKTU</t>
  </si>
  <si>
    <t xml:space="preserve">: </t>
  </si>
  <si>
    <t>PERIODE</t>
  </si>
  <si>
    <t>SEPTEMBER S/D DESEMBER 2019</t>
  </si>
  <si>
    <t>Urugan Pasir Bawah Pondasi dan Sloof</t>
  </si>
  <si>
    <t xml:space="preserve">90 HARI </t>
  </si>
  <si>
    <t>MAJALENGKA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</si>
</sst>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.00_);_(&quot;Rp&quot;* \(#,##0.00\);_(&quot;Rp&quot;* &quot;-&quot;??_);_(@_)"/>
    <numFmt numFmtId="167" formatCode="_(* #,##0.00_);_(* \(#,##0.00\);_(* &quot;-&quot;_);_(@_)"/>
    <numFmt numFmtId="168" formatCode="_(* #,##0.000_);_(* \(#,##0.000\);_(* &quot;-&quot;??_);_(@_)"/>
    <numFmt numFmtId="169" formatCode="_(* #,##0.0000_);_(* \(#,##0.0000\);_(* &quot;-&quot;_);_(@_)"/>
    <numFmt numFmtId="170" formatCode="_(* #,##0.000_);_(* \(#,##0.000\);_(* &quot;-&quot;_);_(@_)"/>
    <numFmt numFmtId="171" formatCode="_(* #,##0.0_);_(* \(#,##0.0\);_(* &quot;-&quot;_);_(@_)"/>
    <numFmt numFmtId="172" formatCode="0.000"/>
    <numFmt numFmtId="173" formatCode="_(* #,##0.00_);_(* \(#,##0.00\);_(* &quot;-&quot;???_);_(@_)"/>
    <numFmt numFmtId="174" formatCode="_-* #,##0\ _D_M_-;\-* #,##0\ _D_M_-;_-* &quot;-&quot;\ _D_M_-;_-@_-"/>
    <numFmt numFmtId="175" formatCode="_-* #,##0.00\ _D_M_-;\-* #,##0.00\ _D_M_-;_-* &quot;-&quot;??\ _D_M_-;_-@_-"/>
    <numFmt numFmtId="176" formatCode="#,##0."/>
    <numFmt numFmtId="177" formatCode="_-* #,##0\ &quot;DM&quot;_-;\-* #,##0\ &quot;DM&quot;_-;_-* &quot;-&quot;\ &quot;DM&quot;_-;_-@_-"/>
    <numFmt numFmtId="178" formatCode="_-* #,##0.00\ &quot;DM&quot;_-;\-* #,##0.00\ &quot;DM&quot;_-;_-* &quot;-&quot;??\ &quot;DM&quot;_-;_-@_-"/>
    <numFmt numFmtId="179" formatCode="_(* #,##0.00000_);_(* \(#,##0.00000\);_(* &quot;-&quot;_);_(@_)"/>
    <numFmt numFmtId="180" formatCode="_(* #,##0_);_(* \(#,##0\);_(* &quot;-&quot;??_);_(@_)"/>
  </numFmts>
  <fonts count="4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Comic Sans MS"/>
      <family val="4"/>
    </font>
    <font>
      <sz val="10"/>
      <color theme="1"/>
      <name val="Comic Sans MS"/>
      <family val="4"/>
    </font>
    <font>
      <b/>
      <sz val="10"/>
      <color theme="1"/>
      <name val="Comic Sans MS"/>
      <family val="4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2"/>
      <color theme="1"/>
      <name val="Comic Sans MS"/>
      <family val="4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name val="Helv"/>
    </font>
    <font>
      <sz val="10"/>
      <name val="Times New Roman"/>
      <family val="1"/>
    </font>
    <font>
      <b/>
      <sz val="18"/>
      <color indexed="8"/>
      <name val="Cambria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8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sz val="12"/>
      <color indexed="8"/>
      <name val="Times New Roman"/>
      <family val="1"/>
    </font>
    <font>
      <sz val="8"/>
      <name val="Calibri"/>
      <family val="2"/>
      <charset val="1"/>
      <scheme val="minor"/>
    </font>
    <font>
      <b/>
      <sz val="12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08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4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74" fontId="11" fillId="0" borderId="0" applyFont="0" applyFill="0" applyBorder="0" applyAlignment="0" applyProtection="0"/>
    <xf numFmtId="175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176" fontId="13" fillId="0" borderId="0">
      <protection locked="0"/>
    </xf>
    <xf numFmtId="176" fontId="13" fillId="0" borderId="0">
      <protection locked="0"/>
    </xf>
    <xf numFmtId="176" fontId="14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3" fillId="0" borderId="0">
      <protection locked="0"/>
    </xf>
    <xf numFmtId="176" fontId="14" fillId="0" borderId="0"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7" fillId="0" borderId="0" applyNumberForma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18" fillId="0" borderId="0" applyFont="0" applyFill="0" applyBorder="0" applyAlignment="0" applyProtection="0"/>
    <xf numFmtId="0" fontId="18" fillId="0" borderId="0"/>
    <xf numFmtId="164" fontId="9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191">
    <xf numFmtId="0" fontId="0" fillId="0" borderId="0" xfId="0"/>
    <xf numFmtId="0" fontId="3" fillId="0" borderId="0" xfId="0" applyFont="1"/>
    <xf numFmtId="0" fontId="6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11" xfId="0" applyBorder="1"/>
    <xf numFmtId="0" fontId="0" fillId="0" borderId="3" xfId="0" applyBorder="1"/>
    <xf numFmtId="0" fontId="0" fillId="0" borderId="24" xfId="0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 applyBorder="1"/>
    <xf numFmtId="0" fontId="21" fillId="0" borderId="0" xfId="0" applyFont="1" applyAlignment="1">
      <alignment horizontal="left"/>
    </xf>
    <xf numFmtId="165" fontId="22" fillId="0" borderId="15" xfId="1" applyFont="1" applyBorder="1"/>
    <xf numFmtId="0" fontId="22" fillId="0" borderId="1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5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15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167" fontId="22" fillId="0" borderId="22" xfId="2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0" fontId="21" fillId="0" borderId="22" xfId="0" applyFont="1" applyBorder="1"/>
    <xf numFmtId="165" fontId="21" fillId="0" borderId="14" xfId="0" applyNumberFormat="1" applyFont="1" applyBorder="1" applyAlignment="1">
      <alignment horizontal="center"/>
    </xf>
    <xf numFmtId="0" fontId="22" fillId="0" borderId="15" xfId="0" applyFont="1" applyBorder="1" applyAlignment="1">
      <alignment vertical="center" wrapText="1"/>
    </xf>
    <xf numFmtId="2" fontId="22" fillId="0" borderId="22" xfId="0" applyNumberFormat="1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165" fontId="22" fillId="0" borderId="15" xfId="0" applyNumberFormat="1" applyFont="1" applyBorder="1" applyAlignment="1">
      <alignment vertical="center" wrapText="1"/>
    </xf>
    <xf numFmtId="0" fontId="21" fillId="0" borderId="12" xfId="0" applyFont="1" applyBorder="1" applyAlignment="1">
      <alignment horizontal="center"/>
    </xf>
    <xf numFmtId="165" fontId="22" fillId="0" borderId="15" xfId="1" applyFont="1" applyFill="1" applyBorder="1"/>
    <xf numFmtId="0" fontId="21" fillId="0" borderId="33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165" fontId="21" fillId="0" borderId="23" xfId="1" applyFont="1" applyBorder="1"/>
    <xf numFmtId="0" fontId="22" fillId="0" borderId="22" xfId="0" applyFont="1" applyBorder="1" applyAlignment="1">
      <alignment horizontal="left"/>
    </xf>
    <xf numFmtId="0" fontId="24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15" xfId="0" applyFont="1" applyBorder="1" applyAlignment="1">
      <alignment horizontal="left"/>
    </xf>
    <xf numFmtId="167" fontId="22" fillId="0" borderId="15" xfId="2" applyNumberFormat="1" applyFont="1" applyFill="1" applyBorder="1" applyAlignment="1">
      <alignment horizontal="right"/>
    </xf>
    <xf numFmtId="167" fontId="22" fillId="0" borderId="15" xfId="6" applyNumberFormat="1" applyFont="1" applyFill="1" applyBorder="1" applyAlignment="1">
      <alignment horizontal="right" vertical="center"/>
    </xf>
    <xf numFmtId="0" fontId="20" fillId="0" borderId="23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165" fontId="21" fillId="0" borderId="23" xfId="1" applyFont="1" applyFill="1" applyBorder="1"/>
    <xf numFmtId="167" fontId="22" fillId="0" borderId="15" xfId="2" applyNumberFormat="1" applyFont="1" applyFill="1" applyBorder="1" applyAlignment="1">
      <alignment horizontal="right" vertical="center"/>
    </xf>
    <xf numFmtId="0" fontId="22" fillId="0" borderId="13" xfId="0" applyFont="1" applyBorder="1" applyAlignment="1">
      <alignment horizontal="center"/>
    </xf>
    <xf numFmtId="0" fontId="22" fillId="0" borderId="13" xfId="0" applyFont="1" applyBorder="1" applyAlignment="1">
      <alignment horizontal="left"/>
    </xf>
    <xf numFmtId="167" fontId="22" fillId="0" borderId="13" xfId="2" applyNumberFormat="1" applyFont="1" applyFill="1" applyBorder="1" applyAlignment="1">
      <alignment horizontal="right" vertical="center"/>
    </xf>
    <xf numFmtId="165" fontId="22" fillId="0" borderId="13" xfId="1" applyFont="1" applyFill="1" applyBorder="1"/>
    <xf numFmtId="165" fontId="21" fillId="0" borderId="34" xfId="0" applyNumberFormat="1" applyFont="1" applyBorder="1"/>
    <xf numFmtId="165" fontId="21" fillId="0" borderId="23" xfId="0" applyNumberFormat="1" applyFont="1" applyBorder="1" applyAlignment="1">
      <alignment horizontal="center"/>
    </xf>
    <xf numFmtId="165" fontId="22" fillId="0" borderId="15" xfId="1" applyFont="1" applyFill="1" applyBorder="1" applyAlignment="1">
      <alignment horizontal="right"/>
    </xf>
    <xf numFmtId="0" fontId="22" fillId="0" borderId="23" xfId="0" applyFont="1" applyBorder="1" applyAlignment="1">
      <alignment horizontal="center"/>
    </xf>
    <xf numFmtId="167" fontId="22" fillId="0" borderId="23" xfId="2" applyNumberFormat="1" applyFont="1" applyFill="1" applyBorder="1" applyAlignment="1">
      <alignment horizontal="right"/>
    </xf>
    <xf numFmtId="167" fontId="22" fillId="0" borderId="23" xfId="2" applyNumberFormat="1" applyFont="1" applyFill="1" applyBorder="1" applyAlignment="1">
      <alignment horizontal="right" vertical="center"/>
    </xf>
    <xf numFmtId="165" fontId="22" fillId="0" borderId="23" xfId="1" applyFont="1" applyFill="1" applyBorder="1" applyAlignment="1">
      <alignment horizontal="right"/>
    </xf>
    <xf numFmtId="165" fontId="22" fillId="0" borderId="15" xfId="1" applyFont="1" applyFill="1" applyBorder="1" applyAlignment="1">
      <alignment horizontal="center"/>
    </xf>
    <xf numFmtId="167" fontId="22" fillId="0" borderId="13" xfId="2" applyNumberFormat="1" applyFont="1" applyFill="1" applyBorder="1" applyAlignment="1">
      <alignment horizontal="right"/>
    </xf>
    <xf numFmtId="0" fontId="20" fillId="0" borderId="33" xfId="0" applyFont="1" applyBorder="1" applyAlignment="1">
      <alignment horizontal="left"/>
    </xf>
    <xf numFmtId="0" fontId="22" fillId="0" borderId="1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165" fontId="22" fillId="0" borderId="15" xfId="1" applyFont="1" applyFill="1" applyBorder="1" applyAlignment="1">
      <alignment vertical="center" wrapText="1"/>
    </xf>
    <xf numFmtId="0" fontId="22" fillId="0" borderId="27" xfId="0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33" xfId="0" applyFont="1" applyBorder="1" applyAlignment="1">
      <alignment horizontal="right" vertical="center"/>
    </xf>
    <xf numFmtId="0" fontId="22" fillId="0" borderId="32" xfId="0" applyFont="1" applyBorder="1" applyAlignment="1">
      <alignment horizontal="center"/>
    </xf>
    <xf numFmtId="0" fontId="22" fillId="0" borderId="32" xfId="0" applyFont="1" applyBorder="1" applyAlignment="1">
      <alignment horizontal="right"/>
    </xf>
    <xf numFmtId="0" fontId="22" fillId="0" borderId="23" xfId="0" applyFont="1" applyBorder="1" applyAlignment="1">
      <alignment horizontal="right"/>
    </xf>
    <xf numFmtId="0" fontId="21" fillId="0" borderId="1" xfId="0" applyFont="1" applyBorder="1" applyAlignment="1">
      <alignment horizontal="left" vertical="center"/>
    </xf>
    <xf numFmtId="0" fontId="22" fillId="0" borderId="22" xfId="0" applyFont="1" applyBorder="1" applyAlignment="1">
      <alignment horizontal="right" vertical="center"/>
    </xf>
    <xf numFmtId="0" fontId="21" fillId="0" borderId="14" xfId="0" applyFont="1" applyBorder="1" applyAlignment="1">
      <alignment horizontal="left" vertical="center"/>
    </xf>
    <xf numFmtId="0" fontId="22" fillId="0" borderId="14" xfId="0" applyFont="1" applyBorder="1" applyAlignment="1">
      <alignment horizontal="right"/>
    </xf>
    <xf numFmtId="0" fontId="22" fillId="0" borderId="15" xfId="0" applyFont="1" applyBorder="1" applyAlignment="1">
      <alignment horizontal="right"/>
    </xf>
    <xf numFmtId="165" fontId="21" fillId="0" borderId="15" xfId="1" applyFont="1" applyFill="1" applyBorder="1"/>
    <xf numFmtId="165" fontId="22" fillId="0" borderId="1" xfId="1" applyFont="1" applyFill="1" applyBorder="1" applyAlignment="1"/>
    <xf numFmtId="0" fontId="21" fillId="0" borderId="13" xfId="0" applyFont="1" applyBorder="1" applyAlignment="1">
      <alignment horizontal="center"/>
    </xf>
    <xf numFmtId="165" fontId="22" fillId="0" borderId="15" xfId="0" applyNumberFormat="1" applyFont="1" applyBorder="1" applyAlignment="1">
      <alignment horizontal="center"/>
    </xf>
    <xf numFmtId="0" fontId="21" fillId="0" borderId="6" xfId="0" applyFont="1" applyBorder="1" applyAlignment="1">
      <alignment horizontal="left"/>
    </xf>
    <xf numFmtId="0" fontId="21" fillId="0" borderId="6" xfId="0" applyFont="1" applyBorder="1" applyAlignment="1">
      <alignment horizontal="center"/>
    </xf>
    <xf numFmtId="167" fontId="22" fillId="0" borderId="6" xfId="2" applyNumberFormat="1" applyFont="1" applyFill="1" applyBorder="1" applyAlignment="1"/>
    <xf numFmtId="165" fontId="22" fillId="0" borderId="13" xfId="0" applyNumberFormat="1" applyFont="1" applyBorder="1" applyAlignment="1">
      <alignment horizontal="center"/>
    </xf>
    <xf numFmtId="0" fontId="21" fillId="0" borderId="23" xfId="0" applyFont="1" applyBorder="1" applyAlignment="1">
      <alignment horizontal="center" vertical="center" wrapText="1"/>
    </xf>
    <xf numFmtId="165" fontId="21" fillId="0" borderId="23" xfId="1" applyFont="1" applyFill="1" applyBorder="1" applyAlignment="1">
      <alignment horizontal="center"/>
    </xf>
    <xf numFmtId="165" fontId="22" fillId="0" borderId="15" xfId="1" applyFont="1" applyFill="1" applyBorder="1" applyAlignment="1"/>
    <xf numFmtId="165" fontId="22" fillId="0" borderId="13" xfId="1" applyFont="1" applyFill="1" applyBorder="1" applyAlignment="1"/>
    <xf numFmtId="0" fontId="22" fillId="0" borderId="23" xfId="0" applyFont="1" applyBorder="1"/>
    <xf numFmtId="165" fontId="22" fillId="0" borderId="23" xfId="1" applyFont="1" applyFill="1" applyBorder="1"/>
    <xf numFmtId="165" fontId="22" fillId="0" borderId="23" xfId="1" applyFont="1" applyBorder="1"/>
    <xf numFmtId="165" fontId="24" fillId="0" borderId="15" xfId="1" applyFont="1" applyFill="1" applyBorder="1"/>
    <xf numFmtId="0" fontId="21" fillId="0" borderId="3" xfId="0" applyFont="1" applyBorder="1"/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left"/>
    </xf>
    <xf numFmtId="165" fontId="22" fillId="0" borderId="3" xfId="1" applyFont="1" applyBorder="1"/>
    <xf numFmtId="0" fontId="27" fillId="0" borderId="0" xfId="0" applyFont="1" applyAlignment="1">
      <alignment horizontal="center"/>
    </xf>
    <xf numFmtId="0" fontId="16" fillId="0" borderId="0" xfId="0" applyFont="1"/>
    <xf numFmtId="0" fontId="28" fillId="0" borderId="0" xfId="0" applyFont="1"/>
    <xf numFmtId="0" fontId="29" fillId="0" borderId="0" xfId="0" applyFont="1"/>
    <xf numFmtId="0" fontId="33" fillId="0" borderId="0" xfId="0" applyFont="1"/>
    <xf numFmtId="0" fontId="32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167" fontId="16" fillId="0" borderId="0" xfId="2" applyNumberFormat="1" applyFont="1" applyBorder="1"/>
    <xf numFmtId="0" fontId="30" fillId="0" borderId="0" xfId="0" applyFont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167" fontId="22" fillId="0" borderId="34" xfId="2" applyNumberFormat="1" applyFont="1" applyBorder="1" applyAlignment="1">
      <alignment vertical="center"/>
    </xf>
    <xf numFmtId="167" fontId="22" fillId="0" borderId="34" xfId="2" applyNumberFormat="1" applyFont="1" applyBorder="1" applyAlignment="1">
      <alignment horizontal="right" vertical="center"/>
    </xf>
    <xf numFmtId="0" fontId="22" fillId="0" borderId="34" xfId="0" applyFont="1" applyBorder="1" applyAlignment="1">
      <alignment horizontal="center"/>
    </xf>
    <xf numFmtId="0" fontId="20" fillId="0" borderId="27" xfId="0" applyFont="1" applyBorder="1" applyAlignment="1">
      <alignment horizontal="left" vertical="center"/>
    </xf>
    <xf numFmtId="0" fontId="26" fillId="0" borderId="0" xfId="0" applyFont="1"/>
    <xf numFmtId="0" fontId="24" fillId="0" borderId="0" xfId="0" applyFont="1" applyAlignment="1">
      <alignment horizontal="center"/>
    </xf>
    <xf numFmtId="0" fontId="24" fillId="0" borderId="34" xfId="0" applyFont="1" applyBorder="1"/>
    <xf numFmtId="0" fontId="22" fillId="0" borderId="4" xfId="0" applyFont="1" applyBorder="1"/>
    <xf numFmtId="0" fontId="22" fillId="0" borderId="5" xfId="0" applyFont="1" applyBorder="1" applyAlignment="1">
      <alignment horizontal="center"/>
    </xf>
    <xf numFmtId="0" fontId="19" fillId="8" borderId="0" xfId="0" applyFont="1" applyFill="1"/>
    <xf numFmtId="0" fontId="22" fillId="0" borderId="2" xfId="0" applyFont="1" applyBorder="1" applyAlignment="1">
      <alignment horizontal="center"/>
    </xf>
    <xf numFmtId="0" fontId="4" fillId="0" borderId="7" xfId="0" applyFont="1" applyBorder="1"/>
    <xf numFmtId="0" fontId="3" fillId="0" borderId="8" xfId="0" applyFont="1" applyBorder="1"/>
    <xf numFmtId="0" fontId="3" fillId="9" borderId="8" xfId="0" applyFont="1" applyFill="1" applyBorder="1"/>
    <xf numFmtId="165" fontId="7" fillId="9" borderId="9" xfId="1" applyFont="1" applyFill="1" applyBorder="1"/>
    <xf numFmtId="0" fontId="36" fillId="0" borderId="18" xfId="0" applyFont="1" applyBorder="1" applyAlignment="1">
      <alignment horizontal="center"/>
    </xf>
    <xf numFmtId="0" fontId="3" fillId="0" borderId="7" xfId="0" applyFont="1" applyBorder="1"/>
    <xf numFmtId="0" fontId="4" fillId="9" borderId="9" xfId="0" applyFont="1" applyFill="1" applyBorder="1"/>
    <xf numFmtId="0" fontId="4" fillId="0" borderId="10" xfId="0" applyFont="1" applyBorder="1" applyAlignment="1">
      <alignment horizontal="center"/>
    </xf>
    <xf numFmtId="0" fontId="3" fillId="0" borderId="24" xfId="0" applyFont="1" applyBorder="1"/>
    <xf numFmtId="0" fontId="3" fillId="9" borderId="0" xfId="0" applyFont="1" applyFill="1" applyAlignment="1">
      <alignment horizontal="center"/>
    </xf>
    <xf numFmtId="180" fontId="5" fillId="0" borderId="11" xfId="0" applyNumberFormat="1" applyFont="1" applyBorder="1"/>
    <xf numFmtId="0" fontId="36" fillId="0" borderId="10" xfId="0" applyFont="1" applyBorder="1" applyAlignment="1">
      <alignment horizontal="center"/>
    </xf>
    <xf numFmtId="0" fontId="3" fillId="0" borderId="26" xfId="0" applyFont="1" applyBorder="1"/>
    <xf numFmtId="0" fontId="3" fillId="0" borderId="3" xfId="0" applyFont="1" applyBorder="1"/>
    <xf numFmtId="0" fontId="0" fillId="0" borderId="16" xfId="0" applyBorder="1"/>
    <xf numFmtId="0" fontId="3" fillId="9" borderId="0" xfId="0" applyFont="1" applyFill="1"/>
    <xf numFmtId="180" fontId="5" fillId="9" borderId="11" xfId="0" applyNumberFormat="1" applyFont="1" applyFill="1" applyBorder="1"/>
    <xf numFmtId="0" fontId="0" fillId="9" borderId="0" xfId="0" applyFill="1" applyAlignment="1">
      <alignment horizontal="center"/>
    </xf>
    <xf numFmtId="0" fontId="0" fillId="0" borderId="26" xfId="0" applyBorder="1"/>
    <xf numFmtId="0" fontId="0" fillId="0" borderId="10" xfId="0" applyBorder="1" applyAlignment="1">
      <alignment horizontal="center"/>
    </xf>
    <xf numFmtId="43" fontId="0" fillId="10" borderId="16" xfId="0" applyNumberFormat="1" applyFill="1" applyBorder="1"/>
    <xf numFmtId="0" fontId="19" fillId="0" borderId="10" xfId="0" applyFont="1" applyBorder="1" applyAlignment="1">
      <alignment horizontal="center"/>
    </xf>
    <xf numFmtId="43" fontId="0" fillId="7" borderId="16" xfId="0" applyNumberFormat="1" applyFill="1" applyBorder="1"/>
    <xf numFmtId="43" fontId="0" fillId="11" borderId="5" xfId="0" applyNumberFormat="1" applyFill="1" applyBorder="1"/>
    <xf numFmtId="0" fontId="19" fillId="0" borderId="17" xfId="0" applyFont="1" applyBorder="1" applyAlignment="1">
      <alignment horizontal="center"/>
    </xf>
    <xf numFmtId="43" fontId="0" fillId="0" borderId="0" xfId="0" applyNumberFormat="1"/>
    <xf numFmtId="0" fontId="0" fillId="0" borderId="7" xfId="0" applyBorder="1"/>
    <xf numFmtId="2" fontId="0" fillId="5" borderId="7" xfId="0" applyNumberFormat="1" applyFill="1" applyBorder="1"/>
    <xf numFmtId="2" fontId="0" fillId="5" borderId="26" xfId="0" applyNumberFormat="1" applyFill="1" applyBorder="1"/>
    <xf numFmtId="2" fontId="0" fillId="9" borderId="4" xfId="0" applyNumberFormat="1" applyFill="1" applyBorder="1"/>
    <xf numFmtId="0" fontId="19" fillId="0" borderId="0" xfId="0" applyFont="1" applyAlignment="1">
      <alignment horizontal="center"/>
    </xf>
    <xf numFmtId="165" fontId="22" fillId="5" borderId="34" xfId="0" applyNumberFormat="1" applyFont="1" applyFill="1" applyBorder="1" applyAlignment="1">
      <alignment horizontal="center"/>
    </xf>
    <xf numFmtId="165" fontId="22" fillId="9" borderId="34" xfId="0" applyNumberFormat="1" applyFont="1" applyFill="1" applyBorder="1"/>
    <xf numFmtId="0" fontId="24" fillId="0" borderId="34" xfId="0" applyFont="1" applyBorder="1" applyAlignment="1">
      <alignment horizontal="center"/>
    </xf>
    <xf numFmtId="43" fontId="22" fillId="0" borderId="34" xfId="0" applyNumberFormat="1" applyFont="1" applyBorder="1" applyAlignment="1">
      <alignment horizontal="center"/>
    </xf>
    <xf numFmtId="165" fontId="24" fillId="0" borderId="34" xfId="0" applyNumberFormat="1" applyFont="1" applyBorder="1" applyAlignment="1">
      <alignment horizontal="center"/>
    </xf>
    <xf numFmtId="43" fontId="24" fillId="0" borderId="34" xfId="0" applyNumberFormat="1" applyFont="1" applyBorder="1"/>
    <xf numFmtId="0" fontId="21" fillId="6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24" fillId="0" borderId="24" xfId="0" applyFont="1" applyBorder="1"/>
    <xf numFmtId="0" fontId="24" fillId="0" borderId="11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9" xfId="0" applyFont="1" applyBorder="1"/>
    <xf numFmtId="0" fontId="24" fillId="0" borderId="18" xfId="0" applyFont="1" applyBorder="1" applyAlignment="1">
      <alignment horizontal="center"/>
    </xf>
    <xf numFmtId="167" fontId="22" fillId="0" borderId="7" xfId="2" applyNumberFormat="1" applyFont="1" applyFill="1" applyBorder="1" applyAlignment="1">
      <alignment horizontal="right" vertical="center"/>
    </xf>
    <xf numFmtId="0" fontId="33" fillId="0" borderId="0" xfId="0" applyFont="1" applyAlignment="1">
      <alignment horizontal="center"/>
    </xf>
    <xf numFmtId="167" fontId="22" fillId="0" borderId="0" xfId="2" applyNumberFormat="1" applyFont="1" applyFill="1" applyBorder="1" applyAlignment="1">
      <alignment horizontal="right" vertical="center"/>
    </xf>
    <xf numFmtId="165" fontId="24" fillId="0" borderId="0" xfId="0" applyNumberFormat="1" applyFont="1"/>
    <xf numFmtId="0" fontId="24" fillId="0" borderId="0" xfId="0" applyFont="1" applyAlignment="1">
      <alignment vertical="center"/>
    </xf>
    <xf numFmtId="0" fontId="26" fillId="0" borderId="18" xfId="0" applyFont="1" applyBorder="1" applyAlignment="1">
      <alignment horizontal="center"/>
    </xf>
    <xf numFmtId="0" fontId="35" fillId="0" borderId="18" xfId="0" applyFont="1" applyBorder="1"/>
    <xf numFmtId="0" fontId="24" fillId="0" borderId="18" xfId="0" applyFont="1" applyBorder="1"/>
    <xf numFmtId="0" fontId="24" fillId="0" borderId="10" xfId="0" applyFont="1" applyBorder="1" applyAlignment="1">
      <alignment horizontal="center"/>
    </xf>
    <xf numFmtId="0" fontId="24" fillId="0" borderId="10" xfId="0" applyFont="1" applyBorder="1"/>
    <xf numFmtId="0" fontId="26" fillId="0" borderId="10" xfId="0" applyFont="1" applyBorder="1" applyAlignment="1">
      <alignment horizontal="center"/>
    </xf>
    <xf numFmtId="0" fontId="35" fillId="0" borderId="10" xfId="0" applyFont="1" applyBorder="1"/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167" fontId="22" fillId="0" borderId="24" xfId="2" applyNumberFormat="1" applyFont="1" applyFill="1" applyBorder="1" applyAlignment="1">
      <alignment horizontal="right" vertical="center"/>
    </xf>
    <xf numFmtId="164" fontId="22" fillId="0" borderId="24" xfId="2" applyFont="1" applyFill="1" applyBorder="1" applyAlignment="1">
      <alignment horizontal="right" vertical="center"/>
    </xf>
    <xf numFmtId="167" fontId="22" fillId="0" borderId="26" xfId="2" applyNumberFormat="1" applyFont="1" applyFill="1" applyBorder="1" applyAlignment="1">
      <alignment horizontal="right" vertical="center"/>
    </xf>
    <xf numFmtId="165" fontId="24" fillId="0" borderId="3" xfId="0" applyNumberFormat="1" applyFont="1" applyBorder="1"/>
    <xf numFmtId="0" fontId="24" fillId="0" borderId="16" xfId="0" applyFont="1" applyBorder="1"/>
    <xf numFmtId="165" fontId="24" fillId="0" borderId="24" xfId="1" applyFont="1" applyBorder="1"/>
    <xf numFmtId="167" fontId="22" fillId="0" borderId="11" xfId="2" applyNumberFormat="1" applyFont="1" applyFill="1" applyBorder="1" applyAlignment="1">
      <alignment horizontal="left" vertical="center"/>
    </xf>
    <xf numFmtId="167" fontId="22" fillId="0" borderId="11" xfId="2" applyNumberFormat="1" applyFont="1" applyFill="1" applyBorder="1" applyAlignment="1">
      <alignment vertical="center"/>
    </xf>
    <xf numFmtId="167" fontId="22" fillId="0" borderId="3" xfId="2" applyNumberFormat="1" applyFont="1" applyFill="1" applyBorder="1" applyAlignment="1">
      <alignment horizontal="right" vertical="center"/>
    </xf>
    <xf numFmtId="0" fontId="24" fillId="0" borderId="3" xfId="0" applyFont="1" applyBorder="1"/>
    <xf numFmtId="165" fontId="21" fillId="6" borderId="34" xfId="4" applyFont="1" applyFill="1" applyBorder="1" applyAlignment="1">
      <alignment horizontal="center"/>
    </xf>
    <xf numFmtId="0" fontId="22" fillId="0" borderId="34" xfId="0" applyFont="1" applyBorder="1" applyAlignment="1">
      <alignment horizontal="left"/>
    </xf>
    <xf numFmtId="165" fontId="22" fillId="0" borderId="34" xfId="4" applyFont="1" applyBorder="1" applyAlignment="1">
      <alignment horizontal="center"/>
    </xf>
    <xf numFmtId="165" fontId="22" fillId="0" borderId="34" xfId="4" applyFont="1" applyBorder="1"/>
    <xf numFmtId="0" fontId="22" fillId="0" borderId="4" xfId="0" applyFont="1" applyBorder="1" applyAlignment="1">
      <alignment horizontal="left"/>
    </xf>
    <xf numFmtId="0" fontId="22" fillId="0" borderId="5" xfId="0" applyFont="1" applyBorder="1"/>
    <xf numFmtId="0" fontId="24" fillId="0" borderId="0" xfId="0" applyFont="1" applyAlignment="1">
      <alignment horizontal="left"/>
    </xf>
    <xf numFmtId="0" fontId="37" fillId="6" borderId="18" xfId="0" applyFont="1" applyFill="1" applyBorder="1" applyAlignment="1">
      <alignment horizontal="center" vertical="center"/>
    </xf>
    <xf numFmtId="0" fontId="37" fillId="6" borderId="9" xfId="0" applyFont="1" applyFill="1" applyBorder="1" applyAlignment="1">
      <alignment horizontal="center" vertical="center"/>
    </xf>
    <xf numFmtId="0" fontId="37" fillId="6" borderId="10" xfId="0" applyFont="1" applyFill="1" applyBorder="1" applyAlignment="1">
      <alignment horizontal="center" vertical="center"/>
    </xf>
    <xf numFmtId="0" fontId="37" fillId="6" borderId="11" xfId="0" applyFont="1" applyFill="1" applyBorder="1" applyAlignment="1">
      <alignment horizontal="center" vertical="center"/>
    </xf>
    <xf numFmtId="0" fontId="37" fillId="6" borderId="17" xfId="0" applyFont="1" applyFill="1" applyBorder="1" applyAlignment="1">
      <alignment horizontal="center" vertical="center"/>
    </xf>
    <xf numFmtId="0" fontId="37" fillId="6" borderId="16" xfId="0" applyFont="1" applyFill="1" applyBorder="1" applyAlignment="1">
      <alignment horizontal="center" vertical="center"/>
    </xf>
    <xf numFmtId="0" fontId="21" fillId="0" borderId="17" xfId="3" applyFont="1" applyBorder="1" applyAlignment="1">
      <alignment horizontal="center" vertical="center"/>
    </xf>
    <xf numFmtId="0" fontId="22" fillId="0" borderId="3" xfId="3" applyFont="1" applyBorder="1" applyAlignment="1">
      <alignment horizontal="center"/>
    </xf>
    <xf numFmtId="0" fontId="21" fillId="0" borderId="3" xfId="3" applyFont="1" applyBorder="1" applyAlignment="1">
      <alignment vertical="center"/>
    </xf>
    <xf numFmtId="0" fontId="22" fillId="0" borderId="3" xfId="3" applyFont="1" applyBorder="1"/>
    <xf numFmtId="0" fontId="21" fillId="0" borderId="3" xfId="3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/>
    </xf>
    <xf numFmtId="0" fontId="21" fillId="0" borderId="2" xfId="3" applyFont="1" applyBorder="1" applyAlignment="1">
      <alignment horizontal="left" vertical="center"/>
    </xf>
    <xf numFmtId="0" fontId="22" fillId="0" borderId="2" xfId="3" applyFont="1" applyBorder="1" applyAlignment="1">
      <alignment vertical="center"/>
    </xf>
    <xf numFmtId="0" fontId="21" fillId="0" borderId="18" xfId="3" applyFont="1" applyBorder="1" applyAlignment="1">
      <alignment horizontal="center"/>
    </xf>
    <xf numFmtId="0" fontId="22" fillId="0" borderId="34" xfId="3" applyFont="1" applyBorder="1" applyAlignment="1">
      <alignment horizontal="center" vertical="center"/>
    </xf>
    <xf numFmtId="168" fontId="22" fillId="0" borderId="34" xfId="4" applyNumberFormat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left" vertical="center" indent="1"/>
    </xf>
    <xf numFmtId="4" fontId="22" fillId="0" borderId="4" xfId="4" applyNumberFormat="1" applyFont="1" applyFill="1" applyBorder="1" applyAlignment="1">
      <alignment vertical="center"/>
    </xf>
    <xf numFmtId="0" fontId="21" fillId="0" borderId="10" xfId="3" applyFont="1" applyBorder="1" applyAlignment="1">
      <alignment horizontal="center"/>
    </xf>
    <xf numFmtId="170" fontId="22" fillId="0" borderId="34" xfId="2" applyNumberFormat="1" applyFont="1" applyFill="1" applyBorder="1" applyAlignment="1">
      <alignment horizontal="center" vertical="center"/>
    </xf>
    <xf numFmtId="0" fontId="22" fillId="0" borderId="23" xfId="3" applyFont="1" applyBorder="1" applyAlignment="1">
      <alignment horizontal="center" vertical="center"/>
    </xf>
    <xf numFmtId="0" fontId="22" fillId="0" borderId="27" xfId="3" applyFont="1" applyBorder="1" applyAlignment="1">
      <alignment horizontal="left" vertical="center" indent="1"/>
    </xf>
    <xf numFmtId="0" fontId="22" fillId="0" borderId="27" xfId="3" applyFont="1" applyBorder="1" applyAlignment="1">
      <alignment vertical="center"/>
    </xf>
    <xf numFmtId="167" fontId="22" fillId="0" borderId="33" xfId="2" applyNumberFormat="1" applyFont="1" applyFill="1" applyBorder="1" applyAlignment="1">
      <alignment vertical="center"/>
    </xf>
    <xf numFmtId="0" fontId="22" fillId="0" borderId="2" xfId="3" applyFont="1" applyBorder="1" applyAlignment="1">
      <alignment horizontal="left" vertical="center" indent="1"/>
    </xf>
    <xf numFmtId="167" fontId="22" fillId="0" borderId="34" xfId="2" applyNumberFormat="1" applyFont="1" applyFill="1" applyBorder="1" applyAlignment="1">
      <alignment vertical="center"/>
    </xf>
    <xf numFmtId="170" fontId="22" fillId="0" borderId="10" xfId="2" applyNumberFormat="1" applyFont="1" applyFill="1" applyBorder="1" applyAlignment="1">
      <alignment horizontal="center" vertical="center"/>
    </xf>
    <xf numFmtId="0" fontId="22" fillId="0" borderId="30" xfId="3" applyFont="1" applyBorder="1" applyAlignment="1">
      <alignment horizontal="center" vertical="center"/>
    </xf>
    <xf numFmtId="0" fontId="22" fillId="0" borderId="26" xfId="3" applyFont="1" applyBorder="1" applyAlignment="1">
      <alignment horizontal="left" vertical="center" indent="1"/>
    </xf>
    <xf numFmtId="0" fontId="22" fillId="0" borderId="3" xfId="3" applyFont="1" applyBorder="1" applyAlignment="1">
      <alignment vertical="center"/>
    </xf>
    <xf numFmtId="167" fontId="22" fillId="0" borderId="26" xfId="2" applyNumberFormat="1" applyFont="1" applyFill="1" applyBorder="1" applyAlignment="1">
      <alignment vertical="center"/>
    </xf>
    <xf numFmtId="0" fontId="22" fillId="0" borderId="0" xfId="3" applyFont="1" applyAlignment="1">
      <alignment horizontal="left" vertical="center" indent="1"/>
    </xf>
    <xf numFmtId="0" fontId="22" fillId="0" borderId="0" xfId="3" applyFont="1" applyAlignment="1">
      <alignment vertical="center"/>
    </xf>
    <xf numFmtId="0" fontId="22" fillId="0" borderId="34" xfId="3" applyFont="1" applyBorder="1"/>
    <xf numFmtId="0" fontId="21" fillId="0" borderId="2" xfId="3" applyFont="1" applyBorder="1" applyAlignment="1">
      <alignment vertical="center"/>
    </xf>
    <xf numFmtId="0" fontId="21" fillId="0" borderId="5" xfId="3" applyFont="1" applyBorder="1" applyAlignment="1">
      <alignment vertical="center"/>
    </xf>
    <xf numFmtId="164" fontId="21" fillId="0" borderId="2" xfId="2" applyFont="1" applyFill="1" applyBorder="1" applyAlignment="1">
      <alignment vertical="center"/>
    </xf>
    <xf numFmtId="170" fontId="22" fillId="0" borderId="34" xfId="2" applyNumberFormat="1" applyFont="1" applyFill="1" applyBorder="1"/>
    <xf numFmtId="0" fontId="22" fillId="0" borderId="4" xfId="3" applyFont="1" applyBorder="1" applyAlignment="1">
      <alignment horizontal="left" vertical="center" indent="1"/>
    </xf>
    <xf numFmtId="164" fontId="22" fillId="0" borderId="5" xfId="2" applyFont="1" applyFill="1" applyBorder="1" applyAlignment="1">
      <alignment vertical="center"/>
    </xf>
    <xf numFmtId="164" fontId="22" fillId="0" borderId="2" xfId="2" applyFont="1" applyFill="1" applyBorder="1" applyAlignment="1">
      <alignment vertical="center"/>
    </xf>
    <xf numFmtId="0" fontId="22" fillId="0" borderId="10" xfId="3" applyFont="1" applyBorder="1"/>
    <xf numFmtId="0" fontId="21" fillId="0" borderId="10" xfId="3" applyFont="1" applyBorder="1" applyAlignment="1">
      <alignment horizontal="center" vertical="center"/>
    </xf>
    <xf numFmtId="0" fontId="21" fillId="0" borderId="0" xfId="3" applyFont="1" applyAlignment="1">
      <alignment horizontal="left" vertical="center" indent="1"/>
    </xf>
    <xf numFmtId="0" fontId="22" fillId="0" borderId="0" xfId="3" applyFont="1"/>
    <xf numFmtId="0" fontId="22" fillId="0" borderId="16" xfId="3" applyFont="1" applyBorder="1"/>
    <xf numFmtId="164" fontId="22" fillId="0" borderId="0" xfId="2" applyFont="1" applyFill="1" applyBorder="1"/>
    <xf numFmtId="0" fontId="22" fillId="0" borderId="2" xfId="3" applyFont="1" applyBorder="1"/>
    <xf numFmtId="0" fontId="22" fillId="0" borderId="5" xfId="3" applyFont="1" applyBorder="1"/>
    <xf numFmtId="164" fontId="22" fillId="0" borderId="2" xfId="2" applyFont="1" applyFill="1" applyBorder="1"/>
    <xf numFmtId="9" fontId="22" fillId="0" borderId="5" xfId="3" applyNumberFormat="1" applyFont="1" applyBorder="1" applyAlignment="1">
      <alignment vertical="center"/>
    </xf>
    <xf numFmtId="167" fontId="22" fillId="0" borderId="4" xfId="2" applyNumberFormat="1" applyFont="1" applyFill="1" applyBorder="1" applyAlignment="1">
      <alignment vertical="center"/>
    </xf>
    <xf numFmtId="0" fontId="21" fillId="0" borderId="9" xfId="3" applyFont="1" applyBorder="1" applyAlignment="1">
      <alignment horizontal="center"/>
    </xf>
    <xf numFmtId="0" fontId="21" fillId="0" borderId="11" xfId="3" applyFont="1" applyBorder="1" applyAlignment="1">
      <alignment horizontal="center"/>
    </xf>
    <xf numFmtId="167" fontId="22" fillId="0" borderId="34" xfId="2" applyNumberFormat="1" applyFont="1" applyFill="1" applyBorder="1" applyAlignment="1">
      <alignment horizontal="center" vertical="center"/>
    </xf>
    <xf numFmtId="164" fontId="22" fillId="0" borderId="4" xfId="2" applyFont="1" applyFill="1" applyBorder="1" applyAlignment="1">
      <alignment vertical="center"/>
    </xf>
    <xf numFmtId="0" fontId="22" fillId="0" borderId="10" xfId="3" applyFont="1" applyBorder="1" applyAlignment="1">
      <alignment horizontal="center" vertical="center"/>
    </xf>
    <xf numFmtId="164" fontId="22" fillId="0" borderId="26" xfId="2" applyFont="1" applyFill="1" applyBorder="1" applyAlignment="1">
      <alignment vertical="center"/>
    </xf>
    <xf numFmtId="164" fontId="21" fillId="0" borderId="4" xfId="2" applyFont="1" applyFill="1" applyBorder="1" applyAlignment="1">
      <alignment vertical="center"/>
    </xf>
    <xf numFmtId="0" fontId="22" fillId="0" borderId="11" xfId="3" applyFont="1" applyBorder="1"/>
    <xf numFmtId="0" fontId="21" fillId="0" borderId="0" xfId="3" applyFont="1" applyAlignment="1">
      <alignment horizontal="left" vertical="center"/>
    </xf>
    <xf numFmtId="164" fontId="22" fillId="0" borderId="11" xfId="2" applyFont="1" applyFill="1" applyBorder="1" applyAlignment="1">
      <alignment vertical="center"/>
    </xf>
    <xf numFmtId="164" fontId="22" fillId="0" borderId="16" xfId="2" applyFont="1" applyFill="1" applyBorder="1"/>
    <xf numFmtId="0" fontId="21" fillId="0" borderId="9" xfId="3" applyFont="1" applyBorder="1"/>
    <xf numFmtId="168" fontId="22" fillId="0" borderId="16" xfId="4" applyNumberFormat="1" applyFont="1" applyFill="1" applyBorder="1" applyAlignment="1">
      <alignment horizontal="center" vertical="center"/>
    </xf>
    <xf numFmtId="0" fontId="21" fillId="0" borderId="24" xfId="3" applyFont="1" applyBorder="1" applyAlignment="1">
      <alignment horizontal="left" vertical="center" indent="1"/>
    </xf>
    <xf numFmtId="0" fontId="22" fillId="0" borderId="16" xfId="3" applyFont="1" applyBorder="1" applyAlignment="1">
      <alignment vertical="center"/>
    </xf>
    <xf numFmtId="164" fontId="22" fillId="0" borderId="3" xfId="2" applyFont="1" applyFill="1" applyBorder="1" applyAlignment="1">
      <alignment vertical="center"/>
    </xf>
    <xf numFmtId="0" fontId="21" fillId="0" borderId="11" xfId="3" applyFont="1" applyBorder="1"/>
    <xf numFmtId="167" fontId="22" fillId="0" borderId="5" xfId="2" applyNumberFormat="1" applyFont="1" applyFill="1" applyBorder="1" applyAlignment="1">
      <alignment horizontal="center" vertical="center"/>
    </xf>
    <xf numFmtId="0" fontId="22" fillId="0" borderId="2" xfId="3" applyFont="1" applyBorder="1" applyAlignment="1">
      <alignment horizontal="center" vertical="center"/>
    </xf>
    <xf numFmtId="0" fontId="22" fillId="0" borderId="5" xfId="3" applyFont="1" applyBorder="1" applyAlignment="1">
      <alignment vertical="center"/>
    </xf>
    <xf numFmtId="0" fontId="22" fillId="0" borderId="17" xfId="3" applyFont="1" applyBorder="1" applyAlignment="1">
      <alignment horizontal="center" vertical="center"/>
    </xf>
    <xf numFmtId="170" fontId="22" fillId="0" borderId="16" xfId="2" applyNumberFormat="1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/>
    </xf>
    <xf numFmtId="0" fontId="22" fillId="0" borderId="34" xfId="3" applyFont="1" applyBorder="1" applyAlignment="1">
      <alignment horizontal="center"/>
    </xf>
    <xf numFmtId="0" fontId="22" fillId="0" borderId="10" xfId="3" applyFont="1" applyBorder="1" applyAlignment="1">
      <alignment horizontal="center"/>
    </xf>
    <xf numFmtId="0" fontId="21" fillId="0" borderId="26" xfId="3" applyFont="1" applyBorder="1" applyAlignment="1">
      <alignment vertical="center"/>
    </xf>
    <xf numFmtId="0" fontId="22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11" xfId="3" applyFont="1" applyBorder="1" applyAlignment="1">
      <alignment vertical="center"/>
    </xf>
    <xf numFmtId="164" fontId="22" fillId="0" borderId="0" xfId="2" applyFont="1" applyFill="1" applyBorder="1" applyAlignment="1">
      <alignment vertical="center"/>
    </xf>
    <xf numFmtId="0" fontId="22" fillId="0" borderId="4" xfId="3" applyFont="1" applyBorder="1" applyAlignment="1">
      <alignment horizontal="center" vertical="center"/>
    </xf>
    <xf numFmtId="164" fontId="22" fillId="0" borderId="34" xfId="2" applyFont="1" applyFill="1" applyBorder="1" applyAlignment="1">
      <alignment vertical="center"/>
    </xf>
    <xf numFmtId="167" fontId="22" fillId="0" borderId="10" xfId="2" applyNumberFormat="1" applyFont="1" applyFill="1" applyBorder="1" applyAlignment="1">
      <alignment horizontal="center" vertical="center"/>
    </xf>
    <xf numFmtId="0" fontId="22" fillId="0" borderId="24" xfId="3" applyFont="1" applyBorder="1" applyAlignment="1">
      <alignment horizontal="left" vertical="center" indent="1"/>
    </xf>
    <xf numFmtId="164" fontId="22" fillId="0" borderId="17" xfId="2" applyFont="1" applyFill="1" applyBorder="1" applyAlignment="1">
      <alignment vertical="center"/>
    </xf>
    <xf numFmtId="168" fontId="22" fillId="0" borderId="34" xfId="4" applyNumberFormat="1" applyFont="1" applyFill="1" applyBorder="1" applyAlignment="1">
      <alignment vertical="center"/>
    </xf>
    <xf numFmtId="0" fontId="21" fillId="0" borderId="2" xfId="3" applyFont="1" applyBorder="1" applyAlignment="1">
      <alignment horizontal="center" vertical="center"/>
    </xf>
    <xf numFmtId="0" fontId="21" fillId="0" borderId="4" xfId="3" applyFont="1" applyBorder="1" applyAlignment="1">
      <alignment horizontal="left" vertical="center" indent="1"/>
    </xf>
    <xf numFmtId="164" fontId="22" fillId="0" borderId="5" xfId="2" applyFont="1" applyFill="1" applyBorder="1"/>
    <xf numFmtId="0" fontId="22" fillId="0" borderId="27" xfId="3" applyFont="1" applyBorder="1" applyAlignment="1">
      <alignment horizontal="center" vertical="center"/>
    </xf>
    <xf numFmtId="167" fontId="22" fillId="0" borderId="23" xfId="2" applyNumberFormat="1" applyFont="1" applyFill="1" applyBorder="1" applyAlignment="1">
      <alignment horizontal="center" vertical="center"/>
    </xf>
    <xf numFmtId="164" fontId="22" fillId="0" borderId="23" xfId="2" applyFont="1" applyFill="1" applyBorder="1" applyAlignment="1">
      <alignment vertical="center"/>
    </xf>
    <xf numFmtId="171" fontId="22" fillId="0" borderId="17" xfId="2" applyNumberFormat="1" applyFont="1" applyFill="1" applyBorder="1" applyAlignment="1">
      <alignment vertical="center"/>
    </xf>
    <xf numFmtId="0" fontId="22" fillId="0" borderId="3" xfId="3" applyFont="1" applyBorder="1" applyAlignment="1">
      <alignment horizontal="left" vertical="center" indent="1"/>
    </xf>
    <xf numFmtId="164" fontId="22" fillId="0" borderId="9" xfId="2" applyFont="1" applyFill="1" applyBorder="1"/>
    <xf numFmtId="0" fontId="22" fillId="0" borderId="0" xfId="3" applyFont="1" applyAlignment="1">
      <alignment horizontal="center"/>
    </xf>
    <xf numFmtId="168" fontId="21" fillId="0" borderId="34" xfId="4" applyNumberFormat="1" applyFont="1" applyFill="1" applyBorder="1" applyAlignment="1">
      <alignment vertical="center"/>
    </xf>
    <xf numFmtId="4" fontId="21" fillId="0" borderId="2" xfId="4" applyNumberFormat="1" applyFont="1" applyFill="1" applyBorder="1" applyAlignment="1">
      <alignment vertical="center"/>
    </xf>
    <xf numFmtId="0" fontId="22" fillId="0" borderId="11" xfId="3" applyFont="1" applyBorder="1" applyAlignment="1">
      <alignment horizontal="center"/>
    </xf>
    <xf numFmtId="171" fontId="22" fillId="0" borderId="34" xfId="2" applyNumberFormat="1" applyFont="1" applyFill="1" applyBorder="1" applyAlignment="1">
      <alignment vertical="center"/>
    </xf>
    <xf numFmtId="170" fontId="22" fillId="0" borderId="34" xfId="2" applyNumberFormat="1" applyFont="1" applyFill="1" applyBorder="1" applyAlignment="1">
      <alignment vertical="center"/>
    </xf>
    <xf numFmtId="170" fontId="22" fillId="0" borderId="10" xfId="2" applyNumberFormat="1" applyFont="1" applyFill="1" applyBorder="1" applyAlignment="1">
      <alignment vertical="center"/>
    </xf>
    <xf numFmtId="167" fontId="22" fillId="0" borderId="17" xfId="2" applyNumberFormat="1" applyFont="1" applyFill="1" applyBorder="1" applyAlignment="1">
      <alignment vertical="center"/>
    </xf>
    <xf numFmtId="164" fontId="22" fillId="0" borderId="4" xfId="2" applyFont="1" applyFill="1" applyBorder="1"/>
    <xf numFmtId="170" fontId="22" fillId="0" borderId="17" xfId="2" applyNumberFormat="1" applyFont="1" applyFill="1" applyBorder="1" applyAlignment="1">
      <alignment vertical="center"/>
    </xf>
    <xf numFmtId="0" fontId="22" fillId="0" borderId="17" xfId="3" applyFont="1" applyBorder="1" applyAlignment="1">
      <alignment vertical="center"/>
    </xf>
    <xf numFmtId="0" fontId="22" fillId="0" borderId="9" xfId="3" applyFont="1" applyBorder="1"/>
    <xf numFmtId="0" fontId="22" fillId="0" borderId="8" xfId="3" applyFont="1" applyBorder="1" applyAlignment="1">
      <alignment vertical="center"/>
    </xf>
    <xf numFmtId="0" fontId="22" fillId="0" borderId="9" xfId="3" applyFont="1" applyBorder="1" applyAlignment="1">
      <alignment vertical="center"/>
    </xf>
    <xf numFmtId="168" fontId="22" fillId="0" borderId="2" xfId="4" applyNumberFormat="1" applyFont="1" applyFill="1" applyBorder="1" applyAlignment="1">
      <alignment vertical="center"/>
    </xf>
    <xf numFmtId="4" fontId="22" fillId="0" borderId="34" xfId="4" applyNumberFormat="1" applyFont="1" applyFill="1" applyBorder="1" applyAlignment="1">
      <alignment vertical="center"/>
    </xf>
    <xf numFmtId="167" fontId="22" fillId="0" borderId="2" xfId="2" applyNumberFormat="1" applyFont="1" applyFill="1" applyBorder="1" applyAlignment="1">
      <alignment vertical="center"/>
    </xf>
    <xf numFmtId="171" fontId="22" fillId="0" borderId="2" xfId="2" applyNumberFormat="1" applyFont="1" applyFill="1" applyBorder="1" applyAlignment="1">
      <alignment vertical="center"/>
    </xf>
    <xf numFmtId="170" fontId="22" fillId="0" borderId="0" xfId="2" applyNumberFormat="1" applyFont="1" applyFill="1" applyBorder="1" applyAlignment="1">
      <alignment vertical="center"/>
    </xf>
    <xf numFmtId="170" fontId="22" fillId="0" borderId="2" xfId="2" applyNumberFormat="1" applyFont="1" applyFill="1" applyBorder="1" applyAlignment="1">
      <alignment vertical="center"/>
    </xf>
    <xf numFmtId="170" fontId="22" fillId="0" borderId="3" xfId="2" applyNumberFormat="1" applyFont="1" applyFill="1" applyBorder="1" applyAlignment="1">
      <alignment vertical="center"/>
    </xf>
    <xf numFmtId="165" fontId="22" fillId="0" borderId="5" xfId="4" applyFont="1" applyFill="1" applyBorder="1" applyAlignment="1">
      <alignment vertical="center"/>
    </xf>
    <xf numFmtId="0" fontId="22" fillId="0" borderId="2" xfId="3" applyFont="1" applyBorder="1" applyAlignment="1">
      <alignment horizontal="center"/>
    </xf>
    <xf numFmtId="165" fontId="22" fillId="0" borderId="2" xfId="4" applyFont="1" applyFill="1" applyBorder="1" applyAlignment="1">
      <alignment vertical="center"/>
    </xf>
    <xf numFmtId="171" fontId="22" fillId="0" borderId="10" xfId="2" applyNumberFormat="1" applyFont="1" applyFill="1" applyBorder="1" applyAlignment="1">
      <alignment vertical="center"/>
    </xf>
    <xf numFmtId="165" fontId="22" fillId="0" borderId="18" xfId="4" applyFont="1" applyFill="1" applyBorder="1" applyAlignment="1">
      <alignment vertical="center"/>
    </xf>
    <xf numFmtId="0" fontId="22" fillId="0" borderId="1" xfId="3" applyFont="1" applyBorder="1" applyAlignment="1">
      <alignment horizontal="center" vertical="center"/>
    </xf>
    <xf numFmtId="167" fontId="22" fillId="0" borderId="15" xfId="2" applyNumberFormat="1" applyFont="1" applyFill="1" applyBorder="1" applyAlignment="1">
      <alignment vertical="center"/>
    </xf>
    <xf numFmtId="0" fontId="22" fillId="0" borderId="22" xfId="3" applyFont="1" applyBorder="1" applyAlignment="1">
      <alignment horizontal="left" vertical="center" indent="1"/>
    </xf>
    <xf numFmtId="0" fontId="22" fillId="0" borderId="1" xfId="3" applyFont="1" applyBorder="1" applyAlignment="1">
      <alignment vertical="center"/>
    </xf>
    <xf numFmtId="0" fontId="22" fillId="0" borderId="14" xfId="3" applyFont="1" applyBorder="1" applyAlignment="1">
      <alignment vertical="center"/>
    </xf>
    <xf numFmtId="165" fontId="22" fillId="0" borderId="15" xfId="4" applyFont="1" applyFill="1" applyBorder="1" applyAlignment="1">
      <alignment vertical="center"/>
    </xf>
    <xf numFmtId="170" fontId="22" fillId="0" borderId="15" xfId="2" applyNumberFormat="1" applyFont="1" applyFill="1" applyBorder="1" applyAlignment="1">
      <alignment vertical="center"/>
    </xf>
    <xf numFmtId="165" fontId="22" fillId="0" borderId="17" xfId="4" applyFont="1" applyFill="1" applyBorder="1" applyAlignment="1">
      <alignment vertical="center"/>
    </xf>
    <xf numFmtId="0" fontId="22" fillId="0" borderId="19" xfId="3" applyFont="1" applyBorder="1" applyAlignment="1">
      <alignment horizontal="center"/>
    </xf>
    <xf numFmtId="170" fontId="22" fillId="0" borderId="21" xfId="2" applyNumberFormat="1" applyFont="1" applyFill="1" applyBorder="1" applyAlignment="1">
      <alignment vertical="center"/>
    </xf>
    <xf numFmtId="0" fontId="22" fillId="0" borderId="19" xfId="3" applyFont="1" applyBorder="1" applyAlignment="1">
      <alignment horizontal="center" vertical="center"/>
    </xf>
    <xf numFmtId="0" fontId="22" fillId="0" borderId="35" xfId="3" applyFont="1" applyBorder="1" applyAlignment="1">
      <alignment horizontal="left" vertical="center" indent="1"/>
    </xf>
    <xf numFmtId="0" fontId="22" fillId="0" borderId="19" xfId="3" applyFont="1" applyBorder="1" applyAlignment="1">
      <alignment vertical="center"/>
    </xf>
    <xf numFmtId="0" fontId="22" fillId="0" borderId="20" xfId="3" applyFont="1" applyBorder="1" applyAlignment="1">
      <alignment vertical="center"/>
    </xf>
    <xf numFmtId="165" fontId="22" fillId="0" borderId="21" xfId="4" applyFont="1" applyFill="1" applyBorder="1" applyAlignment="1">
      <alignment vertical="center"/>
    </xf>
    <xf numFmtId="167" fontId="22" fillId="0" borderId="10" xfId="2" applyNumberFormat="1" applyFont="1" applyFill="1" applyBorder="1" applyAlignment="1">
      <alignment vertical="center"/>
    </xf>
    <xf numFmtId="165" fontId="22" fillId="0" borderId="16" xfId="4" applyFont="1" applyFill="1" applyBorder="1" applyAlignment="1">
      <alignment vertical="center"/>
    </xf>
    <xf numFmtId="165" fontId="22" fillId="0" borderId="34" xfId="4" applyFont="1" applyFill="1" applyBorder="1" applyAlignment="1">
      <alignment vertical="center"/>
    </xf>
    <xf numFmtId="0" fontId="22" fillId="0" borderId="10" xfId="3" applyFont="1" applyBorder="1" applyAlignment="1">
      <alignment vertical="center"/>
    </xf>
    <xf numFmtId="0" fontId="22" fillId="0" borderId="4" xfId="3" applyFont="1" applyBorder="1" applyAlignment="1">
      <alignment vertical="center"/>
    </xf>
    <xf numFmtId="169" fontId="22" fillId="0" borderId="34" xfId="2" applyNumberFormat="1" applyFont="1" applyFill="1" applyBorder="1" applyAlignment="1">
      <alignment vertical="center"/>
    </xf>
    <xf numFmtId="0" fontId="22" fillId="0" borderId="26" xfId="3" applyFont="1" applyBorder="1"/>
    <xf numFmtId="167" fontId="22" fillId="0" borderId="17" xfId="5" applyNumberFormat="1" applyFont="1" applyFill="1" applyBorder="1" applyAlignment="1">
      <alignment vertical="center"/>
    </xf>
    <xf numFmtId="0" fontId="22" fillId="0" borderId="24" xfId="3" applyFont="1" applyBorder="1" applyAlignment="1">
      <alignment horizontal="center" vertical="center"/>
    </xf>
    <xf numFmtId="0" fontId="22" fillId="0" borderId="4" xfId="3" applyFont="1" applyBorder="1"/>
    <xf numFmtId="0" fontId="22" fillId="0" borderId="24" xfId="3" applyFont="1" applyBorder="1"/>
    <xf numFmtId="167" fontId="22" fillId="0" borderId="34" xfId="5" applyNumberFormat="1" applyFont="1" applyFill="1" applyBorder="1" applyAlignment="1">
      <alignment horizontal="center" vertical="center"/>
    </xf>
    <xf numFmtId="167" fontId="22" fillId="0" borderId="10" xfId="5" applyNumberFormat="1" applyFont="1" applyFill="1" applyBorder="1" applyAlignment="1">
      <alignment horizontal="center" vertical="center"/>
    </xf>
    <xf numFmtId="9" fontId="22" fillId="0" borderId="0" xfId="3" applyNumberFormat="1" applyFont="1" applyAlignment="1">
      <alignment vertical="center"/>
    </xf>
    <xf numFmtId="164" fontId="22" fillId="0" borderId="10" xfId="2" applyFont="1" applyFill="1" applyBorder="1" applyAlignment="1">
      <alignment vertical="center"/>
    </xf>
    <xf numFmtId="168" fontId="22" fillId="0" borderId="17" xfId="4" applyNumberFormat="1" applyFont="1" applyFill="1" applyBorder="1" applyAlignment="1">
      <alignment vertical="center"/>
    </xf>
    <xf numFmtId="0" fontId="22" fillId="0" borderId="24" xfId="3" applyFont="1" applyBorder="1" applyAlignment="1">
      <alignment vertical="center"/>
    </xf>
    <xf numFmtId="0" fontId="22" fillId="0" borderId="34" xfId="3" applyFont="1" applyBorder="1" applyAlignment="1">
      <alignment vertical="center"/>
    </xf>
    <xf numFmtId="0" fontId="21" fillId="0" borderId="4" xfId="3" applyFont="1" applyBorder="1" applyAlignment="1">
      <alignment vertical="center"/>
    </xf>
    <xf numFmtId="167" fontId="22" fillId="0" borderId="30" xfId="2" applyNumberFormat="1" applyFont="1" applyFill="1" applyBorder="1" applyAlignment="1">
      <alignment vertical="center"/>
    </xf>
    <xf numFmtId="9" fontId="22" fillId="0" borderId="11" xfId="3" applyNumberFormat="1" applyFont="1" applyBorder="1" applyAlignment="1">
      <alignment vertical="center"/>
    </xf>
    <xf numFmtId="0" fontId="22" fillId="0" borderId="17" xfId="3" applyFont="1" applyBorder="1"/>
    <xf numFmtId="169" fontId="22" fillId="0" borderId="30" xfId="2" applyNumberFormat="1" applyFont="1" applyFill="1" applyBorder="1" applyAlignment="1">
      <alignment vertical="center"/>
    </xf>
    <xf numFmtId="170" fontId="22" fillId="0" borderId="30" xfId="2" applyNumberFormat="1" applyFont="1" applyFill="1" applyBorder="1" applyAlignment="1">
      <alignment vertical="center"/>
    </xf>
    <xf numFmtId="172" fontId="22" fillId="0" borderId="34" xfId="4" applyNumberFormat="1" applyFont="1" applyFill="1" applyBorder="1" applyAlignment="1">
      <alignment vertical="center"/>
    </xf>
    <xf numFmtId="171" fontId="22" fillId="0" borderId="30" xfId="2" applyNumberFormat="1" applyFont="1" applyFill="1" applyBorder="1" applyAlignment="1">
      <alignment vertical="center"/>
    </xf>
    <xf numFmtId="172" fontId="22" fillId="0" borderId="34" xfId="3" applyNumberFormat="1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  <xf numFmtId="172" fontId="22" fillId="0" borderId="34" xfId="2" applyNumberFormat="1" applyFont="1" applyFill="1" applyBorder="1" applyAlignment="1">
      <alignment vertical="center"/>
    </xf>
    <xf numFmtId="1" fontId="22" fillId="0" borderId="34" xfId="2" applyNumberFormat="1" applyFont="1" applyFill="1" applyBorder="1" applyAlignment="1">
      <alignment vertical="center"/>
    </xf>
    <xf numFmtId="167" fontId="23" fillId="0" borderId="34" xfId="2" applyNumberFormat="1" applyFont="1" applyFill="1" applyBorder="1" applyAlignment="1">
      <alignment vertical="center"/>
    </xf>
    <xf numFmtId="0" fontId="23" fillId="0" borderId="4" xfId="0" applyFont="1" applyBorder="1" applyAlignment="1">
      <alignment vertical="center"/>
    </xf>
    <xf numFmtId="172" fontId="22" fillId="0" borderId="17" xfId="4" applyNumberFormat="1" applyFont="1" applyFill="1" applyBorder="1" applyAlignment="1">
      <alignment vertical="center"/>
    </xf>
    <xf numFmtId="0" fontId="22" fillId="0" borderId="26" xfId="3" applyFont="1" applyBorder="1" applyAlignment="1">
      <alignment horizontal="center" vertical="center"/>
    </xf>
    <xf numFmtId="0" fontId="22" fillId="0" borderId="26" xfId="3" applyFont="1" applyBorder="1" applyAlignment="1">
      <alignment vertical="center"/>
    </xf>
    <xf numFmtId="0" fontId="22" fillId="0" borderId="31" xfId="3" applyFont="1" applyBorder="1"/>
    <xf numFmtId="0" fontId="22" fillId="0" borderId="28" xfId="3" applyFont="1" applyBorder="1" applyAlignment="1">
      <alignment horizontal="center" vertical="center"/>
    </xf>
    <xf numFmtId="0" fontId="22" fillId="0" borderId="31" xfId="3" applyFont="1" applyBorder="1" applyAlignment="1">
      <alignment vertical="center"/>
    </xf>
    <xf numFmtId="0" fontId="22" fillId="0" borderId="28" xfId="3" applyFont="1" applyBorder="1" applyAlignment="1">
      <alignment vertical="center"/>
    </xf>
    <xf numFmtId="0" fontId="22" fillId="0" borderId="29" xfId="3" applyFont="1" applyBorder="1" applyAlignment="1">
      <alignment vertical="center"/>
    </xf>
    <xf numFmtId="164" fontId="22" fillId="0" borderId="30" xfId="2" applyFont="1" applyFill="1" applyBorder="1" applyAlignment="1">
      <alignment vertical="center"/>
    </xf>
    <xf numFmtId="0" fontId="22" fillId="0" borderId="15" xfId="3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2" fillId="0" borderId="11" xfId="3" applyFont="1" applyBorder="1" applyAlignment="1">
      <alignment horizontal="center" vertical="center"/>
    </xf>
    <xf numFmtId="170" fontId="22" fillId="0" borderId="34" xfId="4" applyNumberFormat="1" applyFont="1" applyFill="1" applyBorder="1" applyAlignment="1">
      <alignment vertical="center"/>
    </xf>
    <xf numFmtId="170" fontId="22" fillId="0" borderId="17" xfId="4" applyNumberFormat="1" applyFont="1" applyFill="1" applyBorder="1" applyAlignment="1">
      <alignment vertical="center"/>
    </xf>
    <xf numFmtId="170" fontId="22" fillId="0" borderId="17" xfId="5" applyNumberFormat="1" applyFont="1" applyFill="1" applyBorder="1" applyAlignment="1">
      <alignment vertical="center"/>
    </xf>
    <xf numFmtId="170" fontId="22" fillId="0" borderId="2" xfId="3" applyNumberFormat="1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170" fontId="22" fillId="0" borderId="8" xfId="3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/>
    </xf>
    <xf numFmtId="0" fontId="21" fillId="0" borderId="8" xfId="3" applyFont="1" applyBorder="1" applyAlignment="1">
      <alignment horizontal="left" vertical="center"/>
    </xf>
    <xf numFmtId="0" fontId="21" fillId="0" borderId="26" xfId="3" applyFont="1" applyBorder="1"/>
    <xf numFmtId="170" fontId="21" fillId="0" borderId="17" xfId="4" applyNumberFormat="1" applyFont="1" applyFill="1" applyBorder="1" applyAlignment="1">
      <alignment vertical="center"/>
    </xf>
    <xf numFmtId="170" fontId="21" fillId="0" borderId="34" xfId="3" applyNumberFormat="1" applyFont="1" applyBorder="1" applyAlignment="1">
      <alignment vertical="center"/>
    </xf>
    <xf numFmtId="167" fontId="22" fillId="0" borderId="34" xfId="5" applyNumberFormat="1" applyFont="1" applyFill="1" applyBorder="1" applyAlignment="1">
      <alignment vertical="center"/>
    </xf>
    <xf numFmtId="170" fontId="22" fillId="0" borderId="0" xfId="3" applyNumberFormat="1" applyFont="1" applyAlignment="1">
      <alignment horizontal="center" vertical="center"/>
    </xf>
    <xf numFmtId="170" fontId="22" fillId="0" borderId="34" xfId="5" applyNumberFormat="1" applyFont="1" applyFill="1" applyBorder="1" applyAlignment="1">
      <alignment vertical="center"/>
    </xf>
    <xf numFmtId="169" fontId="22" fillId="0" borderId="17" xfId="5" applyNumberFormat="1" applyFont="1" applyFill="1" applyBorder="1" applyAlignment="1">
      <alignment vertical="center"/>
    </xf>
    <xf numFmtId="4" fontId="22" fillId="0" borderId="34" xfId="3" applyNumberFormat="1" applyFont="1" applyBorder="1" applyAlignment="1">
      <alignment vertical="center"/>
    </xf>
    <xf numFmtId="167" fontId="22" fillId="0" borderId="34" xfId="6" applyNumberFormat="1" applyFont="1" applyFill="1" applyBorder="1" applyAlignment="1">
      <alignment vertical="center"/>
    </xf>
    <xf numFmtId="164" fontId="22" fillId="0" borderId="34" xfId="6" applyFont="1" applyFill="1" applyBorder="1" applyAlignment="1">
      <alignment vertical="center"/>
    </xf>
    <xf numFmtId="170" fontId="22" fillId="0" borderId="34" xfId="6" applyNumberFormat="1" applyFont="1" applyFill="1" applyBorder="1" applyAlignment="1">
      <alignment vertical="center"/>
    </xf>
    <xf numFmtId="170" fontId="22" fillId="0" borderId="10" xfId="6" applyNumberFormat="1" applyFont="1" applyFill="1" applyBorder="1" applyAlignment="1">
      <alignment vertical="center"/>
    </xf>
    <xf numFmtId="164" fontId="22" fillId="0" borderId="17" xfId="6" applyFont="1" applyFill="1" applyBorder="1" applyAlignment="1">
      <alignment vertical="center"/>
    </xf>
    <xf numFmtId="167" fontId="22" fillId="0" borderId="17" xfId="6" applyNumberFormat="1" applyFont="1" applyFill="1" applyBorder="1" applyAlignment="1">
      <alignment vertical="center"/>
    </xf>
    <xf numFmtId="164" fontId="22" fillId="0" borderId="10" xfId="6" applyFont="1" applyFill="1" applyBorder="1" applyAlignment="1">
      <alignment vertical="center"/>
    </xf>
    <xf numFmtId="0" fontId="22" fillId="0" borderId="18" xfId="3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164" fontId="22" fillId="0" borderId="18" xfId="6" applyFont="1" applyFill="1" applyBorder="1" applyAlignment="1">
      <alignment vertical="center"/>
    </xf>
    <xf numFmtId="164" fontId="22" fillId="0" borderId="2" xfId="6" applyFont="1" applyFill="1" applyBorder="1" applyAlignment="1">
      <alignment vertical="center"/>
    </xf>
    <xf numFmtId="171" fontId="22" fillId="0" borderId="34" xfId="6" applyNumberFormat="1" applyFont="1" applyFill="1" applyBorder="1" applyAlignment="1">
      <alignment vertical="center"/>
    </xf>
    <xf numFmtId="164" fontId="22" fillId="0" borderId="30" xfId="6" applyFont="1" applyFill="1" applyBorder="1" applyAlignment="1">
      <alignment vertical="center"/>
    </xf>
    <xf numFmtId="168" fontId="22" fillId="0" borderId="4" xfId="7" applyNumberFormat="1" applyFont="1" applyFill="1" applyBorder="1" applyAlignment="1">
      <alignment vertical="center"/>
    </xf>
    <xf numFmtId="169" fontId="22" fillId="0" borderId="30" xfId="5" applyNumberFormat="1" applyFont="1" applyFill="1" applyBorder="1" applyAlignment="1">
      <alignment vertical="center"/>
    </xf>
    <xf numFmtId="171" fontId="22" fillId="0" borderId="4" xfId="6" applyNumberFormat="1" applyFont="1" applyFill="1" applyBorder="1" applyAlignment="1">
      <alignment vertical="center"/>
    </xf>
    <xf numFmtId="167" fontId="22" fillId="0" borderId="0" xfId="6" applyNumberFormat="1" applyFont="1" applyFill="1" applyBorder="1" applyAlignment="1">
      <alignment vertical="center"/>
    </xf>
    <xf numFmtId="170" fontId="22" fillId="0" borderId="30" xfId="5" applyNumberFormat="1" applyFont="1" applyFill="1" applyBorder="1" applyAlignment="1">
      <alignment vertical="center"/>
    </xf>
    <xf numFmtId="167" fontId="22" fillId="0" borderId="2" xfId="6" applyNumberFormat="1" applyFont="1" applyFill="1" applyBorder="1" applyAlignment="1">
      <alignment vertical="center"/>
    </xf>
    <xf numFmtId="179" fontId="22" fillId="0" borderId="30" xfId="2" applyNumberFormat="1" applyFont="1" applyFill="1" applyBorder="1" applyAlignment="1">
      <alignment vertical="center"/>
    </xf>
    <xf numFmtId="168" fontId="22" fillId="0" borderId="4" xfId="4" applyNumberFormat="1" applyFont="1" applyFill="1" applyBorder="1" applyAlignment="1">
      <alignment vertical="center"/>
    </xf>
    <xf numFmtId="170" fontId="22" fillId="0" borderId="0" xfId="6" applyNumberFormat="1" applyFont="1" applyFill="1" applyBorder="1" applyAlignment="1">
      <alignment vertical="center"/>
    </xf>
    <xf numFmtId="170" fontId="22" fillId="0" borderId="1" xfId="6" applyNumberFormat="1" applyFont="1" applyFill="1" applyBorder="1" applyAlignment="1">
      <alignment vertical="center"/>
    </xf>
    <xf numFmtId="164" fontId="22" fillId="0" borderId="15" xfId="6" applyFont="1" applyFill="1" applyBorder="1" applyAlignment="1">
      <alignment vertical="center"/>
    </xf>
    <xf numFmtId="169" fontId="22" fillId="0" borderId="4" xfId="6" applyNumberFormat="1" applyFont="1" applyFill="1" applyBorder="1" applyAlignment="1">
      <alignment vertical="center"/>
    </xf>
    <xf numFmtId="0" fontId="22" fillId="0" borderId="15" xfId="3" applyFont="1" applyBorder="1"/>
    <xf numFmtId="171" fontId="22" fillId="0" borderId="1" xfId="6" applyNumberFormat="1" applyFont="1" applyFill="1" applyBorder="1" applyAlignment="1">
      <alignment vertical="center"/>
    </xf>
    <xf numFmtId="167" fontId="22" fillId="0" borderId="1" xfId="6" applyNumberFormat="1" applyFont="1" applyFill="1" applyBorder="1" applyAlignment="1">
      <alignment vertical="center"/>
    </xf>
    <xf numFmtId="0" fontId="22" fillId="0" borderId="18" xfId="3" applyFont="1" applyBorder="1"/>
    <xf numFmtId="167" fontId="22" fillId="0" borderId="18" xfId="6" applyNumberFormat="1" applyFont="1" applyFill="1" applyBorder="1" applyAlignment="1">
      <alignment vertical="center"/>
    </xf>
    <xf numFmtId="169" fontId="22" fillId="0" borderId="34" xfId="6" applyNumberFormat="1" applyFont="1" applyFill="1" applyBorder="1" applyAlignment="1">
      <alignment vertical="center"/>
    </xf>
    <xf numFmtId="169" fontId="22" fillId="0" borderId="10" xfId="6" applyNumberFormat="1" applyFont="1" applyFill="1" applyBorder="1" applyAlignment="1">
      <alignment vertical="center"/>
    </xf>
    <xf numFmtId="165" fontId="21" fillId="0" borderId="34" xfId="4" applyFont="1" applyFill="1" applyBorder="1" applyAlignment="1">
      <alignment vertical="center"/>
    </xf>
    <xf numFmtId="0" fontId="21" fillId="0" borderId="7" xfId="3" applyFont="1" applyBorder="1" applyAlignment="1">
      <alignment horizontal="center"/>
    </xf>
    <xf numFmtId="0" fontId="21" fillId="0" borderId="24" xfId="3" applyFont="1" applyBorder="1" applyAlignment="1">
      <alignment horizontal="center"/>
    </xf>
    <xf numFmtId="165" fontId="22" fillId="0" borderId="23" xfId="4" applyFont="1" applyFill="1" applyBorder="1" applyAlignment="1">
      <alignment vertical="center"/>
    </xf>
    <xf numFmtId="165" fontId="22" fillId="0" borderId="10" xfId="4" applyFont="1" applyFill="1" applyBorder="1" applyAlignment="1">
      <alignment vertical="center"/>
    </xf>
    <xf numFmtId="0" fontId="21" fillId="0" borderId="24" xfId="3" applyFont="1" applyBorder="1"/>
    <xf numFmtId="0" fontId="21" fillId="0" borderId="17" xfId="3" applyFont="1" applyBorder="1" applyAlignment="1">
      <alignment horizontal="center"/>
    </xf>
    <xf numFmtId="0" fontId="21" fillId="0" borderId="3" xfId="3" applyFont="1" applyBorder="1" applyAlignment="1">
      <alignment horizontal="left" vertical="center" indent="1"/>
    </xf>
    <xf numFmtId="164" fontId="22" fillId="0" borderId="3" xfId="2" applyFont="1" applyFill="1" applyBorder="1"/>
    <xf numFmtId="165" fontId="21" fillId="0" borderId="17" xfId="4" applyFont="1" applyFill="1" applyBorder="1" applyAlignment="1">
      <alignment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3" xfId="3" applyFont="1" applyFill="1" applyBorder="1" applyAlignment="1">
      <alignment horizontal="center" vertical="center"/>
    </xf>
    <xf numFmtId="0" fontId="21" fillId="5" borderId="34" xfId="4" applyNumberFormat="1" applyFont="1" applyFill="1" applyBorder="1" applyAlignment="1">
      <alignment horizontal="right" vertical="center"/>
    </xf>
    <xf numFmtId="0" fontId="21" fillId="5" borderId="2" xfId="3" applyFont="1" applyFill="1" applyBorder="1" applyAlignment="1">
      <alignment horizontal="left" vertical="center"/>
    </xf>
    <xf numFmtId="0" fontId="22" fillId="5" borderId="2" xfId="3" applyFont="1" applyFill="1" applyBorder="1" applyAlignment="1">
      <alignment vertical="center"/>
    </xf>
    <xf numFmtId="4" fontId="22" fillId="5" borderId="5" xfId="4" applyNumberFormat="1" applyFont="1" applyFill="1" applyBorder="1" applyAlignment="1">
      <alignment vertical="center"/>
    </xf>
    <xf numFmtId="165" fontId="21" fillId="5" borderId="34" xfId="4" applyFont="1" applyFill="1" applyBorder="1" applyAlignment="1">
      <alignment vertical="center"/>
    </xf>
    <xf numFmtId="0" fontId="21" fillId="0" borderId="27" xfId="0" applyFont="1" applyBorder="1" applyAlignment="1">
      <alignment horizontal="left"/>
    </xf>
    <xf numFmtId="0" fontId="21" fillId="0" borderId="32" xfId="0" applyFont="1" applyBorder="1" applyAlignment="1">
      <alignment horizontal="left"/>
    </xf>
    <xf numFmtId="0" fontId="21" fillId="5" borderId="2" xfId="3" applyFont="1" applyFill="1" applyBorder="1" applyAlignment="1">
      <alignment horizontal="center" vertical="center"/>
    </xf>
    <xf numFmtId="0" fontId="21" fillId="0" borderId="10" xfId="3" applyFont="1" applyBorder="1"/>
    <xf numFmtId="0" fontId="21" fillId="0" borderId="17" xfId="3" applyFont="1" applyBorder="1"/>
    <xf numFmtId="0" fontId="21" fillId="0" borderId="16" xfId="3" applyFont="1" applyBorder="1" applyAlignment="1">
      <alignment horizontal="center"/>
    </xf>
    <xf numFmtId="0" fontId="21" fillId="5" borderId="34" xfId="4" applyNumberFormat="1" applyFont="1" applyFill="1" applyBorder="1" applyAlignment="1">
      <alignment horizontal="center" vertical="center"/>
    </xf>
    <xf numFmtId="165" fontId="21" fillId="0" borderId="10" xfId="4" applyFont="1" applyFill="1" applyBorder="1" applyAlignment="1">
      <alignment vertical="center"/>
    </xf>
    <xf numFmtId="0" fontId="21" fillId="0" borderId="18" xfId="3" applyFont="1" applyBorder="1"/>
    <xf numFmtId="0" fontId="21" fillId="0" borderId="16" xfId="3" applyFont="1" applyBorder="1"/>
    <xf numFmtId="0" fontId="22" fillId="0" borderId="17" xfId="3" applyFont="1" applyBorder="1" applyAlignment="1">
      <alignment horizontal="center"/>
    </xf>
    <xf numFmtId="0" fontId="21" fillId="5" borderId="8" xfId="3" applyFont="1" applyFill="1" applyBorder="1" applyAlignment="1">
      <alignment horizontal="left" vertical="center"/>
    </xf>
    <xf numFmtId="0" fontId="22" fillId="5" borderId="8" xfId="3" applyFont="1" applyFill="1" applyBorder="1" applyAlignment="1">
      <alignment vertical="center"/>
    </xf>
    <xf numFmtId="164" fontId="22" fillId="5" borderId="9" xfId="2" applyFont="1" applyFill="1" applyBorder="1" applyAlignment="1">
      <alignment vertical="center"/>
    </xf>
    <xf numFmtId="0" fontId="21" fillId="5" borderId="3" xfId="3" applyFont="1" applyFill="1" applyBorder="1" applyAlignment="1">
      <alignment horizontal="left" vertical="center"/>
    </xf>
    <xf numFmtId="0" fontId="22" fillId="5" borderId="3" xfId="3" applyFont="1" applyFill="1" applyBorder="1"/>
    <xf numFmtId="164" fontId="22" fillId="5" borderId="16" xfId="2" applyFont="1" applyFill="1" applyBorder="1"/>
    <xf numFmtId="165" fontId="37" fillId="5" borderId="18" xfId="0" applyNumberFormat="1" applyFont="1" applyFill="1" applyBorder="1" applyAlignment="1">
      <alignment horizontal="right" vertical="center"/>
    </xf>
    <xf numFmtId="165" fontId="37" fillId="5" borderId="17" xfId="0" applyNumberFormat="1" applyFont="1" applyFill="1" applyBorder="1" applyAlignment="1">
      <alignment horizontal="right" vertical="center"/>
    </xf>
    <xf numFmtId="165" fontId="21" fillId="0" borderId="34" xfId="4" applyFont="1" applyFill="1" applyBorder="1" applyAlignment="1">
      <alignment horizontal="right" vertical="center"/>
    </xf>
    <xf numFmtId="165" fontId="22" fillId="0" borderId="34" xfId="4" applyFont="1" applyFill="1" applyBorder="1" applyAlignment="1">
      <alignment horizontal="right" vertical="center"/>
    </xf>
    <xf numFmtId="165" fontId="22" fillId="0" borderId="17" xfId="4" applyFont="1" applyFill="1" applyBorder="1" applyAlignment="1">
      <alignment horizontal="right" vertical="center"/>
    </xf>
    <xf numFmtId="0" fontId="22" fillId="0" borderId="10" xfId="3" applyFont="1" applyBorder="1" applyAlignment="1">
      <alignment horizontal="right"/>
    </xf>
    <xf numFmtId="165" fontId="21" fillId="0" borderId="17" xfId="4" applyFont="1" applyFill="1" applyBorder="1" applyAlignment="1">
      <alignment horizontal="right" vertical="center"/>
    </xf>
    <xf numFmtId="0" fontId="21" fillId="5" borderId="4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vertical="center"/>
    </xf>
    <xf numFmtId="164" fontId="22" fillId="5" borderId="5" xfId="2" applyFont="1" applyFill="1" applyBorder="1" applyAlignment="1">
      <alignment vertical="center"/>
    </xf>
    <xf numFmtId="165" fontId="21" fillId="0" borderId="5" xfId="4" applyFont="1" applyFill="1" applyBorder="1" applyAlignment="1">
      <alignment vertical="center"/>
    </xf>
    <xf numFmtId="165" fontId="22" fillId="0" borderId="32" xfId="4" applyFont="1" applyFill="1" applyBorder="1" applyAlignment="1">
      <alignment vertical="center"/>
    </xf>
    <xf numFmtId="165" fontId="22" fillId="0" borderId="11" xfId="4" applyFont="1" applyFill="1" applyBorder="1" applyAlignment="1">
      <alignment vertical="center"/>
    </xf>
    <xf numFmtId="165" fontId="21" fillId="0" borderId="16" xfId="4" applyFont="1" applyFill="1" applyBorder="1" applyAlignment="1">
      <alignment vertical="center"/>
    </xf>
    <xf numFmtId="0" fontId="21" fillId="5" borderId="7" xfId="3" applyFont="1" applyFill="1" applyBorder="1" applyAlignment="1">
      <alignment horizontal="center" vertical="center"/>
    </xf>
    <xf numFmtId="0" fontId="21" fillId="5" borderId="18" xfId="3" applyFont="1" applyFill="1" applyBorder="1" applyAlignment="1">
      <alignment horizontal="center" vertical="center"/>
    </xf>
    <xf numFmtId="0" fontId="22" fillId="5" borderId="8" xfId="3" applyFont="1" applyFill="1" applyBorder="1"/>
    <xf numFmtId="0" fontId="21" fillId="5" borderId="18" xfId="4" applyNumberFormat="1" applyFont="1" applyFill="1" applyBorder="1" applyAlignment="1">
      <alignment horizontal="center" vertical="center"/>
    </xf>
    <xf numFmtId="0" fontId="21" fillId="5" borderId="2" xfId="3" applyFont="1" applyFill="1" applyBorder="1" applyAlignment="1">
      <alignment vertical="center"/>
    </xf>
    <xf numFmtId="165" fontId="21" fillId="5" borderId="9" xfId="4" applyFont="1" applyFill="1" applyBorder="1" applyAlignment="1">
      <alignment vertical="center"/>
    </xf>
    <xf numFmtId="0" fontId="22" fillId="5" borderId="5" xfId="3" applyFont="1" applyFill="1" applyBorder="1" applyAlignment="1">
      <alignment vertical="center"/>
    </xf>
    <xf numFmtId="165" fontId="22" fillId="0" borderId="13" xfId="1" applyFont="1" applyBorder="1" applyAlignment="1">
      <alignment horizontal="right"/>
    </xf>
    <xf numFmtId="165" fontId="21" fillId="0" borderId="18" xfId="4" applyFont="1" applyFill="1" applyBorder="1" applyAlignment="1">
      <alignment vertical="center"/>
    </xf>
    <xf numFmtId="0" fontId="21" fillId="5" borderId="8" xfId="3" applyFont="1" applyFill="1" applyBorder="1" applyAlignment="1">
      <alignment horizontal="center" vertical="center"/>
    </xf>
    <xf numFmtId="0" fontId="21" fillId="5" borderId="7" xfId="3" applyFont="1" applyFill="1" applyBorder="1" applyAlignment="1">
      <alignment vertical="center"/>
    </xf>
    <xf numFmtId="165" fontId="21" fillId="5" borderId="18" xfId="4" applyFont="1" applyFill="1" applyBorder="1" applyAlignment="1">
      <alignment vertical="center"/>
    </xf>
    <xf numFmtId="165" fontId="21" fillId="5" borderId="18" xfId="4" applyFont="1" applyFill="1" applyBorder="1" applyAlignment="1">
      <alignment horizontal="right" vertical="center"/>
    </xf>
    <xf numFmtId="165" fontId="22" fillId="0" borderId="5" xfId="4" applyFont="1" applyFill="1" applyBorder="1" applyAlignment="1">
      <alignment horizontal="right" vertical="center"/>
    </xf>
    <xf numFmtId="165" fontId="22" fillId="0" borderId="11" xfId="4" applyFont="1" applyFill="1" applyBorder="1" applyAlignment="1">
      <alignment horizontal="right" vertical="center"/>
    </xf>
    <xf numFmtId="0" fontId="22" fillId="0" borderId="18" xfId="3" applyFont="1" applyBorder="1" applyAlignment="1">
      <alignment vertical="center"/>
    </xf>
    <xf numFmtId="0" fontId="21" fillId="5" borderId="8" xfId="3" applyFont="1" applyFill="1" applyBorder="1" applyAlignment="1">
      <alignment vertical="center"/>
    </xf>
    <xf numFmtId="0" fontId="22" fillId="5" borderId="3" xfId="3" applyFont="1" applyFill="1" applyBorder="1" applyAlignment="1">
      <alignment vertical="center"/>
    </xf>
    <xf numFmtId="0" fontId="26" fillId="5" borderId="18" xfId="3" quotePrefix="1" applyFont="1" applyFill="1" applyBorder="1" applyAlignment="1">
      <alignment horizontal="center" vertical="center"/>
    </xf>
    <xf numFmtId="0" fontId="26" fillId="5" borderId="8" xfId="3" applyFont="1" applyFill="1" applyBorder="1" applyAlignment="1">
      <alignment vertical="center"/>
    </xf>
    <xf numFmtId="0" fontId="24" fillId="5" borderId="8" xfId="3" applyFont="1" applyFill="1" applyBorder="1" applyAlignment="1">
      <alignment vertical="center"/>
    </xf>
    <xf numFmtId="4" fontId="24" fillId="5" borderId="9" xfId="4" applyNumberFormat="1" applyFont="1" applyFill="1" applyBorder="1" applyAlignment="1">
      <alignment vertical="center"/>
    </xf>
    <xf numFmtId="0" fontId="26" fillId="5" borderId="17" xfId="3" quotePrefix="1" applyFont="1" applyFill="1" applyBorder="1" applyAlignment="1">
      <alignment horizontal="center" vertical="center"/>
    </xf>
    <xf numFmtId="0" fontId="26" fillId="5" borderId="26" xfId="3" applyFont="1" applyFill="1" applyBorder="1" applyAlignment="1">
      <alignment vertical="center"/>
    </xf>
    <xf numFmtId="0" fontId="24" fillId="5" borderId="3" xfId="3" applyFont="1" applyFill="1" applyBorder="1" applyAlignment="1">
      <alignment vertical="center"/>
    </xf>
    <xf numFmtId="4" fontId="24" fillId="5" borderId="16" xfId="4" applyNumberFormat="1" applyFont="1" applyFill="1" applyBorder="1" applyAlignment="1">
      <alignment vertical="center"/>
    </xf>
    <xf numFmtId="165" fontId="21" fillId="0" borderId="17" xfId="3" applyNumberFormat="1" applyFont="1" applyBorder="1" applyAlignment="1">
      <alignment vertical="center"/>
    </xf>
    <xf numFmtId="165" fontId="21" fillId="0" borderId="34" xfId="3" applyNumberFormat="1" applyFont="1" applyBorder="1" applyAlignment="1">
      <alignment vertical="center"/>
    </xf>
    <xf numFmtId="0" fontId="21" fillId="0" borderId="17" xfId="3" applyFont="1" applyBorder="1" applyAlignment="1">
      <alignment vertical="center"/>
    </xf>
    <xf numFmtId="0" fontId="22" fillId="5" borderId="9" xfId="3" applyFont="1" applyFill="1" applyBorder="1" applyAlignment="1">
      <alignment vertical="center"/>
    </xf>
    <xf numFmtId="165" fontId="21" fillId="5" borderId="9" xfId="3" applyNumberFormat="1" applyFont="1" applyFill="1" applyBorder="1" applyAlignment="1">
      <alignment vertical="center"/>
    </xf>
    <xf numFmtId="0" fontId="21" fillId="5" borderId="17" xfId="3" applyFont="1" applyFill="1" applyBorder="1" applyAlignment="1">
      <alignment horizontal="center" vertical="center"/>
    </xf>
    <xf numFmtId="0" fontId="21" fillId="5" borderId="17" xfId="3" applyFont="1" applyFill="1" applyBorder="1" applyAlignment="1">
      <alignment vertical="center"/>
    </xf>
    <xf numFmtId="0" fontId="21" fillId="5" borderId="3" xfId="3" applyFont="1" applyFill="1" applyBorder="1" applyAlignment="1">
      <alignment vertical="center"/>
    </xf>
    <xf numFmtId="0" fontId="22" fillId="5" borderId="16" xfId="3" applyFont="1" applyFill="1" applyBorder="1" applyAlignment="1">
      <alignment vertical="center"/>
    </xf>
    <xf numFmtId="165" fontId="21" fillId="5" borderId="16" xfId="3" applyNumberFormat="1" applyFont="1" applyFill="1" applyBorder="1" applyAlignment="1">
      <alignment vertical="center"/>
    </xf>
    <xf numFmtId="165" fontId="21" fillId="0" borderId="10" xfId="4" applyFont="1" applyFill="1" applyBorder="1" applyAlignment="1">
      <alignment horizontal="right" vertical="center"/>
    </xf>
    <xf numFmtId="0" fontId="22" fillId="0" borderId="7" xfId="3" applyFont="1" applyBorder="1" applyAlignment="1">
      <alignment horizontal="center" vertical="center"/>
    </xf>
    <xf numFmtId="167" fontId="22" fillId="0" borderId="18" xfId="5" applyNumberFormat="1" applyFont="1" applyFill="1" applyBorder="1" applyAlignment="1">
      <alignment horizontal="center" vertical="center"/>
    </xf>
    <xf numFmtId="164" fontId="22" fillId="0" borderId="18" xfId="2" applyFont="1" applyFill="1" applyBorder="1" applyAlignment="1">
      <alignment vertical="center"/>
    </xf>
    <xf numFmtId="165" fontId="22" fillId="0" borderId="30" xfId="4" applyFont="1" applyFill="1" applyBorder="1" applyAlignment="1">
      <alignment vertical="center"/>
    </xf>
    <xf numFmtId="164" fontId="22" fillId="5" borderId="8" xfId="2" applyFont="1" applyFill="1" applyBorder="1" applyAlignment="1">
      <alignment vertical="center"/>
    </xf>
    <xf numFmtId="165" fontId="21" fillId="5" borderId="18" xfId="3" applyNumberFormat="1" applyFont="1" applyFill="1" applyBorder="1" applyAlignment="1">
      <alignment vertical="center"/>
    </xf>
    <xf numFmtId="0" fontId="21" fillId="5" borderId="16" xfId="3" applyFont="1" applyFill="1" applyBorder="1" applyAlignment="1">
      <alignment horizontal="center" vertical="center"/>
    </xf>
    <xf numFmtId="0" fontId="21" fillId="5" borderId="17" xfId="4" applyNumberFormat="1" applyFont="1" applyFill="1" applyBorder="1" applyAlignment="1">
      <alignment horizontal="center" vertical="center"/>
    </xf>
    <xf numFmtId="164" fontId="22" fillId="5" borderId="16" xfId="2" applyFont="1" applyFill="1" applyBorder="1" applyAlignment="1">
      <alignment vertical="center"/>
    </xf>
    <xf numFmtId="165" fontId="22" fillId="0" borderId="30" xfId="4" applyFont="1" applyFill="1" applyBorder="1" applyAlignment="1">
      <alignment horizontal="right" vertical="center"/>
    </xf>
    <xf numFmtId="0" fontId="22" fillId="0" borderId="34" xfId="3" applyFont="1" applyBorder="1" applyAlignment="1">
      <alignment horizontal="right" vertical="center"/>
    </xf>
    <xf numFmtId="165" fontId="22" fillId="0" borderId="10" xfId="4" applyFont="1" applyFill="1" applyBorder="1" applyAlignment="1">
      <alignment horizontal="right" vertical="center"/>
    </xf>
    <xf numFmtId="164" fontId="22" fillId="5" borderId="18" xfId="2" applyFont="1" applyFill="1" applyBorder="1" applyAlignment="1">
      <alignment vertical="center"/>
    </xf>
    <xf numFmtId="165" fontId="21" fillId="0" borderId="18" xfId="4" applyFont="1" applyFill="1" applyBorder="1" applyAlignment="1">
      <alignment horizontal="right" vertical="center"/>
    </xf>
    <xf numFmtId="165" fontId="21" fillId="5" borderId="34" xfId="4" applyFont="1" applyFill="1" applyBorder="1" applyAlignment="1">
      <alignment horizontal="right" vertical="center"/>
    </xf>
    <xf numFmtId="0" fontId="21" fillId="5" borderId="5" xfId="3" applyFont="1" applyFill="1" applyBorder="1" applyAlignment="1">
      <alignment horizontal="center" vertical="center"/>
    </xf>
    <xf numFmtId="165" fontId="26" fillId="5" borderId="18" xfId="4" applyFont="1" applyFill="1" applyBorder="1" applyAlignment="1">
      <alignment horizontal="right" vertical="center"/>
    </xf>
    <xf numFmtId="165" fontId="26" fillId="5" borderId="17" xfId="4" applyFont="1" applyFill="1" applyBorder="1" applyAlignment="1">
      <alignment horizontal="right" vertical="center"/>
    </xf>
    <xf numFmtId="0" fontId="21" fillId="5" borderId="8" xfId="3" applyFont="1" applyFill="1" applyBorder="1" applyAlignment="1">
      <alignment horizontal="center"/>
    </xf>
    <xf numFmtId="165" fontId="22" fillId="5" borderId="5" xfId="4" applyFont="1" applyFill="1" applyBorder="1" applyAlignment="1">
      <alignment vertical="center"/>
    </xf>
    <xf numFmtId="165" fontId="21" fillId="5" borderId="34" xfId="3" applyNumberFormat="1" applyFont="1" applyFill="1" applyBorder="1" applyAlignment="1">
      <alignment horizontal="right" vertical="center"/>
    </xf>
    <xf numFmtId="165" fontId="21" fillId="0" borderId="34" xfId="3" applyNumberFormat="1" applyFont="1" applyBorder="1" applyAlignment="1">
      <alignment horizontal="right" vertical="center"/>
    </xf>
    <xf numFmtId="0" fontId="22" fillId="5" borderId="18" xfId="3" applyFont="1" applyFill="1" applyBorder="1" applyAlignment="1">
      <alignment horizontal="center" vertical="center"/>
    </xf>
    <xf numFmtId="164" fontId="22" fillId="5" borderId="18" xfId="6" applyFont="1" applyFill="1" applyBorder="1" applyAlignment="1">
      <alignment vertical="center"/>
    </xf>
    <xf numFmtId="165" fontId="21" fillId="5" borderId="18" xfId="7" applyFont="1" applyFill="1" applyBorder="1" applyAlignment="1">
      <alignment horizontal="right" vertical="center"/>
    </xf>
    <xf numFmtId="165" fontId="21" fillId="0" borderId="34" xfId="7" applyFont="1" applyFill="1" applyBorder="1" applyAlignment="1">
      <alignment horizontal="right" vertical="center"/>
    </xf>
    <xf numFmtId="165" fontId="22" fillId="0" borderId="34" xfId="7" applyFont="1" applyFill="1" applyBorder="1" applyAlignment="1">
      <alignment horizontal="right" vertical="center"/>
    </xf>
    <xf numFmtId="165" fontId="21" fillId="0" borderId="10" xfId="7" applyFont="1" applyFill="1" applyBorder="1" applyAlignment="1">
      <alignment horizontal="right" vertical="center"/>
    </xf>
    <xf numFmtId="0" fontId="22" fillId="5" borderId="18" xfId="3" applyFont="1" applyFill="1" applyBorder="1" applyAlignment="1">
      <alignment vertical="center"/>
    </xf>
    <xf numFmtId="165" fontId="22" fillId="0" borderId="15" xfId="4" applyFont="1" applyFill="1" applyBorder="1" applyAlignment="1">
      <alignment horizontal="right" vertical="center"/>
    </xf>
    <xf numFmtId="0" fontId="21" fillId="0" borderId="18" xfId="3" applyFont="1" applyBorder="1" applyAlignment="1">
      <alignment vertical="center"/>
    </xf>
    <xf numFmtId="0" fontId="21" fillId="0" borderId="10" xfId="3" applyFont="1" applyBorder="1" applyAlignment="1">
      <alignment vertical="center"/>
    </xf>
    <xf numFmtId="0" fontId="21" fillId="5" borderId="17" xfId="3" applyFont="1" applyFill="1" applyBorder="1" applyAlignment="1">
      <alignment horizontal="center"/>
    </xf>
    <xf numFmtId="0" fontId="23" fillId="5" borderId="17" xfId="0" applyFont="1" applyFill="1" applyBorder="1"/>
    <xf numFmtId="0" fontId="21" fillId="5" borderId="10" xfId="3" applyFont="1" applyFill="1" applyBorder="1" applyAlignment="1">
      <alignment horizontal="center"/>
    </xf>
    <xf numFmtId="0" fontId="21" fillId="5" borderId="0" xfId="3" applyFont="1" applyFill="1"/>
    <xf numFmtId="0" fontId="22" fillId="5" borderId="0" xfId="3" applyFont="1" applyFill="1"/>
    <xf numFmtId="164" fontId="22" fillId="5" borderId="10" xfId="6" applyFont="1" applyFill="1" applyBorder="1" applyAlignment="1"/>
    <xf numFmtId="165" fontId="21" fillId="5" borderId="10" xfId="4" applyFont="1" applyFill="1" applyBorder="1" applyAlignment="1">
      <alignment horizontal="right"/>
    </xf>
    <xf numFmtId="0" fontId="23" fillId="5" borderId="34" xfId="0" applyFont="1" applyFill="1" applyBorder="1"/>
    <xf numFmtId="4" fontId="22" fillId="5" borderId="18" xfId="3" applyNumberFormat="1" applyFont="1" applyFill="1" applyBorder="1" applyAlignment="1">
      <alignment vertical="center"/>
    </xf>
    <xf numFmtId="0" fontId="22" fillId="5" borderId="2" xfId="3" applyFont="1" applyFill="1" applyBorder="1"/>
    <xf numFmtId="164" fontId="21" fillId="5" borderId="34" xfId="6" applyFont="1" applyFill="1" applyBorder="1"/>
    <xf numFmtId="0" fontId="21" fillId="5" borderId="4" xfId="3" applyFont="1" applyFill="1" applyBorder="1"/>
    <xf numFmtId="167" fontId="22" fillId="5" borderId="4" xfId="2" applyNumberFormat="1" applyFont="1" applyFill="1" applyBorder="1" applyAlignment="1">
      <alignment vertical="center"/>
    </xf>
    <xf numFmtId="173" fontId="21" fillId="0" borderId="17" xfId="3" applyNumberFormat="1" applyFont="1" applyBorder="1" applyAlignment="1">
      <alignment horizontal="right" vertical="center"/>
    </xf>
    <xf numFmtId="167" fontId="22" fillId="0" borderId="18" xfId="2" applyNumberFormat="1" applyFont="1" applyFill="1" applyBorder="1" applyAlignment="1">
      <alignment vertical="center"/>
    </xf>
    <xf numFmtId="0" fontId="21" fillId="5" borderId="24" xfId="3" applyFont="1" applyFill="1" applyBorder="1" applyAlignment="1">
      <alignment vertical="center"/>
    </xf>
    <xf numFmtId="0" fontId="22" fillId="5" borderId="0" xfId="3" applyFont="1" applyFill="1" applyAlignment="1">
      <alignment vertical="center"/>
    </xf>
    <xf numFmtId="0" fontId="22" fillId="5" borderId="11" xfId="3" applyFont="1" applyFill="1" applyBorder="1" applyAlignment="1">
      <alignment vertical="center"/>
    </xf>
    <xf numFmtId="164" fontId="22" fillId="5" borderId="0" xfId="2" applyFont="1" applyFill="1" applyBorder="1" applyAlignment="1">
      <alignment vertical="center"/>
    </xf>
    <xf numFmtId="165" fontId="21" fillId="5" borderId="10" xfId="4" applyFont="1" applyFill="1" applyBorder="1" applyAlignment="1">
      <alignment vertical="center"/>
    </xf>
    <xf numFmtId="0" fontId="25" fillId="2" borderId="0" xfId="0" applyFont="1" applyFill="1" applyAlignment="1">
      <alignment horizontal="center" vertical="center"/>
    </xf>
    <xf numFmtId="165" fontId="21" fillId="6" borderId="18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1" fillId="5" borderId="17" xfId="4" applyNumberFormat="1" applyFont="1" applyFill="1" applyBorder="1" applyAlignment="1">
      <alignment horizontal="right" vertical="center"/>
    </xf>
    <xf numFmtId="0" fontId="21" fillId="6" borderId="17" xfId="3" applyFont="1" applyFill="1" applyBorder="1" applyAlignment="1">
      <alignment horizontal="center" vertical="center"/>
    </xf>
    <xf numFmtId="0" fontId="21" fillId="0" borderId="33" xfId="0" applyFont="1" applyBorder="1"/>
    <xf numFmtId="0" fontId="22" fillId="0" borderId="27" xfId="0" applyFont="1" applyBorder="1"/>
    <xf numFmtId="0" fontId="22" fillId="0" borderId="32" xfId="0" applyFont="1" applyBorder="1"/>
    <xf numFmtId="0" fontId="22" fillId="0" borderId="22" xfId="0" applyFont="1" applyBorder="1"/>
    <xf numFmtId="0" fontId="22" fillId="0" borderId="1" xfId="0" applyFont="1" applyBorder="1"/>
    <xf numFmtId="165" fontId="22" fillId="0" borderId="14" xfId="1" applyFont="1" applyFill="1" applyBorder="1"/>
    <xf numFmtId="165" fontId="21" fillId="0" borderId="34" xfId="7" applyFont="1" applyFill="1" applyBorder="1" applyAlignment="1">
      <alignment vertical="center"/>
    </xf>
    <xf numFmtId="165" fontId="21" fillId="0" borderId="10" xfId="7" applyFont="1" applyFill="1" applyBorder="1" applyAlignment="1">
      <alignment vertical="center"/>
    </xf>
    <xf numFmtId="165" fontId="21" fillId="5" borderId="18" xfId="7" applyFont="1" applyFill="1" applyBorder="1" applyAlignment="1">
      <alignment vertical="center"/>
    </xf>
    <xf numFmtId="165" fontId="24" fillId="0" borderId="26" xfId="1" applyFont="1" applyBorder="1"/>
    <xf numFmtId="164" fontId="21" fillId="5" borderId="9" xfId="6" applyFont="1" applyFill="1" applyBorder="1" applyAlignment="1">
      <alignment vertical="center"/>
    </xf>
    <xf numFmtId="0" fontId="22" fillId="5" borderId="11" xfId="3" applyFont="1" applyFill="1" applyBorder="1" applyAlignment="1">
      <alignment horizontal="center" vertical="center"/>
    </xf>
    <xf numFmtId="0" fontId="21" fillId="5" borderId="10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1" fillId="5" borderId="0" xfId="3" applyFont="1" applyFill="1" applyAlignment="1">
      <alignment vertical="center"/>
    </xf>
    <xf numFmtId="164" fontId="21" fillId="5" borderId="0" xfId="6" applyFont="1" applyFill="1" applyBorder="1" applyAlignment="1">
      <alignment vertical="center"/>
    </xf>
    <xf numFmtId="165" fontId="21" fillId="5" borderId="10" xfId="4" applyFont="1" applyFill="1" applyBorder="1" applyAlignment="1">
      <alignment horizontal="right" vertical="center"/>
    </xf>
    <xf numFmtId="165" fontId="21" fillId="0" borderId="16" xfId="4" applyFont="1" applyFill="1" applyBorder="1" applyAlignment="1">
      <alignment horizontal="right" vertical="center"/>
    </xf>
    <xf numFmtId="165" fontId="21" fillId="0" borderId="11" xfId="4" applyFont="1" applyFill="1" applyBorder="1" applyAlignment="1">
      <alignment horizontal="right" vertical="center"/>
    </xf>
    <xf numFmtId="0" fontId="22" fillId="5" borderId="9" xfId="3" applyFont="1" applyFill="1" applyBorder="1" applyAlignment="1">
      <alignment horizontal="center" vertical="center"/>
    </xf>
    <xf numFmtId="0" fontId="21" fillId="5" borderId="18" xfId="3" applyFont="1" applyFill="1" applyBorder="1" applyAlignment="1">
      <alignment horizontal="right" vertical="center"/>
    </xf>
    <xf numFmtId="165" fontId="21" fillId="0" borderId="5" xfId="4" applyFont="1" applyFill="1" applyBorder="1" applyAlignment="1">
      <alignment horizontal="right" vertical="center"/>
    </xf>
    <xf numFmtId="166" fontId="21" fillId="0" borderId="34" xfId="0" applyNumberFormat="1" applyFont="1" applyBorder="1" applyAlignment="1">
      <alignment horizontal="center" vertical="center"/>
    </xf>
    <xf numFmtId="166" fontId="21" fillId="5" borderId="34" xfId="0" applyNumberFormat="1" applyFont="1" applyFill="1" applyBorder="1" applyAlignment="1">
      <alignment horizontal="center" vertical="center"/>
    </xf>
    <xf numFmtId="165" fontId="22" fillId="0" borderId="10" xfId="4" applyFont="1" applyFill="1" applyBorder="1" applyAlignment="1">
      <alignment horizontal="center" vertical="center"/>
    </xf>
    <xf numFmtId="165" fontId="21" fillId="9" borderId="10" xfId="4" applyFont="1" applyFill="1" applyBorder="1" applyAlignment="1">
      <alignment horizontal="center" vertical="center"/>
    </xf>
    <xf numFmtId="165" fontId="21" fillId="9" borderId="10" xfId="4" applyFont="1" applyFill="1" applyBorder="1" applyAlignment="1">
      <alignment vertical="center"/>
    </xf>
    <xf numFmtId="165" fontId="22" fillId="9" borderId="18" xfId="4" applyFont="1" applyFill="1" applyBorder="1" applyAlignment="1">
      <alignment vertical="center"/>
    </xf>
    <xf numFmtId="165" fontId="22" fillId="9" borderId="10" xfId="4" applyFont="1" applyFill="1" applyBorder="1" applyAlignment="1">
      <alignment vertical="center"/>
    </xf>
    <xf numFmtId="0" fontId="21" fillId="6" borderId="3" xfId="3" applyFont="1" applyFill="1" applyBorder="1" applyAlignment="1">
      <alignment horizontal="center" vertical="center"/>
    </xf>
    <xf numFmtId="1" fontId="22" fillId="9" borderId="18" xfId="4" applyNumberFormat="1" applyFont="1" applyFill="1" applyBorder="1" applyAlignment="1">
      <alignment vertical="center"/>
    </xf>
    <xf numFmtId="1" fontId="22" fillId="0" borderId="10" xfId="4" applyNumberFormat="1" applyFont="1" applyFill="1" applyBorder="1" applyAlignment="1">
      <alignment vertical="center"/>
    </xf>
    <xf numFmtId="1" fontId="22" fillId="0" borderId="0" xfId="4" applyNumberFormat="1" applyFont="1" applyFill="1" applyBorder="1" applyAlignment="1">
      <alignment horizontal="center" vertical="center"/>
    </xf>
    <xf numFmtId="165" fontId="22" fillId="0" borderId="0" xfId="4" applyFont="1" applyFill="1" applyBorder="1" applyAlignment="1">
      <alignment horizontal="center" vertical="center"/>
    </xf>
    <xf numFmtId="165" fontId="22" fillId="14" borderId="18" xfId="4" applyFont="1" applyFill="1" applyBorder="1" applyAlignment="1">
      <alignment vertical="center"/>
    </xf>
    <xf numFmtId="165" fontId="22" fillId="14" borderId="10" xfId="4" applyFont="1" applyFill="1" applyBorder="1" applyAlignment="1">
      <alignment vertical="center"/>
    </xf>
    <xf numFmtId="165" fontId="21" fillId="14" borderId="10" xfId="4" applyFont="1" applyFill="1" applyBorder="1" applyAlignment="1">
      <alignment vertical="center"/>
    </xf>
    <xf numFmtId="165" fontId="21" fillId="14" borderId="10" xfId="4" applyFont="1" applyFill="1" applyBorder="1" applyAlignment="1">
      <alignment horizontal="center" vertical="center"/>
    </xf>
    <xf numFmtId="165" fontId="22" fillId="0" borderId="0" xfId="4" applyFont="1" applyFill="1" applyBorder="1" applyAlignment="1">
      <alignment vertical="center"/>
    </xf>
    <xf numFmtId="165" fontId="22" fillId="10" borderId="34" xfId="0" applyNumberFormat="1" applyFont="1" applyFill="1" applyBorder="1"/>
    <xf numFmtId="0" fontId="24" fillId="10" borderId="7" xfId="0" applyFont="1" applyFill="1" applyBorder="1"/>
    <xf numFmtId="0" fontId="24" fillId="10" borderId="8" xfId="0" applyFont="1" applyFill="1" applyBorder="1"/>
    <xf numFmtId="0" fontId="24" fillId="10" borderId="9" xfId="0" applyFont="1" applyFill="1" applyBorder="1"/>
    <xf numFmtId="167" fontId="22" fillId="10" borderId="24" xfId="2" applyNumberFormat="1" applyFont="1" applyFill="1" applyBorder="1" applyAlignment="1">
      <alignment horizontal="right" vertical="center"/>
    </xf>
    <xf numFmtId="0" fontId="24" fillId="10" borderId="0" xfId="0" applyFont="1" applyFill="1"/>
    <xf numFmtId="0" fontId="24" fillId="10" borderId="11" xfId="0" applyFont="1" applyFill="1" applyBorder="1"/>
    <xf numFmtId="164" fontId="22" fillId="10" borderId="24" xfId="2" applyFont="1" applyFill="1" applyBorder="1" applyAlignment="1">
      <alignment horizontal="right" vertical="center"/>
    </xf>
    <xf numFmtId="167" fontId="22" fillId="10" borderId="26" xfId="2" applyNumberFormat="1" applyFont="1" applyFill="1" applyBorder="1" applyAlignment="1">
      <alignment horizontal="right" vertical="center"/>
    </xf>
    <xf numFmtId="165" fontId="24" fillId="10" borderId="3" xfId="0" applyNumberFormat="1" applyFont="1" applyFill="1" applyBorder="1"/>
    <xf numFmtId="0" fontId="24" fillId="10" borderId="16" xfId="0" applyFont="1" applyFill="1" applyBorder="1"/>
    <xf numFmtId="167" fontId="22" fillId="10" borderId="7" xfId="2" applyNumberFormat="1" applyFont="1" applyFill="1" applyBorder="1" applyAlignment="1">
      <alignment horizontal="right" vertical="center"/>
    </xf>
    <xf numFmtId="165" fontId="24" fillId="10" borderId="24" xfId="1" applyFont="1" applyFill="1" applyBorder="1"/>
    <xf numFmtId="0" fontId="24" fillId="10" borderId="3" xfId="0" applyFont="1" applyFill="1" applyBorder="1"/>
    <xf numFmtId="0" fontId="24" fillId="10" borderId="24" xfId="0" applyFont="1" applyFill="1" applyBorder="1"/>
    <xf numFmtId="167" fontId="22" fillId="10" borderId="0" xfId="2" applyNumberFormat="1" applyFont="1" applyFill="1" applyBorder="1" applyAlignment="1">
      <alignment horizontal="right" vertical="center"/>
    </xf>
    <xf numFmtId="167" fontId="22" fillId="10" borderId="11" xfId="2" applyNumberFormat="1" applyFont="1" applyFill="1" applyBorder="1" applyAlignment="1">
      <alignment horizontal="left" vertical="center"/>
    </xf>
    <xf numFmtId="167" fontId="22" fillId="10" borderId="11" xfId="2" applyNumberFormat="1" applyFont="1" applyFill="1" applyBorder="1" applyAlignment="1">
      <alignment vertical="center"/>
    </xf>
    <xf numFmtId="165" fontId="24" fillId="10" borderId="0" xfId="0" applyNumberFormat="1" applyFont="1" applyFill="1"/>
    <xf numFmtId="165" fontId="24" fillId="10" borderId="26" xfId="1" applyFont="1" applyFill="1" applyBorder="1"/>
    <xf numFmtId="167" fontId="22" fillId="10" borderId="3" xfId="2" applyNumberFormat="1" applyFont="1" applyFill="1" applyBorder="1" applyAlignment="1">
      <alignment horizontal="right" vertical="center"/>
    </xf>
    <xf numFmtId="0" fontId="35" fillId="0" borderId="0" xfId="0" applyFont="1"/>
    <xf numFmtId="0" fontId="35" fillId="0" borderId="7" xfId="0" applyFont="1" applyBorder="1"/>
    <xf numFmtId="0" fontId="24" fillId="0" borderId="26" xfId="0" applyFont="1" applyBorder="1"/>
    <xf numFmtId="165" fontId="21" fillId="9" borderId="17" xfId="0" applyNumberFormat="1" applyFont="1" applyFill="1" applyBorder="1"/>
    <xf numFmtId="165" fontId="21" fillId="6" borderId="34" xfId="1" applyFont="1" applyFill="1" applyBorder="1" applyAlignment="1">
      <alignment horizontal="center" vertical="center" wrapText="1"/>
    </xf>
    <xf numFmtId="165" fontId="21" fillId="6" borderId="34" xfId="1" applyFont="1" applyFill="1" applyBorder="1" applyAlignment="1">
      <alignment horizontal="center" vertical="center"/>
    </xf>
    <xf numFmtId="0" fontId="24" fillId="14" borderId="0" xfId="0" applyFont="1" applyFill="1"/>
    <xf numFmtId="0" fontId="24" fillId="9" borderId="0" xfId="0" applyFont="1" applyFill="1"/>
    <xf numFmtId="0" fontId="21" fillId="6" borderId="43" xfId="3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center" vertical="center"/>
    </xf>
    <xf numFmtId="165" fontId="21" fillId="5" borderId="46" xfId="4" applyFont="1" applyFill="1" applyBorder="1" applyAlignment="1">
      <alignment vertical="center"/>
    </xf>
    <xf numFmtId="0" fontId="21" fillId="0" borderId="47" xfId="3" applyFont="1" applyBorder="1" applyAlignment="1">
      <alignment horizontal="center"/>
    </xf>
    <xf numFmtId="0" fontId="21" fillId="0" borderId="48" xfId="3" applyFont="1" applyBorder="1" applyAlignment="1">
      <alignment horizontal="center"/>
    </xf>
    <xf numFmtId="165" fontId="22" fillId="0" borderId="50" xfId="4" applyFont="1" applyFill="1" applyBorder="1" applyAlignment="1">
      <alignment vertical="center"/>
    </xf>
    <xf numFmtId="0" fontId="21" fillId="0" borderId="48" xfId="3" applyFont="1" applyBorder="1"/>
    <xf numFmtId="0" fontId="21" fillId="0" borderId="51" xfId="3" applyFont="1" applyBorder="1"/>
    <xf numFmtId="0" fontId="21" fillId="0" borderId="52" xfId="3" applyFont="1" applyBorder="1" applyAlignment="1">
      <alignment horizontal="center"/>
    </xf>
    <xf numFmtId="0" fontId="22" fillId="0" borderId="52" xfId="3" applyFont="1" applyBorder="1"/>
    <xf numFmtId="0" fontId="21" fillId="0" borderId="52" xfId="3" applyFont="1" applyBorder="1" applyAlignment="1">
      <alignment horizontal="center" vertical="center"/>
    </xf>
    <xf numFmtId="0" fontId="21" fillId="0" borderId="53" xfId="3" applyFont="1" applyBorder="1" applyAlignment="1">
      <alignment horizontal="left" vertical="center" indent="1"/>
    </xf>
    <xf numFmtId="0" fontId="22" fillId="0" borderId="53" xfId="3" applyFont="1" applyBorder="1"/>
    <xf numFmtId="0" fontId="22" fillId="0" borderId="54" xfId="3" applyFont="1" applyBorder="1"/>
    <xf numFmtId="165" fontId="21" fillId="5" borderId="45" xfId="4" applyFont="1" applyFill="1" applyBorder="1" applyAlignment="1">
      <alignment vertical="center"/>
    </xf>
    <xf numFmtId="165" fontId="22" fillId="0" borderId="52" xfId="4" applyFont="1" applyFill="1" applyBorder="1" applyAlignment="1">
      <alignment horizontal="center" vertical="center"/>
    </xf>
    <xf numFmtId="165" fontId="22" fillId="0" borderId="52" xfId="4" applyFont="1" applyFill="1" applyBorder="1" applyAlignment="1">
      <alignment vertical="center"/>
    </xf>
    <xf numFmtId="165" fontId="22" fillId="0" borderId="55" xfId="4" applyFont="1" applyFill="1" applyBorder="1" applyAlignment="1">
      <alignment vertical="center"/>
    </xf>
    <xf numFmtId="165" fontId="0" fillId="0" borderId="0" xfId="1" applyFont="1"/>
    <xf numFmtId="165" fontId="21" fillId="5" borderId="4" xfId="4" applyFont="1" applyFill="1" applyBorder="1" applyAlignment="1">
      <alignment vertical="center"/>
    </xf>
    <xf numFmtId="165" fontId="22" fillId="0" borderId="24" xfId="4" applyFont="1" applyFill="1" applyBorder="1" applyAlignment="1">
      <alignment vertical="center"/>
    </xf>
    <xf numFmtId="165" fontId="22" fillId="0" borderId="63" xfId="4" applyFont="1" applyFill="1" applyBorder="1" applyAlignment="1">
      <alignment vertical="center"/>
    </xf>
    <xf numFmtId="165" fontId="22" fillId="0" borderId="41" xfId="4" applyFont="1" applyFill="1" applyBorder="1" applyAlignment="1">
      <alignment vertical="center"/>
    </xf>
    <xf numFmtId="165" fontId="22" fillId="0" borderId="62" xfId="4" applyFont="1" applyFill="1" applyBorder="1" applyAlignment="1">
      <alignment vertical="center"/>
    </xf>
    <xf numFmtId="0" fontId="37" fillId="15" borderId="0" xfId="0" applyFont="1" applyFill="1" applyAlignment="1">
      <alignment horizontal="center" vertical="center" wrapText="1"/>
    </xf>
    <xf numFmtId="0" fontId="37" fillId="15" borderId="18" xfId="0" applyFont="1" applyFill="1" applyBorder="1" applyAlignment="1">
      <alignment horizontal="center" vertical="center" wrapText="1"/>
    </xf>
    <xf numFmtId="0" fontId="37" fillId="15" borderId="10" xfId="0" applyFont="1" applyFill="1" applyBorder="1" applyAlignment="1">
      <alignment horizontal="center" vertical="center" wrapText="1"/>
    </xf>
    <xf numFmtId="0" fontId="37" fillId="15" borderId="45" xfId="0" applyFont="1" applyFill="1" applyBorder="1" applyAlignment="1">
      <alignment horizontal="center" vertical="center" wrapText="1"/>
    </xf>
    <xf numFmtId="0" fontId="37" fillId="15" borderId="34" xfId="0" applyFont="1" applyFill="1" applyBorder="1" applyAlignment="1">
      <alignment horizontal="center" vertical="center" wrapText="1"/>
    </xf>
    <xf numFmtId="0" fontId="37" fillId="15" borderId="17" xfId="0" applyFont="1" applyFill="1" applyBorder="1" applyAlignment="1">
      <alignment horizontal="center" vertical="center" wrapText="1"/>
    </xf>
    <xf numFmtId="0" fontId="37" fillId="15" borderId="59" xfId="0" applyFont="1" applyFill="1" applyBorder="1" applyAlignment="1">
      <alignment horizontal="center" vertical="center" wrapText="1"/>
    </xf>
    <xf numFmtId="0" fontId="37" fillId="15" borderId="43" xfId="0" applyFont="1" applyFill="1" applyBorder="1" applyAlignment="1">
      <alignment horizontal="center" vertical="center"/>
    </xf>
    <xf numFmtId="0" fontId="37" fillId="15" borderId="17" xfId="0" applyFont="1" applyFill="1" applyBorder="1" applyAlignment="1">
      <alignment horizontal="center" vertical="center"/>
    </xf>
    <xf numFmtId="0" fontId="37" fillId="15" borderId="59" xfId="0" applyFont="1" applyFill="1" applyBorder="1" applyAlignment="1">
      <alignment horizontal="center" vertical="center"/>
    </xf>
    <xf numFmtId="0" fontId="37" fillId="13" borderId="10" xfId="0" applyFont="1" applyFill="1" applyBorder="1" applyAlignment="1">
      <alignment horizontal="center" vertical="center"/>
    </xf>
    <xf numFmtId="0" fontId="37" fillId="13" borderId="10" xfId="0" applyFont="1" applyFill="1" applyBorder="1" applyAlignment="1">
      <alignment horizontal="center" vertical="center" wrapText="1"/>
    </xf>
    <xf numFmtId="0" fontId="37" fillId="13" borderId="17" xfId="0" applyFont="1" applyFill="1" applyBorder="1" applyAlignment="1">
      <alignment horizontal="center" vertical="center"/>
    </xf>
    <xf numFmtId="0" fontId="37" fillId="13" borderId="17" xfId="0" applyFont="1" applyFill="1" applyBorder="1" applyAlignment="1">
      <alignment horizontal="center" vertical="center" wrapText="1"/>
    </xf>
    <xf numFmtId="0" fontId="37" fillId="13" borderId="26" xfId="0" applyFont="1" applyFill="1" applyBorder="1" applyAlignment="1">
      <alignment horizontal="center" vertical="center" wrapText="1"/>
    </xf>
    <xf numFmtId="0" fontId="37" fillId="13" borderId="26" xfId="0" applyFont="1" applyFill="1" applyBorder="1" applyAlignment="1">
      <alignment horizontal="center" vertical="center"/>
    </xf>
    <xf numFmtId="0" fontId="37" fillId="13" borderId="43" xfId="0" applyFont="1" applyFill="1" applyBorder="1" applyAlignment="1">
      <alignment horizontal="center" vertical="center"/>
    </xf>
    <xf numFmtId="165" fontId="39" fillId="0" borderId="15" xfId="1" applyFont="1" applyFill="1" applyBorder="1"/>
    <xf numFmtId="0" fontId="37" fillId="13" borderId="24" xfId="0" applyFont="1" applyFill="1" applyBorder="1" applyAlignment="1">
      <alignment horizontal="center" vertical="center" wrapText="1"/>
    </xf>
    <xf numFmtId="0" fontId="37" fillId="15" borderId="50" xfId="0" applyFont="1" applyFill="1" applyBorder="1" applyAlignment="1">
      <alignment horizontal="center" vertical="center" wrapText="1"/>
    </xf>
    <xf numFmtId="165" fontId="21" fillId="13" borderId="18" xfId="1" applyFont="1" applyFill="1" applyBorder="1" applyAlignment="1">
      <alignment horizontal="center" vertical="center" wrapText="1"/>
    </xf>
    <xf numFmtId="165" fontId="21" fillId="13" borderId="7" xfId="1" applyFont="1" applyFill="1" applyBorder="1" applyAlignment="1">
      <alignment horizontal="center" vertical="center" wrapText="1"/>
    </xf>
    <xf numFmtId="165" fontId="21" fillId="13" borderId="34" xfId="1" applyFont="1" applyFill="1" applyBorder="1" applyAlignment="1">
      <alignment horizontal="center" vertical="center" wrapText="1"/>
    </xf>
    <xf numFmtId="165" fontId="39" fillId="0" borderId="22" xfId="1" applyFont="1" applyFill="1" applyBorder="1"/>
    <xf numFmtId="0" fontId="21" fillId="6" borderId="45" xfId="0" applyFont="1" applyFill="1" applyBorder="1" applyAlignment="1">
      <alignment horizontal="center" vertical="center"/>
    </xf>
    <xf numFmtId="165" fontId="21" fillId="6" borderId="46" xfId="1" applyFont="1" applyFill="1" applyBorder="1" applyAlignment="1">
      <alignment horizontal="center" vertical="center" wrapText="1"/>
    </xf>
    <xf numFmtId="0" fontId="21" fillId="0" borderId="66" xfId="0" applyFont="1" applyBorder="1" applyAlignment="1">
      <alignment horizontal="center"/>
    </xf>
    <xf numFmtId="165" fontId="21" fillId="0" borderId="49" xfId="1" applyFont="1" applyFill="1" applyBorder="1"/>
    <xf numFmtId="0" fontId="22" fillId="0" borderId="67" xfId="0" applyFont="1" applyBorder="1" applyAlignment="1">
      <alignment horizontal="center"/>
    </xf>
    <xf numFmtId="165" fontId="22" fillId="0" borderId="68" xfId="1" applyFont="1" applyFill="1" applyBorder="1"/>
    <xf numFmtId="0" fontId="22" fillId="0" borderId="69" xfId="0" applyFont="1" applyBorder="1" applyAlignment="1">
      <alignment horizontal="center"/>
    </xf>
    <xf numFmtId="0" fontId="22" fillId="0" borderId="70" xfId="0" applyFont="1" applyBorder="1" applyAlignment="1">
      <alignment horizontal="left"/>
    </xf>
    <xf numFmtId="0" fontId="22" fillId="0" borderId="71" xfId="0" applyFont="1" applyBorder="1" applyAlignment="1">
      <alignment horizontal="left"/>
    </xf>
    <xf numFmtId="0" fontId="22" fillId="0" borderId="72" xfId="0" applyFont="1" applyBorder="1" applyAlignment="1">
      <alignment horizontal="left"/>
    </xf>
    <xf numFmtId="167" fontId="22" fillId="0" borderId="73" xfId="2" applyNumberFormat="1" applyFont="1" applyFill="1" applyBorder="1" applyAlignment="1">
      <alignment horizontal="right" vertical="center"/>
    </xf>
    <xf numFmtId="0" fontId="22" fillId="0" borderId="73" xfId="0" applyFont="1" applyBorder="1" applyAlignment="1">
      <alignment horizontal="center"/>
    </xf>
    <xf numFmtId="165" fontId="22" fillId="0" borderId="73" xfId="1" applyFont="1" applyFill="1" applyBorder="1"/>
    <xf numFmtId="165" fontId="22" fillId="0" borderId="74" xfId="1" applyFont="1" applyFill="1" applyBorder="1"/>
    <xf numFmtId="165" fontId="21" fillId="6" borderId="61" xfId="1" applyFont="1" applyFill="1" applyBorder="1" applyAlignment="1">
      <alignment horizontal="center" vertical="center" wrapText="1"/>
    </xf>
    <xf numFmtId="165" fontId="21" fillId="13" borderId="46" xfId="1" applyFont="1" applyFill="1" applyBorder="1" applyAlignment="1">
      <alignment horizontal="center" vertical="center" wrapText="1"/>
    </xf>
    <xf numFmtId="165" fontId="21" fillId="12" borderId="59" xfId="1" applyFont="1" applyFill="1" applyBorder="1" applyAlignment="1">
      <alignment horizontal="center" vertical="center" wrapText="1"/>
    </xf>
    <xf numFmtId="165" fontId="21" fillId="12" borderId="46" xfId="1" applyFont="1" applyFill="1" applyBorder="1" applyAlignment="1">
      <alignment horizontal="center" vertical="center" wrapText="1"/>
    </xf>
    <xf numFmtId="165" fontId="21" fillId="0" borderId="33" xfId="1" applyFont="1" applyFill="1" applyBorder="1"/>
    <xf numFmtId="165" fontId="21" fillId="0" borderId="18" xfId="1" applyFont="1" applyFill="1" applyBorder="1" applyAlignment="1">
      <alignment vertical="center"/>
    </xf>
    <xf numFmtId="165" fontId="21" fillId="0" borderId="8" xfId="1" applyFont="1" applyFill="1" applyBorder="1" applyAlignment="1">
      <alignment vertical="center"/>
    </xf>
    <xf numFmtId="165" fontId="21" fillId="12" borderId="43" xfId="1" applyFont="1" applyFill="1" applyBorder="1" applyAlignment="1">
      <alignment horizontal="center" vertical="center" wrapText="1"/>
    </xf>
    <xf numFmtId="165" fontId="21" fillId="12" borderId="45" xfId="1" applyFont="1" applyFill="1" applyBorder="1" applyAlignment="1">
      <alignment horizontal="center" vertical="center" wrapText="1"/>
    </xf>
    <xf numFmtId="165" fontId="21" fillId="0" borderId="66" xfId="1" applyFont="1" applyFill="1" applyBorder="1"/>
    <xf numFmtId="165" fontId="22" fillId="9" borderId="67" xfId="1" applyFont="1" applyFill="1" applyBorder="1"/>
    <xf numFmtId="165" fontId="22" fillId="9" borderId="69" xfId="1" applyFont="1" applyFill="1" applyBorder="1"/>
    <xf numFmtId="165" fontId="21" fillId="13" borderId="60" xfId="1" applyFont="1" applyFill="1" applyBorder="1" applyAlignment="1">
      <alignment horizontal="center" vertical="center" wrapText="1"/>
    </xf>
    <xf numFmtId="165" fontId="21" fillId="13" borderId="61" xfId="1" applyFont="1" applyFill="1" applyBorder="1" applyAlignment="1">
      <alignment horizontal="center" vertical="center" wrapText="1"/>
    </xf>
    <xf numFmtId="165" fontId="21" fillId="13" borderId="45" xfId="1" applyFont="1" applyFill="1" applyBorder="1" applyAlignment="1">
      <alignment horizontal="center" vertical="center" wrapText="1"/>
    </xf>
    <xf numFmtId="165" fontId="21" fillId="0" borderId="61" xfId="1" applyFont="1" applyFill="1" applyBorder="1" applyAlignment="1">
      <alignment vertical="center"/>
    </xf>
    <xf numFmtId="165" fontId="22" fillId="0" borderId="67" xfId="1" applyFont="1" applyFill="1" applyBorder="1"/>
    <xf numFmtId="165" fontId="22" fillId="0" borderId="69" xfId="1" applyFont="1" applyFill="1" applyBorder="1"/>
    <xf numFmtId="165" fontId="21" fillId="15" borderId="61" xfId="1" applyFont="1" applyFill="1" applyBorder="1" applyAlignment="1">
      <alignment horizontal="center" vertical="center" wrapText="1"/>
    </xf>
    <xf numFmtId="165" fontId="21" fillId="15" borderId="46" xfId="1" applyFont="1" applyFill="1" applyBorder="1" applyAlignment="1">
      <alignment horizontal="center" vertical="center" wrapText="1"/>
    </xf>
    <xf numFmtId="165" fontId="24" fillId="0" borderId="22" xfId="1" applyFont="1" applyFill="1" applyBorder="1"/>
    <xf numFmtId="165" fontId="39" fillId="0" borderId="50" xfId="1" applyFont="1" applyFill="1" applyBorder="1" applyAlignment="1">
      <alignment vertical="center"/>
    </xf>
    <xf numFmtId="165" fontId="39" fillId="0" borderId="0" xfId="1" applyFont="1" applyFill="1" applyBorder="1" applyAlignment="1">
      <alignment vertical="center"/>
    </xf>
    <xf numFmtId="165" fontId="21" fillId="15" borderId="18" xfId="1" applyFont="1" applyFill="1" applyBorder="1" applyAlignment="1">
      <alignment horizontal="center" vertical="center" wrapText="1"/>
    </xf>
    <xf numFmtId="165" fontId="21" fillId="15" borderId="34" xfId="1" applyFont="1" applyFill="1" applyBorder="1" applyAlignment="1">
      <alignment horizontal="center" vertical="center" wrapText="1"/>
    </xf>
    <xf numFmtId="165" fontId="39" fillId="0" borderId="10" xfId="1" applyFont="1" applyFill="1" applyBorder="1" applyAlignment="1">
      <alignment vertical="center"/>
    </xf>
    <xf numFmtId="165" fontId="21" fillId="15" borderId="47" xfId="1" applyFont="1" applyFill="1" applyBorder="1" applyAlignment="1">
      <alignment horizontal="center" vertical="center" wrapText="1"/>
    </xf>
    <xf numFmtId="165" fontId="21" fillId="15" borderId="75" xfId="1" applyFont="1" applyFill="1" applyBorder="1" applyAlignment="1">
      <alignment horizontal="center" vertical="center" wrapText="1"/>
    </xf>
    <xf numFmtId="165" fontId="21" fillId="0" borderId="47" xfId="1" applyFont="1" applyFill="1" applyBorder="1" applyAlignment="1">
      <alignment vertical="center"/>
    </xf>
    <xf numFmtId="165" fontId="24" fillId="0" borderId="48" xfId="1" applyFont="1" applyFill="1" applyBorder="1" applyAlignment="1">
      <alignment vertical="center"/>
    </xf>
    <xf numFmtId="165" fontId="22" fillId="0" borderId="78" xfId="1" applyFont="1" applyFill="1" applyBorder="1"/>
    <xf numFmtId="165" fontId="22" fillId="0" borderId="79" xfId="1" applyFont="1" applyFill="1" applyBorder="1"/>
    <xf numFmtId="165" fontId="21" fillId="10" borderId="18" xfId="1" applyFont="1" applyFill="1" applyBorder="1" applyAlignment="1">
      <alignment horizontal="center" vertical="center" wrapText="1"/>
    </xf>
    <xf numFmtId="165" fontId="21" fillId="10" borderId="61" xfId="1" applyFont="1" applyFill="1" applyBorder="1" applyAlignment="1">
      <alignment horizontal="center" vertical="center" wrapText="1"/>
    </xf>
    <xf numFmtId="165" fontId="21" fillId="10" borderId="34" xfId="1" applyFont="1" applyFill="1" applyBorder="1" applyAlignment="1">
      <alignment horizontal="center" vertical="center" wrapText="1"/>
    </xf>
    <xf numFmtId="165" fontId="21" fillId="10" borderId="46" xfId="1" applyFont="1" applyFill="1" applyBorder="1" applyAlignment="1">
      <alignment horizontal="center" vertical="center" wrapText="1"/>
    </xf>
    <xf numFmtId="0" fontId="37" fillId="10" borderId="0" xfId="0" applyFont="1" applyFill="1" applyAlignment="1">
      <alignment horizontal="center" vertical="center" wrapText="1"/>
    </xf>
    <xf numFmtId="0" fontId="37" fillId="10" borderId="18" xfId="0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0" fontId="37" fillId="10" borderId="50" xfId="0" applyFont="1" applyFill="1" applyBorder="1" applyAlignment="1">
      <alignment horizontal="center" vertical="center" wrapText="1"/>
    </xf>
    <xf numFmtId="0" fontId="37" fillId="10" borderId="45" xfId="0" applyFont="1" applyFill="1" applyBorder="1" applyAlignment="1">
      <alignment horizontal="center" vertical="center" wrapText="1"/>
    </xf>
    <xf numFmtId="0" fontId="37" fillId="10" borderId="34" xfId="0" applyFont="1" applyFill="1" applyBorder="1" applyAlignment="1">
      <alignment horizontal="center" vertical="center" wrapText="1"/>
    </xf>
    <xf numFmtId="0" fontId="37" fillId="10" borderId="17" xfId="0" applyFont="1" applyFill="1" applyBorder="1" applyAlignment="1">
      <alignment horizontal="center" vertical="center" wrapText="1"/>
    </xf>
    <xf numFmtId="0" fontId="37" fillId="10" borderId="59" xfId="0" applyFont="1" applyFill="1" applyBorder="1" applyAlignment="1">
      <alignment horizontal="center" vertical="center" wrapText="1"/>
    </xf>
    <xf numFmtId="0" fontId="37" fillId="10" borderId="43" xfId="0" applyFont="1" applyFill="1" applyBorder="1" applyAlignment="1">
      <alignment horizontal="center" vertical="center"/>
    </xf>
    <xf numFmtId="0" fontId="37" fillId="10" borderId="17" xfId="0" applyFont="1" applyFill="1" applyBorder="1" applyAlignment="1">
      <alignment horizontal="center" vertical="center"/>
    </xf>
    <xf numFmtId="0" fontId="37" fillId="10" borderId="59" xfId="0" applyFont="1" applyFill="1" applyBorder="1" applyAlignment="1">
      <alignment horizontal="center" vertical="center"/>
    </xf>
    <xf numFmtId="0" fontId="21" fillId="0" borderId="0" xfId="3" applyFont="1"/>
    <xf numFmtId="0" fontId="21" fillId="0" borderId="0" xfId="3" applyFont="1" applyAlignment="1">
      <alignment horizontal="center"/>
    </xf>
    <xf numFmtId="0" fontId="21" fillId="0" borderId="0" xfId="3" applyFont="1" applyAlignment="1">
      <alignment horizontal="left"/>
    </xf>
    <xf numFmtId="165" fontId="22" fillId="10" borderId="34" xfId="4" applyFont="1" applyFill="1" applyBorder="1"/>
    <xf numFmtId="165" fontId="39" fillId="0" borderId="18" xfId="4" applyFont="1" applyFill="1" applyBorder="1" applyAlignment="1">
      <alignment vertical="center"/>
    </xf>
    <xf numFmtId="165" fontId="39" fillId="0" borderId="10" xfId="4" applyFont="1" applyFill="1" applyBorder="1" applyAlignment="1">
      <alignment vertical="center"/>
    </xf>
    <xf numFmtId="165" fontId="39" fillId="14" borderId="18" xfId="4" applyFont="1" applyFill="1" applyBorder="1" applyAlignment="1">
      <alignment vertical="center"/>
    </xf>
    <xf numFmtId="165" fontId="26" fillId="0" borderId="60" xfId="4" applyFont="1" applyFill="1" applyBorder="1" applyAlignment="1">
      <alignment vertical="center"/>
    </xf>
    <xf numFmtId="165" fontId="26" fillId="0" borderId="41" xfId="4" applyFont="1" applyFill="1" applyBorder="1" applyAlignment="1">
      <alignment vertical="center"/>
    </xf>
    <xf numFmtId="165" fontId="26" fillId="9" borderId="18" xfId="4" applyFont="1" applyFill="1" applyBorder="1" applyAlignment="1">
      <alignment vertical="center"/>
    </xf>
    <xf numFmtId="165" fontId="26" fillId="0" borderId="18" xfId="4" applyFont="1" applyFill="1" applyBorder="1" applyAlignment="1">
      <alignment vertical="center"/>
    </xf>
    <xf numFmtId="165" fontId="26" fillId="0" borderId="10" xfId="4" applyFont="1" applyFill="1" applyBorder="1" applyAlignment="1">
      <alignment vertical="center"/>
    </xf>
    <xf numFmtId="165" fontId="39" fillId="0" borderId="61" xfId="4" applyFont="1" applyFill="1" applyBorder="1" applyAlignment="1">
      <alignment vertical="center"/>
    </xf>
    <xf numFmtId="165" fontId="39" fillId="0" borderId="50" xfId="4" applyFont="1" applyFill="1" applyBorder="1" applyAlignment="1">
      <alignment vertical="center"/>
    </xf>
    <xf numFmtId="165" fontId="22" fillId="14" borderId="60" xfId="4" applyFont="1" applyFill="1" applyBorder="1" applyAlignment="1">
      <alignment vertical="center"/>
    </xf>
    <xf numFmtId="1" fontId="22" fillId="0" borderId="52" xfId="4" applyNumberFormat="1" applyFont="1" applyFill="1" applyBorder="1" applyAlignment="1">
      <alignment vertical="center"/>
    </xf>
    <xf numFmtId="0" fontId="21" fillId="5" borderId="43" xfId="3" applyFont="1" applyFill="1" applyBorder="1" applyAlignment="1">
      <alignment horizontal="center" vertical="center"/>
    </xf>
    <xf numFmtId="165" fontId="21" fillId="0" borderId="7" xfId="1" applyFont="1" applyFill="1" applyBorder="1"/>
    <xf numFmtId="165" fontId="24" fillId="0" borderId="24" xfId="1" applyFont="1" applyFill="1" applyBorder="1"/>
    <xf numFmtId="165" fontId="39" fillId="0" borderId="68" xfId="1" applyFont="1" applyFill="1" applyBorder="1"/>
    <xf numFmtId="165" fontId="39" fillId="0" borderId="73" xfId="1" applyFont="1" applyFill="1" applyBorder="1"/>
    <xf numFmtId="165" fontId="39" fillId="0" borderId="74" xfId="1" applyFont="1" applyFill="1" applyBorder="1"/>
    <xf numFmtId="165" fontId="21" fillId="0" borderId="11" xfId="0" applyNumberFormat="1" applyFont="1" applyBorder="1"/>
    <xf numFmtId="165" fontId="21" fillId="0" borderId="83" xfId="0" applyNumberFormat="1" applyFont="1" applyBorder="1"/>
    <xf numFmtId="165" fontId="21" fillId="0" borderId="84" xfId="0" applyNumberFormat="1" applyFont="1" applyBorder="1"/>
    <xf numFmtId="165" fontId="21" fillId="0" borderId="82" xfId="0" applyNumberFormat="1" applyFont="1" applyBorder="1"/>
    <xf numFmtId="165" fontId="21" fillId="9" borderId="85" xfId="0" applyNumberFormat="1" applyFont="1" applyFill="1" applyBorder="1"/>
    <xf numFmtId="165" fontId="24" fillId="0" borderId="0" xfId="1" applyFont="1" applyFill="1" applyBorder="1" applyAlignment="1">
      <alignment vertical="center"/>
    </xf>
    <xf numFmtId="165" fontId="22" fillId="0" borderId="1" xfId="1" applyFont="1" applyFill="1" applyBorder="1"/>
    <xf numFmtId="165" fontId="22" fillId="0" borderId="71" xfId="1" applyFont="1" applyFill="1" applyBorder="1"/>
    <xf numFmtId="165" fontId="21" fillId="0" borderId="85" xfId="0" applyNumberFormat="1" applyFont="1" applyBorder="1"/>
    <xf numFmtId="165" fontId="21" fillId="10" borderId="8" xfId="1" applyFont="1" applyFill="1" applyBorder="1" applyAlignment="1">
      <alignment horizontal="center" vertical="center" wrapText="1"/>
    </xf>
    <xf numFmtId="165" fontId="21" fillId="10" borderId="2" xfId="1" applyFont="1" applyFill="1" applyBorder="1" applyAlignment="1">
      <alignment horizontal="center" vertical="center" wrapText="1"/>
    </xf>
    <xf numFmtId="165" fontId="21" fillId="0" borderId="84" xfId="0" applyNumberFormat="1" applyFont="1" applyBorder="1" applyAlignment="1">
      <alignment horizontal="right"/>
    </xf>
    <xf numFmtId="1" fontId="22" fillId="0" borderId="0" xfId="4" applyNumberFormat="1" applyFont="1" applyFill="1" applyBorder="1" applyAlignment="1">
      <alignment vertical="center"/>
    </xf>
    <xf numFmtId="0" fontId="21" fillId="0" borderId="60" xfId="3" applyFont="1" applyBorder="1" applyAlignment="1">
      <alignment horizontal="center"/>
    </xf>
    <xf numFmtId="0" fontId="21" fillId="0" borderId="41" xfId="3" applyFont="1" applyBorder="1" applyAlignment="1">
      <alignment horizontal="center"/>
    </xf>
    <xf numFmtId="0" fontId="21" fillId="0" borderId="41" xfId="3" applyFont="1" applyBorder="1"/>
    <xf numFmtId="0" fontId="21" fillId="0" borderId="62" xfId="3" applyFont="1" applyBorder="1"/>
    <xf numFmtId="0" fontId="21" fillId="0" borderId="54" xfId="3" applyFont="1" applyBorder="1" applyAlignment="1">
      <alignment horizontal="center"/>
    </xf>
    <xf numFmtId="0" fontId="0" fillId="5" borderId="8" xfId="0" applyFill="1" applyBorder="1"/>
    <xf numFmtId="165" fontId="21" fillId="5" borderId="3" xfId="4" applyFont="1" applyFill="1" applyBorder="1" applyAlignment="1">
      <alignment vertical="center"/>
    </xf>
    <xf numFmtId="165" fontId="21" fillId="5" borderId="44" xfId="4" applyFont="1" applyFill="1" applyBorder="1" applyAlignment="1">
      <alignment vertical="center"/>
    </xf>
    <xf numFmtId="0" fontId="37" fillId="13" borderId="16" xfId="0" applyFont="1" applyFill="1" applyBorder="1" applyAlignment="1">
      <alignment horizontal="center" vertical="center"/>
    </xf>
    <xf numFmtId="165" fontId="22" fillId="14" borderId="9" xfId="4" applyFont="1" applyFill="1" applyBorder="1" applyAlignment="1">
      <alignment vertical="center"/>
    </xf>
    <xf numFmtId="165" fontId="22" fillId="0" borderId="54" xfId="4" applyFont="1" applyFill="1" applyBorder="1" applyAlignment="1">
      <alignment vertical="center"/>
    </xf>
    <xf numFmtId="0" fontId="21" fillId="0" borderId="60" xfId="3" applyFont="1" applyBorder="1"/>
    <xf numFmtId="0" fontId="21" fillId="0" borderId="54" xfId="3" applyFont="1" applyBorder="1"/>
    <xf numFmtId="0" fontId="22" fillId="0" borderId="52" xfId="3" applyFont="1" applyBorder="1" applyAlignment="1">
      <alignment horizontal="center"/>
    </xf>
    <xf numFmtId="0" fontId="21" fillId="5" borderId="24" xfId="3" applyFont="1" applyFill="1" applyBorder="1" applyAlignment="1">
      <alignment horizontal="center" vertical="center"/>
    </xf>
    <xf numFmtId="0" fontId="21" fillId="5" borderId="10" xfId="4" applyNumberFormat="1" applyFont="1" applyFill="1" applyBorder="1" applyAlignment="1">
      <alignment horizontal="center" vertical="center"/>
    </xf>
    <xf numFmtId="0" fontId="21" fillId="5" borderId="86" xfId="3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/>
    </xf>
    <xf numFmtId="0" fontId="21" fillId="0" borderId="89" xfId="3" applyFont="1" applyBorder="1" applyAlignment="1">
      <alignment horizontal="left" vertical="center" indent="1"/>
    </xf>
    <xf numFmtId="0" fontId="21" fillId="0" borderId="91" xfId="0" applyFont="1" applyBorder="1" applyAlignment="1">
      <alignment horizontal="center"/>
    </xf>
    <xf numFmtId="0" fontId="20" fillId="0" borderId="92" xfId="0" applyFont="1" applyBorder="1" applyAlignment="1">
      <alignment horizontal="left"/>
    </xf>
    <xf numFmtId="0" fontId="21" fillId="0" borderId="93" xfId="0" applyFont="1" applyBorder="1" applyAlignment="1">
      <alignment horizontal="left"/>
    </xf>
    <xf numFmtId="0" fontId="21" fillId="0" borderId="94" xfId="0" applyFont="1" applyBorder="1" applyAlignment="1">
      <alignment horizontal="left"/>
    </xf>
    <xf numFmtId="0" fontId="21" fillId="0" borderId="95" xfId="0" applyFont="1" applyBorder="1" applyAlignment="1">
      <alignment horizontal="center"/>
    </xf>
    <xf numFmtId="165" fontId="21" fillId="0" borderId="95" xfId="1" applyFont="1" applyFill="1" applyBorder="1"/>
    <xf numFmtId="165" fontId="21" fillId="0" borderId="96" xfId="1" applyFont="1" applyFill="1" applyBorder="1"/>
    <xf numFmtId="165" fontId="21" fillId="0" borderId="92" xfId="1" applyFont="1" applyFill="1" applyBorder="1"/>
    <xf numFmtId="165" fontId="21" fillId="0" borderId="94" xfId="1" applyFont="1" applyFill="1" applyBorder="1"/>
    <xf numFmtId="165" fontId="21" fillId="0" borderId="91" xfId="1" applyFont="1" applyFill="1" applyBorder="1"/>
    <xf numFmtId="0" fontId="21" fillId="5" borderId="75" xfId="3" applyFont="1" applyFill="1" applyBorder="1" applyAlignment="1">
      <alignment horizontal="center" vertical="center"/>
    </xf>
    <xf numFmtId="0" fontId="22" fillId="0" borderId="41" xfId="3" applyFont="1" applyBorder="1" applyAlignment="1">
      <alignment horizontal="center"/>
    </xf>
    <xf numFmtId="0" fontId="22" fillId="0" borderId="41" xfId="3" applyFont="1" applyBorder="1"/>
    <xf numFmtId="0" fontId="22" fillId="0" borderId="62" xfId="3" applyFont="1" applyBorder="1"/>
    <xf numFmtId="0" fontId="21" fillId="0" borderId="97" xfId="3" applyFont="1" applyBorder="1" applyAlignment="1">
      <alignment horizontal="left" vertical="center"/>
    </xf>
    <xf numFmtId="0" fontId="22" fillId="16" borderId="4" xfId="3" applyFont="1" applyFill="1" applyBorder="1" applyAlignment="1">
      <alignment horizontal="center" vertical="center"/>
    </xf>
    <xf numFmtId="167" fontId="22" fillId="16" borderId="34" xfId="2" applyNumberFormat="1" applyFont="1" applyFill="1" applyBorder="1" applyAlignment="1">
      <alignment vertical="center"/>
    </xf>
    <xf numFmtId="0" fontId="22" fillId="16" borderId="2" xfId="3" applyFont="1" applyFill="1" applyBorder="1" applyAlignment="1">
      <alignment horizontal="center" vertical="center"/>
    </xf>
    <xf numFmtId="0" fontId="22" fillId="16" borderId="4" xfId="3" applyFont="1" applyFill="1" applyBorder="1" applyAlignment="1">
      <alignment horizontal="left" vertical="center" indent="1"/>
    </xf>
    <xf numFmtId="0" fontId="22" fillId="16" borderId="2" xfId="3" applyFont="1" applyFill="1" applyBorder="1" applyAlignment="1">
      <alignment vertical="center"/>
    </xf>
    <xf numFmtId="0" fontId="20" fillId="0" borderId="95" xfId="0" applyFont="1" applyBorder="1" applyAlignment="1">
      <alignment horizontal="left"/>
    </xf>
    <xf numFmtId="0" fontId="21" fillId="0" borderId="95" xfId="0" applyFont="1" applyBorder="1" applyAlignment="1">
      <alignment horizontal="left"/>
    </xf>
    <xf numFmtId="165" fontId="21" fillId="0" borderId="95" xfId="0" applyNumberFormat="1" applyFont="1" applyBorder="1" applyAlignment="1">
      <alignment horizontal="center"/>
    </xf>
    <xf numFmtId="0" fontId="22" fillId="0" borderId="98" xfId="0" applyFont="1" applyBorder="1" applyAlignment="1">
      <alignment horizontal="center"/>
    </xf>
    <xf numFmtId="165" fontId="22" fillId="0" borderId="99" xfId="1" applyFont="1" applyBorder="1" applyAlignment="1">
      <alignment horizontal="right"/>
    </xf>
    <xf numFmtId="165" fontId="21" fillId="0" borderId="100" xfId="0" applyNumberFormat="1" applyFont="1" applyBorder="1"/>
    <xf numFmtId="0" fontId="0" fillId="5" borderId="0" xfId="0" applyFill="1"/>
    <xf numFmtId="0" fontId="0" fillId="5" borderId="42" xfId="0" applyFill="1" applyBorder="1"/>
    <xf numFmtId="0" fontId="22" fillId="0" borderId="62" xfId="3" applyFont="1" applyBorder="1" applyAlignment="1">
      <alignment horizontal="center"/>
    </xf>
    <xf numFmtId="0" fontId="22" fillId="0" borderId="54" xfId="3" applyFont="1" applyBorder="1" applyAlignment="1">
      <alignment vertical="center"/>
    </xf>
    <xf numFmtId="0" fontId="22" fillId="0" borderId="89" xfId="3" applyFont="1" applyBorder="1" applyAlignment="1">
      <alignment horizontal="center" vertical="center"/>
    </xf>
    <xf numFmtId="167" fontId="22" fillId="0" borderId="77" xfId="5" applyNumberFormat="1" applyFont="1" applyFill="1" applyBorder="1" applyAlignment="1">
      <alignment horizontal="center" vertical="center"/>
    </xf>
    <xf numFmtId="0" fontId="21" fillId="0" borderId="77" xfId="3" applyFont="1" applyBorder="1" applyAlignment="1">
      <alignment horizontal="center" vertical="center"/>
    </xf>
    <xf numFmtId="0" fontId="22" fillId="0" borderId="97" xfId="3" applyFont="1" applyBorder="1" applyAlignment="1">
      <alignment vertical="center"/>
    </xf>
    <xf numFmtId="0" fontId="22" fillId="16" borderId="4" xfId="3" applyFont="1" applyFill="1" applyBorder="1"/>
    <xf numFmtId="0" fontId="22" fillId="16" borderId="34" xfId="3" applyFont="1" applyFill="1" applyBorder="1" applyAlignment="1">
      <alignment horizontal="center" vertical="center"/>
    </xf>
    <xf numFmtId="165" fontId="21" fillId="13" borderId="2" xfId="1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center" vertical="center"/>
    </xf>
    <xf numFmtId="165" fontId="24" fillId="0" borderId="67" xfId="1" applyFont="1" applyFill="1" applyBorder="1"/>
    <xf numFmtId="0" fontId="24" fillId="16" borderId="0" xfId="0" applyFont="1" applyFill="1"/>
    <xf numFmtId="0" fontId="22" fillId="16" borderId="4" xfId="3" applyFont="1" applyFill="1" applyBorder="1" applyAlignment="1">
      <alignment vertical="center"/>
    </xf>
    <xf numFmtId="0" fontId="22" fillId="17" borderId="34" xfId="3" applyFont="1" applyFill="1" applyBorder="1"/>
    <xf numFmtId="0" fontId="22" fillId="17" borderId="34" xfId="3" applyFont="1" applyFill="1" applyBorder="1" applyAlignment="1">
      <alignment horizontal="center" vertical="center"/>
    </xf>
    <xf numFmtId="0" fontId="22" fillId="17" borderId="4" xfId="3" applyFont="1" applyFill="1" applyBorder="1" applyAlignment="1">
      <alignment horizontal="left" vertical="center" indent="1"/>
    </xf>
    <xf numFmtId="0" fontId="22" fillId="17" borderId="2" xfId="3" applyFont="1" applyFill="1" applyBorder="1"/>
    <xf numFmtId="0" fontId="24" fillId="17" borderId="0" xfId="0" applyFont="1" applyFill="1"/>
    <xf numFmtId="167" fontId="22" fillId="17" borderId="34" xfId="2" applyNumberFormat="1" applyFont="1" applyFill="1" applyBorder="1"/>
    <xf numFmtId="0" fontId="22" fillId="0" borderId="60" xfId="3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/>
    </xf>
    <xf numFmtId="167" fontId="22" fillId="0" borderId="0" xfId="5" applyNumberFormat="1" applyFont="1" applyFill="1" applyBorder="1" applyAlignment="1">
      <alignment horizontal="center" vertical="center"/>
    </xf>
    <xf numFmtId="0" fontId="22" fillId="0" borderId="77" xfId="3" applyFont="1" applyBorder="1" applyAlignment="1">
      <alignment horizontal="center" vertical="center"/>
    </xf>
    <xf numFmtId="165" fontId="39" fillId="0" borderId="24" xfId="4" applyFont="1" applyFill="1" applyBorder="1" applyAlignment="1">
      <alignment vertical="center"/>
    </xf>
    <xf numFmtId="0" fontId="26" fillId="5" borderId="10" xfId="3" quotePrefix="1" applyFont="1" applyFill="1" applyBorder="1" applyAlignment="1">
      <alignment horizontal="center" vertical="center"/>
    </xf>
    <xf numFmtId="0" fontId="26" fillId="5" borderId="0" xfId="3" applyFont="1" applyFill="1" applyAlignment="1">
      <alignment vertical="center"/>
    </xf>
    <xf numFmtId="0" fontId="24" fillId="5" borderId="0" xfId="3" applyFont="1" applyFill="1" applyAlignment="1">
      <alignment vertical="center"/>
    </xf>
    <xf numFmtId="0" fontId="20" fillId="0" borderId="93" xfId="0" applyFont="1" applyBorder="1" applyAlignment="1">
      <alignment horizontal="left" vertical="center"/>
    </xf>
    <xf numFmtId="0" fontId="22" fillId="0" borderId="93" xfId="0" applyFont="1" applyBorder="1" applyAlignment="1">
      <alignment horizontal="left" vertical="center"/>
    </xf>
    <xf numFmtId="0" fontId="22" fillId="0" borderId="94" xfId="0" applyFont="1" applyBorder="1" applyAlignment="1">
      <alignment horizontal="left" vertical="center"/>
    </xf>
    <xf numFmtId="0" fontId="22" fillId="0" borderId="92" xfId="0" applyFont="1" applyBorder="1" applyAlignment="1">
      <alignment horizontal="right" vertical="center"/>
    </xf>
    <xf numFmtId="0" fontId="22" fillId="0" borderId="95" xfId="0" applyFont="1" applyBorder="1" applyAlignment="1">
      <alignment horizontal="center"/>
    </xf>
    <xf numFmtId="0" fontId="22" fillId="0" borderId="94" xfId="0" applyFont="1" applyBorder="1" applyAlignment="1">
      <alignment horizontal="right"/>
    </xf>
    <xf numFmtId="0" fontId="22" fillId="0" borderId="96" xfId="0" applyFont="1" applyBorder="1" applyAlignment="1">
      <alignment horizontal="right"/>
    </xf>
    <xf numFmtId="165" fontId="22" fillId="0" borderId="99" xfId="1" applyFont="1" applyFill="1" applyBorder="1"/>
    <xf numFmtId="0" fontId="21" fillId="0" borderId="67" xfId="0" applyFont="1" applyBorder="1" applyAlignment="1">
      <alignment horizontal="center"/>
    </xf>
    <xf numFmtId="0" fontId="22" fillId="0" borderId="68" xfId="0" applyFont="1" applyBorder="1" applyAlignment="1">
      <alignment horizontal="right"/>
    </xf>
    <xf numFmtId="165" fontId="21" fillId="0" borderId="68" xfId="1" applyFont="1" applyFill="1" applyBorder="1"/>
    <xf numFmtId="165" fontId="22" fillId="0" borderId="68" xfId="1" applyFont="1" applyFill="1" applyBorder="1" applyAlignment="1">
      <alignment horizontal="right"/>
    </xf>
    <xf numFmtId="165" fontId="22" fillId="0" borderId="68" xfId="1" applyFont="1" applyFill="1" applyBorder="1" applyAlignment="1">
      <alignment vertical="center" wrapText="1"/>
    </xf>
    <xf numFmtId="0" fontId="21" fillId="0" borderId="98" xfId="0" applyFont="1" applyBorder="1" applyAlignment="1">
      <alignment horizontal="center"/>
    </xf>
    <xf numFmtId="0" fontId="22" fillId="0" borderId="91" xfId="0" applyFont="1" applyBorder="1" applyAlignment="1">
      <alignment horizontal="right"/>
    </xf>
    <xf numFmtId="0" fontId="22" fillId="0" borderId="95" xfId="0" applyFont="1" applyBorder="1" applyAlignment="1">
      <alignment horizontal="right"/>
    </xf>
    <xf numFmtId="165" fontId="22" fillId="9" borderId="98" xfId="1" applyFont="1" applyFill="1" applyBorder="1"/>
    <xf numFmtId="165" fontId="22" fillId="0" borderId="98" xfId="1" applyFont="1" applyFill="1" applyBorder="1"/>
    <xf numFmtId="0" fontId="21" fillId="5" borderId="0" xfId="3" applyFont="1" applyFill="1" applyAlignment="1">
      <alignment horizontal="center"/>
    </xf>
    <xf numFmtId="0" fontId="22" fillId="0" borderId="60" xfId="3" applyFont="1" applyBorder="1" applyAlignment="1">
      <alignment vertical="center"/>
    </xf>
    <xf numFmtId="0" fontId="22" fillId="0" borderId="41" xfId="3" applyFont="1" applyBorder="1" applyAlignment="1">
      <alignment vertical="center"/>
    </xf>
    <xf numFmtId="170" fontId="22" fillId="16" borderId="2" xfId="2" applyNumberFormat="1" applyFont="1" applyFill="1" applyBorder="1" applyAlignment="1">
      <alignment vertical="center"/>
    </xf>
    <xf numFmtId="0" fontId="22" fillId="16" borderId="2" xfId="3" applyFont="1" applyFill="1" applyBorder="1" applyAlignment="1">
      <alignment horizontal="left" vertical="center" indent="1"/>
    </xf>
    <xf numFmtId="0" fontId="22" fillId="0" borderId="6" xfId="3" applyFont="1" applyBorder="1" applyAlignment="1">
      <alignment horizontal="center"/>
    </xf>
    <xf numFmtId="170" fontId="22" fillId="0" borderId="13" xfId="2" applyNumberFormat="1" applyFont="1" applyFill="1" applyBorder="1" applyAlignment="1">
      <alignment vertical="center"/>
    </xf>
    <xf numFmtId="0" fontId="22" fillId="0" borderId="6" xfId="3" applyFont="1" applyBorder="1" applyAlignment="1">
      <alignment horizontal="center" vertical="center"/>
    </xf>
    <xf numFmtId="0" fontId="22" fillId="0" borderId="25" xfId="3" applyFont="1" applyBorder="1" applyAlignment="1">
      <alignment horizontal="left" vertical="center" indent="1"/>
    </xf>
    <xf numFmtId="0" fontId="22" fillId="0" borderId="6" xfId="3" applyFont="1" applyBorder="1" applyAlignment="1">
      <alignment vertical="center"/>
    </xf>
    <xf numFmtId="0" fontId="22" fillId="0" borderId="4" xfId="3" applyFont="1" applyBorder="1" applyAlignment="1">
      <alignment horizontal="center"/>
    </xf>
    <xf numFmtId="0" fontId="22" fillId="0" borderId="60" xfId="3" applyFont="1" applyBorder="1"/>
    <xf numFmtId="0" fontId="22" fillId="16" borderId="0" xfId="3" applyFont="1" applyFill="1" applyAlignment="1">
      <alignment horizontal="center"/>
    </xf>
    <xf numFmtId="170" fontId="22" fillId="16" borderId="10" xfId="2" applyNumberFormat="1" applyFont="1" applyFill="1" applyBorder="1" applyAlignment="1">
      <alignment vertical="center"/>
    </xf>
    <xf numFmtId="0" fontId="22" fillId="16" borderId="0" xfId="3" applyFont="1" applyFill="1" applyAlignment="1">
      <alignment horizontal="center" vertical="center"/>
    </xf>
    <xf numFmtId="0" fontId="22" fillId="16" borderId="24" xfId="3" applyFont="1" applyFill="1" applyBorder="1" applyAlignment="1">
      <alignment horizontal="left" vertical="center" indent="1"/>
    </xf>
    <xf numFmtId="0" fontId="22" fillId="16" borderId="0" xfId="3" applyFont="1" applyFill="1" applyAlignment="1">
      <alignment vertical="center"/>
    </xf>
    <xf numFmtId="0" fontId="22" fillId="5" borderId="10" xfId="3" applyFont="1" applyFill="1" applyBorder="1" applyAlignment="1">
      <alignment horizontal="center" vertical="center"/>
    </xf>
    <xf numFmtId="0" fontId="21" fillId="5" borderId="26" xfId="3" applyFont="1" applyFill="1" applyBorder="1" applyAlignment="1">
      <alignment vertical="center"/>
    </xf>
    <xf numFmtId="167" fontId="22" fillId="16" borderId="10" xfId="2" applyNumberFormat="1" applyFont="1" applyFill="1" applyBorder="1" applyAlignment="1">
      <alignment vertical="center"/>
    </xf>
    <xf numFmtId="0" fontId="22" fillId="16" borderId="10" xfId="3" applyFont="1" applyFill="1" applyBorder="1" applyAlignment="1">
      <alignment horizontal="center" vertical="center"/>
    </xf>
    <xf numFmtId="0" fontId="22" fillId="16" borderId="0" xfId="3" applyFont="1" applyFill="1" applyAlignment="1">
      <alignment horizontal="left" vertical="center" indent="1"/>
    </xf>
    <xf numFmtId="165" fontId="22" fillId="9" borderId="14" xfId="1" applyFont="1" applyFill="1" applyBorder="1"/>
    <xf numFmtId="167" fontId="22" fillId="0" borderId="95" xfId="2" applyNumberFormat="1" applyFont="1" applyFill="1" applyBorder="1" applyAlignment="1">
      <alignment horizontal="right"/>
    </xf>
    <xf numFmtId="167" fontId="22" fillId="0" borderId="95" xfId="2" applyNumberFormat="1" applyFont="1" applyFill="1" applyBorder="1" applyAlignment="1">
      <alignment horizontal="right" vertical="center"/>
    </xf>
    <xf numFmtId="165" fontId="22" fillId="0" borderId="96" xfId="1" applyFont="1" applyFill="1" applyBorder="1" applyAlignment="1">
      <alignment horizontal="right"/>
    </xf>
    <xf numFmtId="165" fontId="22" fillId="0" borderId="91" xfId="1" applyFont="1" applyFill="1" applyBorder="1" applyAlignment="1">
      <alignment horizontal="right"/>
    </xf>
    <xf numFmtId="165" fontId="22" fillId="0" borderId="95" xfId="1" applyFont="1" applyFill="1" applyBorder="1" applyAlignment="1">
      <alignment horizontal="right"/>
    </xf>
    <xf numFmtId="0" fontId="22" fillId="0" borderId="2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165" fontId="22" fillId="0" borderId="99" xfId="1" applyFont="1" applyFill="1" applyBorder="1" applyAlignment="1">
      <alignment horizontal="right"/>
    </xf>
    <xf numFmtId="0" fontId="22" fillId="0" borderId="21" xfId="3" applyFont="1" applyBorder="1"/>
    <xf numFmtId="170" fontId="22" fillId="0" borderId="6" xfId="6" applyNumberFormat="1" applyFont="1" applyFill="1" applyBorder="1" applyAlignment="1">
      <alignment vertical="center"/>
    </xf>
    <xf numFmtId="0" fontId="21" fillId="0" borderId="41" xfId="3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/>
    </xf>
    <xf numFmtId="0" fontId="22" fillId="0" borderId="97" xfId="3" applyFont="1" applyBorder="1" applyAlignment="1">
      <alignment horizontal="center" vertical="center"/>
    </xf>
    <xf numFmtId="0" fontId="22" fillId="16" borderId="15" xfId="3" applyFont="1" applyFill="1" applyBorder="1"/>
    <xf numFmtId="0" fontId="22" fillId="16" borderId="15" xfId="3" applyFont="1" applyFill="1" applyBorder="1" applyAlignment="1">
      <alignment horizontal="center" vertical="center"/>
    </xf>
    <xf numFmtId="0" fontId="22" fillId="16" borderId="1" xfId="3" applyFont="1" applyFill="1" applyBorder="1" applyAlignment="1">
      <alignment vertical="center"/>
    </xf>
    <xf numFmtId="167" fontId="22" fillId="16" borderId="1" xfId="6" applyNumberFormat="1" applyFont="1" applyFill="1" applyBorder="1" applyAlignment="1">
      <alignment vertical="center"/>
    </xf>
    <xf numFmtId="0" fontId="22" fillId="16" borderId="10" xfId="3" applyFont="1" applyFill="1" applyBorder="1"/>
    <xf numFmtId="167" fontId="22" fillId="16" borderId="0" xfId="6" applyNumberFormat="1" applyFont="1" applyFill="1" applyBorder="1" applyAlignment="1">
      <alignment vertical="center"/>
    </xf>
    <xf numFmtId="170" fontId="22" fillId="16" borderId="0" xfId="6" applyNumberFormat="1" applyFont="1" applyFill="1" applyBorder="1" applyAlignment="1">
      <alignment vertical="center"/>
    </xf>
    <xf numFmtId="170" fontId="22" fillId="0" borderId="19" xfId="6" applyNumberFormat="1" applyFont="1" applyFill="1" applyBorder="1" applyAlignment="1">
      <alignment vertical="center"/>
    </xf>
    <xf numFmtId="170" fontId="22" fillId="16" borderId="1" xfId="6" applyNumberFormat="1" applyFont="1" applyFill="1" applyBorder="1" applyAlignment="1">
      <alignment vertical="center"/>
    </xf>
    <xf numFmtId="0" fontId="21" fillId="0" borderId="92" xfId="0" applyFont="1" applyBorder="1" applyAlignment="1">
      <alignment horizontal="center"/>
    </xf>
    <xf numFmtId="0" fontId="21" fillId="0" borderId="96" xfId="0" applyFont="1" applyBorder="1" applyAlignment="1">
      <alignment horizontal="center"/>
    </xf>
    <xf numFmtId="167" fontId="22" fillId="0" borderId="3" xfId="6" applyNumberFormat="1" applyFont="1" applyFill="1" applyBorder="1" applyAlignment="1">
      <alignment vertical="center"/>
    </xf>
    <xf numFmtId="0" fontId="21" fillId="0" borderId="41" xfId="3" applyFont="1" applyBorder="1" applyAlignment="1">
      <alignment vertical="center"/>
    </xf>
    <xf numFmtId="0" fontId="21" fillId="0" borderId="62" xfId="3" applyFont="1" applyBorder="1" applyAlignment="1">
      <alignment vertical="center"/>
    </xf>
    <xf numFmtId="0" fontId="21" fillId="5" borderId="43" xfId="3" applyFont="1" applyFill="1" applyBorder="1" applyAlignment="1">
      <alignment horizontal="center"/>
    </xf>
    <xf numFmtId="0" fontId="21" fillId="0" borderId="60" xfId="3" applyFont="1" applyBorder="1" applyAlignment="1">
      <alignment vertical="center"/>
    </xf>
    <xf numFmtId="167" fontId="22" fillId="16" borderId="34" xfId="5" applyNumberFormat="1" applyFont="1" applyFill="1" applyBorder="1" applyAlignment="1">
      <alignment vertical="center"/>
    </xf>
    <xf numFmtId="0" fontId="22" fillId="17" borderId="4" xfId="3" applyFont="1" applyFill="1" applyBorder="1" applyAlignment="1">
      <alignment vertical="center"/>
    </xf>
    <xf numFmtId="167" fontId="22" fillId="17" borderId="34" xfId="5" applyNumberFormat="1" applyFont="1" applyFill="1" applyBorder="1" applyAlignment="1">
      <alignment vertical="center"/>
    </xf>
    <xf numFmtId="0" fontId="22" fillId="17" borderId="2" xfId="3" applyFont="1" applyFill="1" applyBorder="1" applyAlignment="1">
      <alignment horizontal="center" vertical="center"/>
    </xf>
    <xf numFmtId="0" fontId="22" fillId="17" borderId="2" xfId="3" applyFont="1" applyFill="1" applyBorder="1" applyAlignment="1">
      <alignment vertical="center"/>
    </xf>
    <xf numFmtId="0" fontId="22" fillId="16" borderId="26" xfId="3" applyFont="1" applyFill="1" applyBorder="1" applyAlignment="1">
      <alignment vertical="center"/>
    </xf>
    <xf numFmtId="0" fontId="22" fillId="16" borderId="3" xfId="3" applyFont="1" applyFill="1" applyBorder="1" applyAlignment="1">
      <alignment vertical="center"/>
    </xf>
    <xf numFmtId="0" fontId="22" fillId="0" borderId="102" xfId="3" applyFont="1" applyBorder="1" applyAlignment="1">
      <alignment horizontal="center" vertical="center"/>
    </xf>
    <xf numFmtId="170" fontId="22" fillId="0" borderId="97" xfId="3" applyNumberFormat="1" applyFont="1" applyBorder="1" applyAlignment="1">
      <alignment horizontal="center" vertical="center"/>
    </xf>
    <xf numFmtId="165" fontId="22" fillId="0" borderId="13" xfId="1" applyFont="1" applyFill="1" applyBorder="1" applyAlignment="1">
      <alignment horizontal="right"/>
    </xf>
    <xf numFmtId="0" fontId="22" fillId="16" borderId="34" xfId="3" applyFont="1" applyFill="1" applyBorder="1"/>
    <xf numFmtId="167" fontId="22" fillId="16" borderId="4" xfId="6" applyNumberFormat="1" applyFont="1" applyFill="1" applyBorder="1" applyAlignment="1">
      <alignment vertical="center"/>
    </xf>
    <xf numFmtId="171" fontId="22" fillId="16" borderId="4" xfId="6" applyNumberFormat="1" applyFont="1" applyFill="1" applyBorder="1" applyAlignment="1">
      <alignment vertical="center"/>
    </xf>
    <xf numFmtId="171" fontId="22" fillId="16" borderId="34" xfId="6" applyNumberFormat="1" applyFont="1" applyFill="1" applyBorder="1" applyAlignment="1">
      <alignment vertical="center"/>
    </xf>
    <xf numFmtId="171" fontId="22" fillId="0" borderId="2" xfId="6" applyNumberFormat="1" applyFont="1" applyFill="1" applyBorder="1" applyAlignment="1">
      <alignment vertical="center"/>
    </xf>
    <xf numFmtId="0" fontId="21" fillId="5" borderId="10" xfId="3" applyFont="1" applyFill="1" applyBorder="1" applyAlignment="1">
      <alignment horizontal="right" vertical="center"/>
    </xf>
    <xf numFmtId="0" fontId="22" fillId="0" borderId="53" xfId="3" applyFont="1" applyBorder="1" applyAlignment="1">
      <alignment vertical="center"/>
    </xf>
    <xf numFmtId="170" fontId="22" fillId="16" borderId="34" xfId="6" applyNumberFormat="1" applyFont="1" applyFill="1" applyBorder="1" applyAlignment="1">
      <alignment vertical="center"/>
    </xf>
    <xf numFmtId="170" fontId="22" fillId="16" borderId="17" xfId="6" applyNumberFormat="1" applyFont="1" applyFill="1" applyBorder="1" applyAlignment="1">
      <alignment vertical="center"/>
    </xf>
    <xf numFmtId="0" fontId="21" fillId="0" borderId="91" xfId="0" applyFont="1" applyBorder="1" applyAlignment="1">
      <alignment horizontal="center" vertical="center" wrapText="1"/>
    </xf>
    <xf numFmtId="165" fontId="21" fillId="0" borderId="96" xfId="1" applyFont="1" applyFill="1" applyBorder="1" applyAlignment="1">
      <alignment horizontal="center"/>
    </xf>
    <xf numFmtId="165" fontId="21" fillId="0" borderId="91" xfId="1" applyFont="1" applyFill="1" applyBorder="1" applyAlignment="1">
      <alignment horizontal="center"/>
    </xf>
    <xf numFmtId="165" fontId="21" fillId="0" borderId="95" xfId="1" applyFont="1" applyFill="1" applyBorder="1" applyAlignment="1">
      <alignment horizontal="center"/>
    </xf>
    <xf numFmtId="0" fontId="21" fillId="0" borderId="92" xfId="0" applyFont="1" applyBorder="1"/>
    <xf numFmtId="0" fontId="22" fillId="0" borderId="93" xfId="0" applyFont="1" applyBorder="1"/>
    <xf numFmtId="0" fontId="22" fillId="0" borderId="94" xfId="0" applyFont="1" applyBorder="1"/>
    <xf numFmtId="0" fontId="22" fillId="0" borderId="95" xfId="0" applyFont="1" applyBorder="1"/>
    <xf numFmtId="165" fontId="22" fillId="0" borderId="95" xfId="1" applyFont="1" applyFill="1" applyBorder="1"/>
    <xf numFmtId="165" fontId="22" fillId="0" borderId="68" xfId="1" applyFont="1" applyBorder="1"/>
    <xf numFmtId="165" fontId="22" fillId="0" borderId="96" xfId="1" applyFont="1" applyFill="1" applyBorder="1"/>
    <xf numFmtId="165" fontId="22" fillId="0" borderId="91" xfId="1" applyFont="1" applyFill="1" applyBorder="1"/>
    <xf numFmtId="0" fontId="22" fillId="0" borderId="25" xfId="0" applyFont="1" applyBorder="1"/>
    <xf numFmtId="0" fontId="22" fillId="0" borderId="6" xfId="0" applyFont="1" applyBorder="1"/>
    <xf numFmtId="165" fontId="22" fillId="0" borderId="12" xfId="1" applyFont="1" applyFill="1" applyBorder="1"/>
    <xf numFmtId="165" fontId="22" fillId="0" borderId="99" xfId="1" applyFont="1" applyBorder="1"/>
    <xf numFmtId="170" fontId="22" fillId="16" borderId="10" xfId="6" applyNumberFormat="1" applyFont="1" applyFill="1" applyBorder="1" applyAlignment="1">
      <alignment vertical="center"/>
    </xf>
    <xf numFmtId="0" fontId="22" fillId="16" borderId="24" xfId="3" applyFont="1" applyFill="1" applyBorder="1" applyAlignment="1">
      <alignment vertical="center"/>
    </xf>
    <xf numFmtId="0" fontId="22" fillId="5" borderId="87" xfId="3" applyFont="1" applyFill="1" applyBorder="1" applyAlignment="1">
      <alignment vertical="center"/>
    </xf>
    <xf numFmtId="0" fontId="22" fillId="0" borderId="87" xfId="3" applyFont="1" applyBorder="1" applyAlignment="1">
      <alignment vertical="center"/>
    </xf>
    <xf numFmtId="0" fontId="22" fillId="0" borderId="42" xfId="3" applyFont="1" applyBorder="1" applyAlignment="1">
      <alignment vertical="center"/>
    </xf>
    <xf numFmtId="0" fontId="21" fillId="0" borderId="87" xfId="3" applyFont="1" applyBorder="1" applyAlignment="1">
      <alignment vertical="center"/>
    </xf>
    <xf numFmtId="0" fontId="22" fillId="0" borderId="87" xfId="3" applyFont="1" applyBorder="1"/>
    <xf numFmtId="9" fontId="22" fillId="0" borderId="87" xfId="3" applyNumberFormat="1" applyFont="1" applyBorder="1" applyAlignment="1">
      <alignment vertical="center"/>
    </xf>
    <xf numFmtId="0" fontId="22" fillId="0" borderId="90" xfId="3" applyFont="1" applyBorder="1"/>
    <xf numFmtId="0" fontId="22" fillId="5" borderId="101" xfId="3" applyFont="1" applyFill="1" applyBorder="1" applyAlignment="1">
      <alignment vertical="center"/>
    </xf>
    <xf numFmtId="0" fontId="22" fillId="5" borderId="44" xfId="3" applyFont="1" applyFill="1" applyBorder="1"/>
    <xf numFmtId="0" fontId="22" fillId="0" borderId="44" xfId="3" applyFont="1" applyBorder="1" applyAlignment="1">
      <alignment vertical="center"/>
    </xf>
    <xf numFmtId="0" fontId="22" fillId="5" borderId="42" xfId="3" applyFont="1" applyFill="1" applyBorder="1" applyAlignment="1">
      <alignment vertical="center"/>
    </xf>
    <xf numFmtId="0" fontId="22" fillId="0" borderId="88" xfId="3" applyFont="1" applyBorder="1" applyAlignment="1">
      <alignment vertical="center"/>
    </xf>
    <xf numFmtId="0" fontId="22" fillId="16" borderId="87" xfId="3" applyFont="1" applyFill="1" applyBorder="1" applyAlignment="1">
      <alignment vertical="center"/>
    </xf>
    <xf numFmtId="0" fontId="22" fillId="5" borderId="44" xfId="3" applyFont="1" applyFill="1" applyBorder="1" applyAlignment="1">
      <alignment vertical="center"/>
    </xf>
    <xf numFmtId="0" fontId="22" fillId="17" borderId="87" xfId="3" applyFont="1" applyFill="1" applyBorder="1"/>
    <xf numFmtId="9" fontId="22" fillId="0" borderId="42" xfId="3" applyNumberFormat="1" applyFont="1" applyBorder="1" applyAlignment="1">
      <alignment vertical="center"/>
    </xf>
    <xf numFmtId="0" fontId="22" fillId="0" borderId="103" xfId="3" applyFont="1" applyBorder="1" applyAlignment="1">
      <alignment vertical="center"/>
    </xf>
    <xf numFmtId="0" fontId="22" fillId="0" borderId="87" xfId="3" applyFont="1" applyBorder="1" applyAlignment="1">
      <alignment horizontal="center" vertical="center"/>
    </xf>
    <xf numFmtId="0" fontId="22" fillId="0" borderId="104" xfId="3" applyFont="1" applyBorder="1" applyAlignment="1">
      <alignment vertical="center"/>
    </xf>
    <xf numFmtId="0" fontId="24" fillId="5" borderId="42" xfId="3" applyFont="1" applyFill="1" applyBorder="1" applyAlignment="1">
      <alignment vertical="center"/>
    </xf>
    <xf numFmtId="0" fontId="24" fillId="5" borderId="44" xfId="3" applyFont="1" applyFill="1" applyBorder="1" applyAlignment="1">
      <alignment vertical="center"/>
    </xf>
    <xf numFmtId="0" fontId="22" fillId="0" borderId="42" xfId="3" applyFont="1" applyBorder="1"/>
    <xf numFmtId="0" fontId="22" fillId="0" borderId="105" xfId="3" applyFont="1" applyBorder="1" applyAlignment="1">
      <alignment vertical="center"/>
    </xf>
    <xf numFmtId="0" fontId="22" fillId="16" borderId="42" xfId="3" applyFont="1" applyFill="1" applyBorder="1" applyAlignment="1">
      <alignment vertical="center"/>
    </xf>
    <xf numFmtId="0" fontId="22" fillId="0" borderId="106" xfId="3" applyFont="1" applyBorder="1" applyAlignment="1">
      <alignment vertical="center"/>
    </xf>
    <xf numFmtId="0" fontId="22" fillId="16" borderId="105" xfId="3" applyFont="1" applyFill="1" applyBorder="1" applyAlignment="1">
      <alignment vertical="center"/>
    </xf>
    <xf numFmtId="0" fontId="21" fillId="0" borderId="60" xfId="3" applyFont="1" applyBorder="1" applyAlignment="1">
      <alignment horizontal="center" vertical="center"/>
    </xf>
    <xf numFmtId="0" fontId="22" fillId="0" borderId="107" xfId="3" applyFont="1" applyBorder="1" applyAlignment="1">
      <alignment vertical="center"/>
    </xf>
    <xf numFmtId="0" fontId="22" fillId="5" borderId="42" xfId="3" applyFont="1" applyFill="1" applyBorder="1"/>
    <xf numFmtId="0" fontId="22" fillId="5" borderId="87" xfId="3" applyFont="1" applyFill="1" applyBorder="1"/>
    <xf numFmtId="0" fontId="21" fillId="0" borderId="44" xfId="3" applyFont="1" applyBorder="1" applyAlignment="1">
      <alignment vertical="center"/>
    </xf>
    <xf numFmtId="0" fontId="22" fillId="17" borderId="87" xfId="3" applyFont="1" applyFill="1" applyBorder="1" applyAlignment="1">
      <alignment vertical="center"/>
    </xf>
    <xf numFmtId="0" fontId="21" fillId="5" borderId="42" xfId="3" applyFont="1" applyFill="1" applyBorder="1" applyAlignment="1">
      <alignment vertical="center"/>
    </xf>
    <xf numFmtId="0" fontId="22" fillId="16" borderId="44" xfId="3" applyFont="1" applyFill="1" applyBorder="1" applyAlignment="1">
      <alignment vertical="center"/>
    </xf>
    <xf numFmtId="165" fontId="22" fillId="0" borderId="94" xfId="1" applyFont="1" applyFill="1" applyBorder="1" applyAlignment="1">
      <alignment horizontal="right"/>
    </xf>
    <xf numFmtId="0" fontId="21" fillId="0" borderId="94" xfId="0" applyFont="1" applyBorder="1" applyAlignment="1">
      <alignment horizontal="center"/>
    </xf>
    <xf numFmtId="165" fontId="21" fillId="0" borderId="94" xfId="1" applyFont="1" applyFill="1" applyBorder="1" applyAlignment="1">
      <alignment horizontal="center"/>
    </xf>
    <xf numFmtId="165" fontId="22" fillId="0" borderId="94" xfId="1" applyFont="1" applyFill="1" applyBorder="1"/>
    <xf numFmtId="165" fontId="21" fillId="9" borderId="18" xfId="1" applyFont="1" applyFill="1" applyBorder="1" applyAlignment="1">
      <alignment vertical="center"/>
    </xf>
    <xf numFmtId="165" fontId="24" fillId="9" borderId="10" xfId="1" applyFont="1" applyFill="1" applyBorder="1" applyAlignment="1">
      <alignment vertical="center"/>
    </xf>
    <xf numFmtId="165" fontId="21" fillId="9" borderId="82" xfId="0" applyNumberFormat="1" applyFont="1" applyFill="1" applyBorder="1"/>
    <xf numFmtId="165" fontId="21" fillId="9" borderId="83" xfId="0" applyNumberFormat="1" applyFont="1" applyFill="1" applyBorder="1"/>
    <xf numFmtId="165" fontId="22" fillId="9" borderId="12" xfId="1" applyFont="1" applyFill="1" applyBorder="1"/>
    <xf numFmtId="165" fontId="21" fillId="9" borderId="84" xfId="0" applyNumberFormat="1" applyFont="1" applyFill="1" applyBorder="1"/>
    <xf numFmtId="0" fontId="22" fillId="0" borderId="4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167" fontId="31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1" fillId="6" borderId="34" xfId="0" applyFont="1" applyFill="1" applyBorder="1" applyAlignment="1">
      <alignment horizontal="center" vertical="center"/>
    </xf>
    <xf numFmtId="167" fontId="21" fillId="6" borderId="34" xfId="2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right" vertical="center" wrapText="1"/>
    </xf>
    <xf numFmtId="0" fontId="21" fillId="0" borderId="2" xfId="0" applyFont="1" applyBorder="1" applyAlignment="1">
      <alignment horizontal="right" vertical="center" wrapText="1"/>
    </xf>
    <xf numFmtId="0" fontId="21" fillId="0" borderId="5" xfId="0" applyFont="1" applyBorder="1" applyAlignment="1">
      <alignment horizontal="right" vertical="center" wrapText="1"/>
    </xf>
    <xf numFmtId="0" fontId="25" fillId="2" borderId="0" xfId="0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165" fontId="21" fillId="6" borderId="18" xfId="1" applyFont="1" applyFill="1" applyBorder="1" applyAlignment="1">
      <alignment horizontal="center" vertical="center" wrapText="1"/>
    </xf>
    <xf numFmtId="165" fontId="21" fillId="6" borderId="10" xfId="1" applyFont="1" applyFill="1" applyBorder="1" applyAlignment="1">
      <alignment horizontal="center" vertical="center"/>
    </xf>
    <xf numFmtId="165" fontId="21" fillId="6" borderId="10" xfId="1" applyFont="1" applyFill="1" applyBorder="1" applyAlignment="1">
      <alignment horizontal="center" vertical="center" wrapText="1"/>
    </xf>
    <xf numFmtId="165" fontId="21" fillId="6" borderId="17" xfId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0" fontId="21" fillId="0" borderId="5" xfId="0" applyFont="1" applyBorder="1" applyAlignment="1">
      <alignment horizontal="right"/>
    </xf>
    <xf numFmtId="0" fontId="20" fillId="0" borderId="33" xfId="0" applyFont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22" fillId="0" borderId="22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 wrapText="1"/>
    </xf>
    <xf numFmtId="0" fontId="24" fillId="0" borderId="23" xfId="0" applyFont="1" applyBorder="1"/>
    <xf numFmtId="0" fontId="22" fillId="0" borderId="15" xfId="0" applyFont="1" applyBorder="1" applyAlignment="1">
      <alignment horizontal="left" vertical="center" wrapText="1"/>
    </xf>
    <xf numFmtId="0" fontId="34" fillId="0" borderId="0" xfId="0" applyFont="1" applyAlignment="1">
      <alignment horizontal="center"/>
    </xf>
    <xf numFmtId="0" fontId="21" fillId="6" borderId="3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16" xfId="0" applyBorder="1" applyAlignment="1">
      <alignment horizontal="left"/>
    </xf>
    <xf numFmtId="0" fontId="26" fillId="0" borderId="0" xfId="0" applyFont="1" applyAlignment="1">
      <alignment horizontal="center"/>
    </xf>
    <xf numFmtId="0" fontId="26" fillId="6" borderId="34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26" fillId="6" borderId="26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6" fillId="6" borderId="16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165" fontId="21" fillId="6" borderId="34" xfId="4" applyFont="1" applyFill="1" applyBorder="1" applyAlignment="1">
      <alignment horizontal="center" vertical="center"/>
    </xf>
    <xf numFmtId="0" fontId="21" fillId="5" borderId="18" xfId="3" applyFont="1" applyFill="1" applyBorder="1" applyAlignment="1">
      <alignment horizontal="center" vertical="center"/>
    </xf>
    <xf numFmtId="0" fontId="21" fillId="5" borderId="17" xfId="3" applyFont="1" applyFill="1" applyBorder="1" applyAlignment="1">
      <alignment horizontal="center" vertical="center"/>
    </xf>
    <xf numFmtId="0" fontId="21" fillId="5" borderId="9" xfId="3" applyFont="1" applyFill="1" applyBorder="1" applyAlignment="1">
      <alignment horizontal="center" vertical="center"/>
    </xf>
    <xf numFmtId="0" fontId="21" fillId="5" borderId="16" xfId="3" applyFont="1" applyFill="1" applyBorder="1" applyAlignment="1">
      <alignment horizontal="center" vertical="center"/>
    </xf>
    <xf numFmtId="0" fontId="21" fillId="5" borderId="18" xfId="4" applyNumberFormat="1" applyFont="1" applyFill="1" applyBorder="1" applyAlignment="1">
      <alignment horizontal="center" vertical="center"/>
    </xf>
    <xf numFmtId="0" fontId="21" fillId="5" borderId="17" xfId="4" applyNumberFormat="1" applyFont="1" applyFill="1" applyBorder="1" applyAlignment="1">
      <alignment horizontal="center" vertical="center"/>
    </xf>
    <xf numFmtId="0" fontId="26" fillId="5" borderId="18" xfId="3" applyFont="1" applyFill="1" applyBorder="1" applyAlignment="1">
      <alignment horizontal="center" vertical="center"/>
    </xf>
    <xf numFmtId="0" fontId="26" fillId="5" borderId="17" xfId="3" applyFont="1" applyFill="1" applyBorder="1" applyAlignment="1">
      <alignment horizontal="center" vertical="center"/>
    </xf>
    <xf numFmtId="0" fontId="26" fillId="5" borderId="9" xfId="3" applyFont="1" applyFill="1" applyBorder="1" applyAlignment="1">
      <alignment horizontal="center" vertical="center"/>
    </xf>
    <xf numFmtId="0" fontId="26" fillId="5" borderId="16" xfId="3" applyFont="1" applyFill="1" applyBorder="1" applyAlignment="1">
      <alignment horizontal="center" vertical="center"/>
    </xf>
    <xf numFmtId="0" fontId="21" fillId="5" borderId="18" xfId="4" applyNumberFormat="1" applyFont="1" applyFill="1" applyBorder="1" applyAlignment="1">
      <alignment horizontal="right" vertical="center"/>
    </xf>
    <xf numFmtId="0" fontId="21" fillId="5" borderId="17" xfId="4" applyNumberFormat="1" applyFont="1" applyFill="1" applyBorder="1" applyAlignment="1">
      <alignment horizontal="right" vertical="center"/>
    </xf>
    <xf numFmtId="2" fontId="21" fillId="5" borderId="18" xfId="4" applyNumberFormat="1" applyFont="1" applyFill="1" applyBorder="1" applyAlignment="1">
      <alignment horizontal="center" vertical="center"/>
    </xf>
    <xf numFmtId="2" fontId="21" fillId="5" borderId="17" xfId="4" applyNumberFormat="1" applyFont="1" applyFill="1" applyBorder="1" applyAlignment="1">
      <alignment horizontal="center" vertical="center"/>
    </xf>
    <xf numFmtId="0" fontId="26" fillId="5" borderId="18" xfId="4" applyNumberFormat="1" applyFont="1" applyFill="1" applyBorder="1" applyAlignment="1">
      <alignment horizontal="center" vertical="center"/>
    </xf>
    <xf numFmtId="0" fontId="26" fillId="5" borderId="17" xfId="4" applyNumberFormat="1" applyFont="1" applyFill="1" applyBorder="1" applyAlignment="1">
      <alignment horizontal="center" vertical="center"/>
    </xf>
    <xf numFmtId="0" fontId="21" fillId="6" borderId="26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6" borderId="18" xfId="3" applyFont="1" applyFill="1" applyBorder="1" applyAlignment="1">
      <alignment horizontal="center" vertical="center"/>
    </xf>
    <xf numFmtId="0" fontId="21" fillId="6" borderId="10" xfId="3" applyFont="1" applyFill="1" applyBorder="1" applyAlignment="1">
      <alignment horizontal="center" vertical="center"/>
    </xf>
    <xf numFmtId="0" fontId="21" fillId="6" borderId="17" xfId="3" applyFont="1" applyFill="1" applyBorder="1" applyAlignment="1">
      <alignment horizontal="center" vertical="center"/>
    </xf>
    <xf numFmtId="165" fontId="21" fillId="15" borderId="56" xfId="1" applyFont="1" applyFill="1" applyBorder="1" applyAlignment="1">
      <alignment horizontal="center" vertical="center" wrapText="1"/>
    </xf>
    <xf numFmtId="165" fontId="21" fillId="15" borderId="57" xfId="1" applyFont="1" applyFill="1" applyBorder="1" applyAlignment="1">
      <alignment horizontal="center" vertical="center" wrapText="1"/>
    </xf>
    <xf numFmtId="165" fontId="21" fillId="15" borderId="58" xfId="1" applyFont="1" applyFill="1" applyBorder="1" applyAlignment="1">
      <alignment horizontal="center" vertical="center" wrapText="1"/>
    </xf>
    <xf numFmtId="165" fontId="21" fillId="10" borderId="57" xfId="1" applyFont="1" applyFill="1" applyBorder="1" applyAlignment="1">
      <alignment horizontal="center" vertical="center" wrapText="1"/>
    </xf>
    <xf numFmtId="165" fontId="21" fillId="10" borderId="58" xfId="1" applyFont="1" applyFill="1" applyBorder="1" applyAlignment="1">
      <alignment horizontal="center" vertical="center" wrapText="1"/>
    </xf>
    <xf numFmtId="165" fontId="21" fillId="10" borderId="2" xfId="1" applyFont="1" applyFill="1" applyBorder="1" applyAlignment="1">
      <alignment horizontal="center" vertical="center" wrapText="1"/>
    </xf>
    <xf numFmtId="165" fontId="21" fillId="10" borderId="34" xfId="1" applyFont="1" applyFill="1" applyBorder="1" applyAlignment="1">
      <alignment horizontal="center" vertical="center" wrapText="1"/>
    </xf>
    <xf numFmtId="165" fontId="21" fillId="10" borderId="46" xfId="1" applyFont="1" applyFill="1" applyBorder="1" applyAlignment="1">
      <alignment horizontal="center" vertical="center" wrapText="1"/>
    </xf>
    <xf numFmtId="165" fontId="21" fillId="15" borderId="75" xfId="1" applyFont="1" applyFill="1" applyBorder="1" applyAlignment="1">
      <alignment horizontal="center" vertical="center" wrapText="1"/>
    </xf>
    <xf numFmtId="165" fontId="21" fillId="15" borderId="34" xfId="1" applyFont="1" applyFill="1" applyBorder="1" applyAlignment="1">
      <alignment horizontal="center" vertical="center" wrapText="1"/>
    </xf>
    <xf numFmtId="165" fontId="21" fillId="15" borderId="46" xfId="1" applyFont="1" applyFill="1" applyBorder="1" applyAlignment="1">
      <alignment horizontal="center" vertical="center" wrapText="1"/>
    </xf>
    <xf numFmtId="165" fontId="21" fillId="15" borderId="18" xfId="1" applyFont="1" applyFill="1" applyBorder="1" applyAlignment="1">
      <alignment horizontal="center" vertical="center" wrapText="1"/>
    </xf>
    <xf numFmtId="165" fontId="21" fillId="15" borderId="17" xfId="1" applyFont="1" applyFill="1" applyBorder="1" applyAlignment="1">
      <alignment horizontal="center" vertical="center" wrapText="1"/>
    </xf>
    <xf numFmtId="165" fontId="21" fillId="10" borderId="18" xfId="1" applyFont="1" applyFill="1" applyBorder="1" applyAlignment="1">
      <alignment horizontal="center" vertical="center" wrapText="1"/>
    </xf>
    <xf numFmtId="165" fontId="21" fillId="10" borderId="17" xfId="1" applyFont="1" applyFill="1" applyBorder="1" applyAlignment="1">
      <alignment horizontal="center" vertical="center" wrapText="1"/>
    </xf>
    <xf numFmtId="0" fontId="21" fillId="6" borderId="36" xfId="0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38" xfId="0" applyFont="1" applyFill="1" applyBorder="1" applyAlignment="1">
      <alignment horizontal="center" vertical="center"/>
    </xf>
    <xf numFmtId="0" fontId="21" fillId="6" borderId="39" xfId="0" applyFont="1" applyFill="1" applyBorder="1" applyAlignment="1">
      <alignment horizontal="center" vertical="center"/>
    </xf>
    <xf numFmtId="0" fontId="21" fillId="6" borderId="64" xfId="0" applyFont="1" applyFill="1" applyBorder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165" fontId="21" fillId="6" borderId="37" xfId="1" applyFont="1" applyFill="1" applyBorder="1" applyAlignment="1">
      <alignment horizontal="center" vertical="center" wrapText="1"/>
    </xf>
    <xf numFmtId="165" fontId="21" fillId="13" borderId="75" xfId="1" applyFont="1" applyFill="1" applyBorder="1" applyAlignment="1">
      <alignment horizontal="center" vertical="center" wrapText="1"/>
    </xf>
    <xf numFmtId="165" fontId="21" fillId="13" borderId="2" xfId="1" applyFont="1" applyFill="1" applyBorder="1" applyAlignment="1">
      <alignment horizontal="center" vertical="center" wrapText="1"/>
    </xf>
    <xf numFmtId="165" fontId="21" fillId="13" borderId="5" xfId="1" applyFont="1" applyFill="1" applyBorder="1" applyAlignment="1">
      <alignment horizontal="center" vertical="center" wrapText="1"/>
    </xf>
    <xf numFmtId="165" fontId="21" fillId="6" borderId="38" xfId="1" applyFont="1" applyFill="1" applyBorder="1" applyAlignment="1">
      <alignment horizontal="center" vertical="center" wrapText="1"/>
    </xf>
    <xf numFmtId="165" fontId="21" fillId="6" borderId="40" xfId="1" applyFont="1" applyFill="1" applyBorder="1" applyAlignment="1">
      <alignment horizontal="center" vertical="center" wrapText="1"/>
    </xf>
    <xf numFmtId="165" fontId="21" fillId="6" borderId="26" xfId="1" applyFont="1" applyFill="1" applyBorder="1" applyAlignment="1">
      <alignment horizontal="center" vertical="center" wrapText="1"/>
    </xf>
    <xf numFmtId="165" fontId="21" fillId="6" borderId="44" xfId="1" applyFont="1" applyFill="1" applyBorder="1" applyAlignment="1">
      <alignment horizontal="center" vertical="center" wrapText="1"/>
    </xf>
    <xf numFmtId="165" fontId="21" fillId="12" borderId="36" xfId="1" applyFont="1" applyFill="1" applyBorder="1" applyAlignment="1">
      <alignment horizontal="center" vertical="center" wrapText="1"/>
    </xf>
    <xf numFmtId="165" fontId="21" fillId="12" borderId="41" xfId="1" applyFont="1" applyFill="1" applyBorder="1" applyAlignment="1">
      <alignment horizontal="center" vertical="center" wrapText="1"/>
    </xf>
    <xf numFmtId="165" fontId="21" fillId="12" borderId="43" xfId="1" applyFont="1" applyFill="1" applyBorder="1" applyAlignment="1">
      <alignment horizontal="center" vertical="center" wrapText="1"/>
    </xf>
    <xf numFmtId="165" fontId="21" fillId="12" borderId="65" xfId="1" applyFont="1" applyFill="1" applyBorder="1" applyAlignment="1">
      <alignment horizontal="center" vertical="center" wrapText="1"/>
    </xf>
    <xf numFmtId="165" fontId="21" fillId="12" borderId="50" xfId="1" applyFont="1" applyFill="1" applyBorder="1" applyAlignment="1">
      <alignment horizontal="center" vertical="center" wrapText="1"/>
    </xf>
    <xf numFmtId="165" fontId="21" fillId="12" borderId="59" xfId="1" applyFont="1" applyFill="1" applyBorder="1" applyAlignment="1">
      <alignment horizontal="center" vertical="center" wrapText="1"/>
    </xf>
    <xf numFmtId="165" fontId="21" fillId="13" borderId="76" xfId="1" applyFont="1" applyFill="1" applyBorder="1" applyAlignment="1">
      <alignment horizontal="center" vertical="center" wrapText="1"/>
    </xf>
    <xf numFmtId="165" fontId="21" fillId="13" borderId="39" xfId="1" applyFont="1" applyFill="1" applyBorder="1" applyAlignment="1">
      <alignment horizontal="center" vertical="center" wrapText="1"/>
    </xf>
    <xf numFmtId="165" fontId="21" fillId="13" borderId="40" xfId="1" applyFont="1" applyFill="1" applyBorder="1" applyAlignment="1">
      <alignment horizontal="center" vertical="center" wrapText="1"/>
    </xf>
    <xf numFmtId="165" fontId="21" fillId="13" borderId="4" xfId="1" applyFont="1" applyFill="1" applyBorder="1" applyAlignment="1">
      <alignment horizontal="center" vertical="center" wrapText="1"/>
    </xf>
    <xf numFmtId="165" fontId="21" fillId="13" borderId="34" xfId="1" applyFont="1" applyFill="1" applyBorder="1" applyAlignment="1">
      <alignment horizontal="center" vertical="center" wrapText="1"/>
    </xf>
    <xf numFmtId="165" fontId="21" fillId="13" borderId="46" xfId="1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right"/>
    </xf>
    <xf numFmtId="0" fontId="21" fillId="9" borderId="2" xfId="0" applyFont="1" applyFill="1" applyBorder="1" applyAlignment="1">
      <alignment horizontal="right"/>
    </xf>
    <xf numFmtId="0" fontId="21" fillId="9" borderId="5" xfId="0" applyFont="1" applyFill="1" applyBorder="1" applyAlignment="1">
      <alignment horizontal="right"/>
    </xf>
    <xf numFmtId="0" fontId="21" fillId="0" borderId="80" xfId="0" applyFont="1" applyBorder="1" applyAlignment="1">
      <alignment horizontal="right"/>
    </xf>
    <xf numFmtId="0" fontId="21" fillId="0" borderId="81" xfId="0" applyFont="1" applyBorder="1" applyAlignment="1">
      <alignment horizontal="right"/>
    </xf>
    <xf numFmtId="0" fontId="21" fillId="0" borderId="82" xfId="0" applyFont="1" applyBorder="1" applyAlignment="1">
      <alignment horizontal="right"/>
    </xf>
    <xf numFmtId="0" fontId="25" fillId="2" borderId="0" xfId="0" applyFont="1" applyFill="1" applyAlignment="1">
      <alignment horizontal="left" vertical="center"/>
    </xf>
    <xf numFmtId="0" fontId="22" fillId="0" borderId="2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1" fillId="6" borderId="4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5" xfId="0" applyFont="1" applyFill="1" applyBorder="1" applyAlignment="1">
      <alignment horizontal="center" vertical="center"/>
    </xf>
    <xf numFmtId="0" fontId="20" fillId="0" borderId="92" xfId="0" applyFont="1" applyBorder="1" applyAlignment="1">
      <alignment horizontal="left"/>
    </xf>
    <xf numFmtId="0" fontId="20" fillId="0" borderId="93" xfId="0" applyFont="1" applyBorder="1" applyAlignment="1">
      <alignment horizontal="left"/>
    </xf>
    <xf numFmtId="0" fontId="20" fillId="0" borderId="94" xfId="0" applyFont="1" applyBorder="1" applyAlignment="1">
      <alignment horizontal="left"/>
    </xf>
    <xf numFmtId="0" fontId="20" fillId="0" borderId="95" xfId="0" applyFont="1" applyBorder="1" applyAlignment="1">
      <alignment horizontal="left" vertical="center" wrapText="1"/>
    </xf>
    <xf numFmtId="0" fontId="24" fillId="0" borderId="95" xfId="0" applyFont="1" applyBorder="1"/>
    <xf numFmtId="0" fontId="37" fillId="13" borderId="56" xfId="0" applyFont="1" applyFill="1" applyBorder="1" applyAlignment="1">
      <alignment horizontal="center" vertical="center"/>
    </xf>
    <xf numFmtId="0" fontId="37" fillId="13" borderId="57" xfId="0" applyFont="1" applyFill="1" applyBorder="1" applyAlignment="1">
      <alignment horizontal="center" vertical="center"/>
    </xf>
    <xf numFmtId="0" fontId="37" fillId="15" borderId="56" xfId="0" applyFont="1" applyFill="1" applyBorder="1" applyAlignment="1">
      <alignment horizontal="center" vertical="center"/>
    </xf>
    <xf numFmtId="0" fontId="37" fillId="15" borderId="57" xfId="0" applyFont="1" applyFill="1" applyBorder="1" applyAlignment="1">
      <alignment horizontal="center" vertical="center"/>
    </xf>
    <xf numFmtId="0" fontId="37" fillId="15" borderId="58" xfId="0" applyFont="1" applyFill="1" applyBorder="1" applyAlignment="1">
      <alignment horizontal="center" vertical="center"/>
    </xf>
    <xf numFmtId="0" fontId="37" fillId="10" borderId="56" xfId="0" applyFont="1" applyFill="1" applyBorder="1" applyAlignment="1">
      <alignment horizontal="center" vertical="center"/>
    </xf>
    <xf numFmtId="0" fontId="37" fillId="10" borderId="57" xfId="0" applyFont="1" applyFill="1" applyBorder="1" applyAlignment="1">
      <alignment horizontal="center" vertical="center"/>
    </xf>
    <xf numFmtId="0" fontId="37" fillId="10" borderId="58" xfId="0" applyFont="1" applyFill="1" applyBorder="1" applyAlignment="1">
      <alignment horizontal="center" vertical="center"/>
    </xf>
    <xf numFmtId="0" fontId="37" fillId="13" borderId="41" xfId="0" applyFont="1" applyFill="1" applyBorder="1" applyAlignment="1">
      <alignment horizontal="center" vertical="center"/>
    </xf>
    <xf numFmtId="0" fontId="37" fillId="13" borderId="43" xfId="0" applyFont="1" applyFill="1" applyBorder="1" applyAlignment="1">
      <alignment horizontal="center" vertical="center"/>
    </xf>
    <xf numFmtId="0" fontId="37" fillId="13" borderId="4" xfId="0" applyFont="1" applyFill="1" applyBorder="1" applyAlignment="1">
      <alignment horizontal="center" vertical="center"/>
    </xf>
    <xf numFmtId="0" fontId="37" fillId="13" borderId="2" xfId="0" applyFont="1" applyFill="1" applyBorder="1" applyAlignment="1">
      <alignment horizontal="center" vertical="center"/>
    </xf>
    <xf numFmtId="0" fontId="37" fillId="13" borderId="5" xfId="0" applyFont="1" applyFill="1" applyBorder="1" applyAlignment="1">
      <alignment horizontal="center" vertical="center"/>
    </xf>
    <xf numFmtId="0" fontId="37" fillId="15" borderId="48" xfId="0" applyFont="1" applyFill="1" applyBorder="1" applyAlignment="1">
      <alignment horizontal="center" vertical="center"/>
    </xf>
    <xf numFmtId="0" fontId="37" fillId="15" borderId="11" xfId="0" applyFont="1" applyFill="1" applyBorder="1" applyAlignment="1">
      <alignment horizontal="center" vertical="center"/>
    </xf>
    <xf numFmtId="0" fontId="37" fillId="10" borderId="48" xfId="0" applyFont="1" applyFill="1" applyBorder="1" applyAlignment="1">
      <alignment horizontal="center" vertical="center"/>
    </xf>
    <xf numFmtId="0" fontId="37" fillId="10" borderId="11" xfId="0" applyFont="1" applyFill="1" applyBorder="1" applyAlignment="1">
      <alignment horizontal="center" vertical="center"/>
    </xf>
    <xf numFmtId="0" fontId="21" fillId="6" borderId="36" xfId="3" applyFont="1" applyFill="1" applyBorder="1" applyAlignment="1">
      <alignment horizontal="center" vertical="center"/>
    </xf>
    <xf numFmtId="0" fontId="21" fillId="6" borderId="41" xfId="3" applyFont="1" applyFill="1" applyBorder="1" applyAlignment="1">
      <alignment horizontal="center" vertical="center"/>
    </xf>
    <xf numFmtId="0" fontId="21" fillId="6" borderId="43" xfId="3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/>
    </xf>
    <xf numFmtId="0" fontId="21" fillId="6" borderId="46" xfId="0" applyFont="1" applyFill="1" applyBorder="1" applyAlignment="1">
      <alignment horizontal="center" vertical="center"/>
    </xf>
    <xf numFmtId="0" fontId="37" fillId="13" borderId="11" xfId="0" applyFont="1" applyFill="1" applyBorder="1" applyAlignment="1">
      <alignment horizontal="center" vertical="center"/>
    </xf>
    <xf numFmtId="0" fontId="37" fillId="13" borderId="16" xfId="0" applyFont="1" applyFill="1" applyBorder="1" applyAlignment="1">
      <alignment horizontal="center" vertical="center"/>
    </xf>
    <xf numFmtId="0" fontId="21" fillId="6" borderId="40" xfId="0" applyFont="1" applyFill="1" applyBorder="1" applyAlignment="1">
      <alignment horizontal="center" vertical="center"/>
    </xf>
    <xf numFmtId="0" fontId="21" fillId="6" borderId="42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5" borderId="60" xfId="3" applyFont="1" applyFill="1" applyBorder="1" applyAlignment="1">
      <alignment horizontal="center" vertical="center"/>
    </xf>
    <xf numFmtId="0" fontId="21" fillId="5" borderId="43" xfId="3" applyFont="1" applyFill="1" applyBorder="1" applyAlignment="1">
      <alignment horizontal="center" vertical="center"/>
    </xf>
    <xf numFmtId="0" fontId="26" fillId="5" borderId="41" xfId="3" applyFont="1" applyFill="1" applyBorder="1" applyAlignment="1">
      <alignment horizontal="center" vertical="center"/>
    </xf>
    <xf numFmtId="0" fontId="26" fillId="5" borderId="43" xfId="3" applyFont="1" applyFill="1" applyBorder="1" applyAlignment="1">
      <alignment horizontal="center" vertical="center"/>
    </xf>
    <xf numFmtId="0" fontId="26" fillId="5" borderId="11" xfId="3" applyFont="1" applyFill="1" applyBorder="1" applyAlignment="1">
      <alignment horizontal="center" vertical="center"/>
    </xf>
    <xf numFmtId="0" fontId="26" fillId="5" borderId="10" xfId="4" applyNumberFormat="1" applyFont="1" applyFill="1" applyBorder="1" applyAlignment="1">
      <alignment horizontal="center" vertical="center"/>
    </xf>
    <xf numFmtId="0" fontId="26" fillId="5" borderId="10" xfId="3" applyFont="1" applyFill="1" applyBorder="1" applyAlignment="1">
      <alignment horizontal="center" vertical="center"/>
    </xf>
    <xf numFmtId="0" fontId="37" fillId="13" borderId="9" xfId="0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10" xfId="3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</cellXfs>
  <cellStyles count="49">
    <cellStyle name="Comma" xfId="1" builtinId="3"/>
    <cellStyle name="Comma [0]" xfId="2" builtinId="6"/>
    <cellStyle name="Comma [0] 11 2" xfId="5" xr:uid="{00000000-0005-0000-0000-000002000000}"/>
    <cellStyle name="Comma [0] 11 3" xfId="6" xr:uid="{00000000-0005-0000-0000-000003000000}"/>
    <cellStyle name="Comma [0] 2" xfId="9" xr:uid="{00000000-0005-0000-0000-000004000000}"/>
    <cellStyle name="Comma [0] 2 3" xfId="42" xr:uid="{00000000-0005-0000-0000-000005000000}"/>
    <cellStyle name="Comma [0] 3" xfId="11" xr:uid="{00000000-0005-0000-0000-000006000000}"/>
    <cellStyle name="Comma [0] 4" xfId="12" xr:uid="{00000000-0005-0000-0000-000007000000}"/>
    <cellStyle name="Comma [0] 5" xfId="13" xr:uid="{00000000-0005-0000-0000-000008000000}"/>
    <cellStyle name="Comma [0] 6" xfId="44" xr:uid="{00000000-0005-0000-0000-000009000000}"/>
    <cellStyle name="Comma [0] 7" xfId="8" xr:uid="{00000000-0005-0000-0000-00000A000000}"/>
    <cellStyle name="Comma [0] 8" xfId="46" xr:uid="{00000000-0005-0000-0000-00000B000000}"/>
    <cellStyle name="Comma 10 2" xfId="4" xr:uid="{00000000-0005-0000-0000-00000C000000}"/>
    <cellStyle name="Comma 12" xfId="14" xr:uid="{00000000-0005-0000-0000-00000D000000}"/>
    <cellStyle name="Comma 2" xfId="15" xr:uid="{00000000-0005-0000-0000-00000E000000}"/>
    <cellStyle name="Comma 2 2 3" xfId="7" xr:uid="{00000000-0005-0000-0000-00000F000000}"/>
    <cellStyle name="Comma 3" xfId="16" xr:uid="{00000000-0005-0000-0000-000010000000}"/>
    <cellStyle name="Comma 4" xfId="17" xr:uid="{00000000-0005-0000-0000-000011000000}"/>
    <cellStyle name="Dezimal [0]_laroux" xfId="18" xr:uid="{00000000-0005-0000-0000-000012000000}"/>
    <cellStyle name="Dezimal_laroux" xfId="19" xr:uid="{00000000-0005-0000-0000-000013000000}"/>
    <cellStyle name="Emphasis 1" xfId="20" xr:uid="{00000000-0005-0000-0000-000014000000}"/>
    <cellStyle name="Emphasis 2" xfId="21" xr:uid="{00000000-0005-0000-0000-000015000000}"/>
    <cellStyle name="Emphasis 3" xfId="22" xr:uid="{00000000-0005-0000-0000-000016000000}"/>
    <cellStyle name="F2" xfId="23" xr:uid="{00000000-0005-0000-0000-000017000000}"/>
    <cellStyle name="F3" xfId="24" xr:uid="{00000000-0005-0000-0000-000018000000}"/>
    <cellStyle name="F4" xfId="25" xr:uid="{00000000-0005-0000-0000-000019000000}"/>
    <cellStyle name="F5" xfId="26" xr:uid="{00000000-0005-0000-0000-00001A000000}"/>
    <cellStyle name="F6" xfId="27" xr:uid="{00000000-0005-0000-0000-00001B000000}"/>
    <cellStyle name="F7" xfId="28" xr:uid="{00000000-0005-0000-0000-00001C000000}"/>
    <cellStyle name="F8" xfId="29" xr:uid="{00000000-0005-0000-0000-00001D000000}"/>
    <cellStyle name="Normal" xfId="0" builtinId="0"/>
    <cellStyle name="Normal - Style1" xfId="30" xr:uid="{00000000-0005-0000-0000-00001F000000}"/>
    <cellStyle name="Normal - Style2" xfId="31" xr:uid="{00000000-0005-0000-0000-000020000000}"/>
    <cellStyle name="Normal - Style3" xfId="32" xr:uid="{00000000-0005-0000-0000-000021000000}"/>
    <cellStyle name="Normal - Style4" xfId="33" xr:uid="{00000000-0005-0000-0000-000022000000}"/>
    <cellStyle name="Normal - Style5" xfId="34" xr:uid="{00000000-0005-0000-0000-000023000000}"/>
    <cellStyle name="Normal - Style6" xfId="35" xr:uid="{00000000-0005-0000-0000-000024000000}"/>
    <cellStyle name="Normal - Style7" xfId="36" xr:uid="{00000000-0005-0000-0000-000025000000}"/>
    <cellStyle name="Normal - Style8" xfId="37" xr:uid="{00000000-0005-0000-0000-000026000000}"/>
    <cellStyle name="Normal 11" xfId="3" xr:uid="{00000000-0005-0000-0000-000027000000}"/>
    <cellStyle name="Normal 2" xfId="10" xr:uid="{00000000-0005-0000-0000-000028000000}"/>
    <cellStyle name="Normal 2 2" xfId="43" xr:uid="{00000000-0005-0000-0000-000029000000}"/>
    <cellStyle name="Normal 3" xfId="38" xr:uid="{00000000-0005-0000-0000-00002A000000}"/>
    <cellStyle name="Normal 4" xfId="45" xr:uid="{00000000-0005-0000-0000-00002B000000}"/>
    <cellStyle name="Normal 5" xfId="47" xr:uid="{00000000-0005-0000-0000-00002C000000}"/>
    <cellStyle name="Percent 2" xfId="48" xr:uid="{00000000-0005-0000-0000-000031000000}"/>
    <cellStyle name="Sheet Title" xfId="39" xr:uid="{00000000-0005-0000-0000-000032000000}"/>
    <cellStyle name="Währung [0]_laroux" xfId="40" xr:uid="{00000000-0005-0000-0000-000033000000}"/>
    <cellStyle name="Währung_laroux" xfId="41" xr:uid="{00000000-0005-0000-0000-000034000000}"/>
  </cellStyles>
  <dxfs count="0"/>
  <tableStyles count="0" defaultTableStyle="TableStyleMedium9" defaultPivotStyle="PivotStyleLight16"/>
  <colors>
    <mruColors>
      <color rgb="FF35F5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345282</xdr:colOff>
      <xdr:row>2</xdr:row>
      <xdr:rowOff>47625</xdr:rowOff>
    </xdr:from>
    <xdr:to>
      <xdr:col>22</xdr:col>
      <xdr:colOff>226221</xdr:colOff>
      <xdr:row>18</xdr:row>
      <xdr:rowOff>178593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A2068B-0DC4-41D9-B6BC-58881E2E83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322" t="31417" r="65589" b="19586"/>
        <a:stretch/>
      </xdr:blipFill>
      <xdr:spPr>
        <a:xfrm>
          <a:off x="15728157" y="876300"/>
          <a:ext cx="3538538" cy="35575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5.%20PT%20Karisma%20Cipta%20Tunggal%20-%20Proyek%20IKM%20Logam\Data%20IKM%20Logam%20Purbalingga\4.%20Kontrak%20&amp;%20CCO\LELANG%20PAPUA%202016\RAB-TINGKAT-BINTUNI-SUSUMUK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5.%20PT%20Karisma%20Cipta%20Tunggal%20-%20Proyek%20IKM%20Logam\Data%20IKM%20Logam%20Purbalingga\4.%20Kontrak%20&amp;%20CCO\LELANG%20PAPUA%202016\RAB-TINGKAT-BINTUNI-SUSUMUK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Data%20Bank\Proyek\Griya%20Kencana\SD-Bantul_2006\rab\Perbanas\3%20of%20Ton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dministrasi\RISMA%201\KARISMA%20GRUP%202007\MASTER%20HPS%20SEMARANG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SMA_CT/Documents/KUMPULAN%20LELANG/MASTER-JALAN-BARAT-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Mobilisasi"/>
      <sheetName val="Perhitungan Mobilisasi Alat"/>
      <sheetName val="Lalu Lintas"/>
      <sheetName val="Alat"/>
      <sheetName val="upah"/>
      <sheetName val="bahan"/>
      <sheetName val="2"/>
      <sheetName val="urtek - 2 "/>
      <sheetName val="3"/>
      <sheetName val="urtek - 3"/>
      <sheetName val="5"/>
      <sheetName val="urteK - 5"/>
      <sheetName val="6"/>
      <sheetName val="urtek - 6"/>
      <sheetName val="D7(1)"/>
      <sheetName val="urteK - 7(1)"/>
      <sheetName val="D8(1)"/>
      <sheetName val="urteK - 8(1)"/>
      <sheetName val="8"/>
      <sheetName val="urtek - 8(2)"/>
    </sheetNames>
    <sheetDataSet>
      <sheetData sheetId="0">
        <row r="30">
          <cell r="F30">
            <v>24188665000</v>
          </cell>
        </row>
      </sheetData>
      <sheetData sheetId="1"/>
      <sheetData sheetId="2"/>
      <sheetData sheetId="3"/>
      <sheetData sheetId="4"/>
      <sheetData sheetId="5"/>
      <sheetData sheetId="6">
        <row r="20">
          <cell r="H20">
            <v>400000</v>
          </cell>
        </row>
      </sheetData>
      <sheetData sheetId="7">
        <row r="14">
          <cell r="E14" t="str">
            <v>(L02)</v>
          </cell>
        </row>
      </sheetData>
      <sheetData sheetId="8">
        <row r="45">
          <cell r="E45" t="str">
            <v>M39b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64">
          <cell r="F164" t="str">
            <v>= (Tk x Tb) : Qt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Peta Quarry"/>
      <sheetName val="Mobilisasi"/>
      <sheetName val="Perhitungan Mobilisasi Alat"/>
      <sheetName val="Lalu Lintas"/>
      <sheetName val="Alat"/>
      <sheetName val="upah"/>
      <sheetName val="bahan"/>
      <sheetName val="2"/>
      <sheetName val="urtek - 2 "/>
      <sheetName val="3"/>
      <sheetName val="urtek - 3"/>
      <sheetName val="5"/>
      <sheetName val="urteK - 5"/>
      <sheetName val="6"/>
      <sheetName val="urtek - 6"/>
      <sheetName val="D7(1)"/>
      <sheetName val="urteK - 7(1)"/>
      <sheetName val="D8(1)"/>
      <sheetName val="urteK - 8(1)"/>
      <sheetName val="8"/>
      <sheetName val="urtek - 8(2)"/>
    </sheetNames>
    <sheetDataSet>
      <sheetData sheetId="0">
        <row r="30">
          <cell r="F30">
            <v>24188665000</v>
          </cell>
        </row>
      </sheetData>
      <sheetData sheetId="1"/>
      <sheetData sheetId="2"/>
      <sheetData sheetId="3"/>
      <sheetData sheetId="4"/>
      <sheetData sheetId="5"/>
      <sheetData sheetId="6">
        <row r="20">
          <cell r="H20">
            <v>400000</v>
          </cell>
        </row>
      </sheetData>
      <sheetData sheetId="7">
        <row r="14">
          <cell r="E14" t="str">
            <v>(L02)</v>
          </cell>
        </row>
      </sheetData>
      <sheetData sheetId="8">
        <row r="45">
          <cell r="E45" t="str">
            <v>M39b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64">
          <cell r="F164" t="str">
            <v>= (Tk x Tb) : Qt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ku"/>
      <sheetName val="Analis"/>
      <sheetName val="B&amp;U"/>
      <sheetName val="analku"/>
      <sheetName val="rabrev"/>
      <sheetName val="rabe"/>
      <sheetName val="rekap"/>
      <sheetName val="B_U"/>
      <sheetName val="H.Satuan"/>
    </sheetNames>
    <sheetDataSet>
      <sheetData sheetId="0" refreshError="1"/>
      <sheetData sheetId="1" refreshError="1"/>
      <sheetData sheetId="2" refreshError="1">
        <row r="12">
          <cell r="F12">
            <v>2200</v>
          </cell>
        </row>
        <row r="34">
          <cell r="F34">
            <v>93000</v>
          </cell>
        </row>
        <row r="49">
          <cell r="F49">
            <v>32500</v>
          </cell>
        </row>
        <row r="65">
          <cell r="F65">
            <v>17500</v>
          </cell>
        </row>
        <row r="67">
          <cell r="F67">
            <v>27500</v>
          </cell>
        </row>
        <row r="71">
          <cell r="F71">
            <v>30000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Estimate"/>
      <sheetName val="mobilisasi"/>
      <sheetName val="D2"/>
      <sheetName val="D3"/>
      <sheetName val="D4"/>
      <sheetName val="D5"/>
      <sheetName val="D6"/>
      <sheetName val="D7"/>
      <sheetName val="D8"/>
      <sheetName val="rutin"/>
      <sheetName val="10.1(1)"/>
      <sheetName val="10.1(2)"/>
      <sheetName val="10.1(3)"/>
      <sheetName val="10.1(4)"/>
      <sheetName val="10.1(5)"/>
      <sheetName val="."/>
      <sheetName val="Harga S Dasar"/>
      <sheetName val="alat"/>
      <sheetName val="hsd balai"/>
      <sheetName val="D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DN"/>
      <sheetName val="Skedul"/>
      <sheetName val="Rekap"/>
      <sheetName val="RAP_REKAP"/>
      <sheetName val="RAB"/>
      <sheetName val="RAP"/>
      <sheetName val="UrTek"/>
      <sheetName val="Upah"/>
      <sheetName val="Bhn"/>
      <sheetName val="Alat"/>
      <sheetName val="1_2"/>
      <sheetName val="RAP_1_2"/>
      <sheetName val="1_3"/>
      <sheetName val="RAP_1_3"/>
      <sheetName val="CBR"/>
      <sheetName val="2"/>
      <sheetName val="RAP_2"/>
      <sheetName val="3"/>
      <sheetName val="RAP_3"/>
      <sheetName val="4"/>
      <sheetName val="5"/>
      <sheetName val="6"/>
      <sheetName val="RAP_6"/>
      <sheetName val="7"/>
      <sheetName val="RAP_7"/>
      <sheetName val="8"/>
      <sheetName val="RAP_8"/>
      <sheetName val="10"/>
      <sheetName val="Rutin"/>
      <sheetName val="SUBkon"/>
      <sheetName val="DPU"/>
      <sheetName val="MPU"/>
    </sheetNames>
    <sheetDataSet>
      <sheetData sheetId="0" refreshError="1"/>
      <sheetData sheetId="1" refreshError="1"/>
      <sheetData sheetId="2" refreshError="1">
        <row r="4">
          <cell r="D4" t="str">
            <v>:</v>
          </cell>
        </row>
        <row r="5">
          <cell r="D5" t="str">
            <v>:</v>
          </cell>
        </row>
        <row r="6">
          <cell r="D6" t="str">
            <v>:</v>
          </cell>
        </row>
        <row r="7">
          <cell r="D7" t="str">
            <v>: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view="pageBreakPreview" zoomScaleNormal="100" zoomScaleSheetLayoutView="100" workbookViewId="0">
      <selection activeCell="D6" sqref="D6"/>
    </sheetView>
  </sheetViews>
  <sheetFormatPr defaultRowHeight="14.5" x14ac:dyDescent="0.35"/>
  <cols>
    <col min="1" max="1" width="6.453125" style="101" customWidth="1"/>
    <col min="2" max="2" width="19.26953125" style="101" customWidth="1"/>
    <col min="3" max="3" width="4.1796875" style="101" customWidth="1"/>
    <col min="4" max="4" width="49.7265625" style="101" customWidth="1"/>
    <col min="5" max="5" width="26.453125" style="101" customWidth="1"/>
  </cols>
  <sheetData>
    <row r="1" spans="1:5" ht="17.5" x14ac:dyDescent="0.35">
      <c r="A1" s="1013" t="s">
        <v>0</v>
      </c>
      <c r="B1" s="1013"/>
      <c r="C1" s="1013"/>
      <c r="D1" s="1013"/>
      <c r="E1" s="1013"/>
    </row>
    <row r="2" spans="1:5" ht="17.5" x14ac:dyDescent="0.35">
      <c r="A2" s="96"/>
      <c r="B2" s="96"/>
      <c r="C2" s="96"/>
      <c r="D2" s="96" t="s">
        <v>177</v>
      </c>
      <c r="E2" s="96"/>
    </row>
    <row r="3" spans="1:5" x14ac:dyDescent="0.35">
      <c r="A3" s="97"/>
      <c r="B3" s="97"/>
      <c r="C3" s="97"/>
      <c r="D3" s="98"/>
      <c r="E3" s="104"/>
    </row>
    <row r="4" spans="1:5" ht="15.5" x14ac:dyDescent="0.35">
      <c r="A4" s="10" t="s">
        <v>8</v>
      </c>
      <c r="B4" s="10"/>
      <c r="C4" s="39" t="s">
        <v>1</v>
      </c>
      <c r="D4" s="102" t="s">
        <v>723</v>
      </c>
      <c r="E4" s="104"/>
    </row>
    <row r="5" spans="1:5" ht="15.5" x14ac:dyDescent="0.35">
      <c r="A5" s="10" t="s">
        <v>2</v>
      </c>
      <c r="B5" s="10"/>
      <c r="C5" s="39" t="s">
        <v>1</v>
      </c>
      <c r="D5" s="103" t="s">
        <v>721</v>
      </c>
      <c r="E5" s="104"/>
    </row>
    <row r="6" spans="1:5" ht="15.5" x14ac:dyDescent="0.35">
      <c r="A6" s="10" t="s">
        <v>178</v>
      </c>
      <c r="B6" s="10"/>
      <c r="C6" s="39" t="s">
        <v>1</v>
      </c>
      <c r="D6" s="103" t="s">
        <v>781</v>
      </c>
      <c r="E6" s="104"/>
    </row>
    <row r="7" spans="1:5" ht="15.5" x14ac:dyDescent="0.35">
      <c r="A7" s="10" t="s">
        <v>9</v>
      </c>
      <c r="B7" s="10"/>
      <c r="C7" s="39" t="s">
        <v>1</v>
      </c>
      <c r="D7" s="103">
        <v>2019</v>
      </c>
      <c r="E7" s="104"/>
    </row>
    <row r="8" spans="1:5" x14ac:dyDescent="0.35">
      <c r="A8" s="97"/>
      <c r="B8" s="97"/>
      <c r="C8" s="97"/>
      <c r="D8" s="99"/>
      <c r="E8" s="104"/>
    </row>
    <row r="9" spans="1:5" x14ac:dyDescent="0.35">
      <c r="A9" s="1014" t="s">
        <v>99</v>
      </c>
      <c r="B9" s="1014" t="s">
        <v>3</v>
      </c>
      <c r="C9" s="1014"/>
      <c r="D9" s="1014"/>
      <c r="E9" s="1015" t="s">
        <v>303</v>
      </c>
    </row>
    <row r="10" spans="1:5" x14ac:dyDescent="0.35">
      <c r="A10" s="1014"/>
      <c r="B10" s="1014"/>
      <c r="C10" s="1014"/>
      <c r="D10" s="1014"/>
      <c r="E10" s="1015"/>
    </row>
    <row r="11" spans="1:5" ht="15.5" x14ac:dyDescent="0.35">
      <c r="A11" s="106">
        <v>1</v>
      </c>
      <c r="B11" s="1009" t="s">
        <v>431</v>
      </c>
      <c r="C11" s="1010"/>
      <c r="D11" s="1011"/>
      <c r="E11" s="107">
        <f>RAB!I14</f>
        <v>30503932</v>
      </c>
    </row>
    <row r="12" spans="1:5" ht="15.5" x14ac:dyDescent="0.35">
      <c r="A12" s="106">
        <v>2</v>
      </c>
      <c r="B12" s="1009" t="s">
        <v>11</v>
      </c>
      <c r="C12" s="1010"/>
      <c r="D12" s="1011"/>
      <c r="E12" s="107">
        <f>RAB!I21</f>
        <v>14233629.73</v>
      </c>
    </row>
    <row r="13" spans="1:5" ht="15.5" x14ac:dyDescent="0.35">
      <c r="A13" s="106">
        <v>3</v>
      </c>
      <c r="B13" s="1009" t="s">
        <v>304</v>
      </c>
      <c r="C13" s="1010"/>
      <c r="D13" s="1011"/>
      <c r="E13" s="107">
        <f>RAB!I24</f>
        <v>51047321.25</v>
      </c>
    </row>
    <row r="14" spans="1:5" ht="15.5" x14ac:dyDescent="0.35">
      <c r="A14" s="106">
        <v>4</v>
      </c>
      <c r="B14" s="1009" t="s">
        <v>208</v>
      </c>
      <c r="C14" s="1010"/>
      <c r="D14" s="1011"/>
      <c r="E14" s="107">
        <f>RAB!I46</f>
        <v>507382909.42999995</v>
      </c>
    </row>
    <row r="15" spans="1:5" ht="15.5" x14ac:dyDescent="0.35">
      <c r="A15" s="106">
        <v>5</v>
      </c>
      <c r="B15" s="1009" t="s">
        <v>448</v>
      </c>
      <c r="C15" s="1010"/>
      <c r="D15" s="1011"/>
      <c r="E15" s="107">
        <f>RAB!I51</f>
        <v>98716368.420000002</v>
      </c>
    </row>
    <row r="16" spans="1:5" ht="15.5" x14ac:dyDescent="0.35">
      <c r="A16" s="106">
        <v>6</v>
      </c>
      <c r="B16" s="1009" t="s">
        <v>198</v>
      </c>
      <c r="C16" s="1010"/>
      <c r="D16" s="1011"/>
      <c r="E16" s="107">
        <f>RAB!I55</f>
        <v>98810929.400000006</v>
      </c>
    </row>
    <row r="17" spans="1:5" ht="15.5" x14ac:dyDescent="0.35">
      <c r="A17" s="106">
        <v>7</v>
      </c>
      <c r="B17" s="1009" t="s">
        <v>305</v>
      </c>
      <c r="C17" s="1010"/>
      <c r="D17" s="1011"/>
      <c r="E17" s="108">
        <f>RAB!I63</f>
        <v>155190558.43000001</v>
      </c>
    </row>
    <row r="18" spans="1:5" ht="15.5" x14ac:dyDescent="0.35">
      <c r="A18" s="106">
        <v>8</v>
      </c>
      <c r="B18" s="1009" t="s">
        <v>306</v>
      </c>
      <c r="C18" s="1010"/>
      <c r="D18" s="1011"/>
      <c r="E18" s="108">
        <f>RAB!I72</f>
        <v>377740806.68000007</v>
      </c>
    </row>
    <row r="19" spans="1:5" ht="15.5" x14ac:dyDescent="0.35">
      <c r="A19" s="106">
        <v>9</v>
      </c>
      <c r="B19" s="1009" t="s">
        <v>307</v>
      </c>
      <c r="C19" s="1010"/>
      <c r="D19" s="1011"/>
      <c r="E19" s="108">
        <f>RAB!I77</f>
        <v>24103000.329999998</v>
      </c>
    </row>
    <row r="20" spans="1:5" ht="19.5" customHeight="1" x14ac:dyDescent="0.35">
      <c r="A20" s="1017" t="s">
        <v>10</v>
      </c>
      <c r="B20" s="1018"/>
      <c r="C20" s="1018"/>
      <c r="D20" s="1019"/>
      <c r="E20" s="593">
        <f>SUM(E11:E19)</f>
        <v>1357729455.6699998</v>
      </c>
    </row>
    <row r="21" spans="1:5" ht="19.5" customHeight="1" x14ac:dyDescent="0.35">
      <c r="A21" s="1017" t="s">
        <v>286</v>
      </c>
      <c r="B21" s="1018"/>
      <c r="C21" s="1018"/>
      <c r="D21" s="1019"/>
      <c r="E21" s="593">
        <f>E20*10%</f>
        <v>135772945.567</v>
      </c>
    </row>
    <row r="22" spans="1:5" ht="19.5" customHeight="1" x14ac:dyDescent="0.35">
      <c r="A22" s="1017" t="s">
        <v>287</v>
      </c>
      <c r="B22" s="1018"/>
      <c r="C22" s="1018"/>
      <c r="D22" s="1019"/>
      <c r="E22" s="593">
        <f>E20+E21</f>
        <v>1493502401.2369998</v>
      </c>
    </row>
    <row r="23" spans="1:5" ht="19.5" customHeight="1" x14ac:dyDescent="0.35">
      <c r="A23" s="1017" t="s">
        <v>288</v>
      </c>
      <c r="B23" s="1018"/>
      <c r="C23" s="1018"/>
      <c r="D23" s="1019"/>
      <c r="E23" s="594">
        <f>TRUNC(E22/1000)*1000</f>
        <v>1493502000</v>
      </c>
    </row>
    <row r="24" spans="1:5" ht="46.5" customHeight="1" x14ac:dyDescent="0.35">
      <c r="A24" s="1016" t="s">
        <v>7</v>
      </c>
      <c r="B24" s="1016"/>
      <c r="C24" s="105" t="s">
        <v>1</v>
      </c>
      <c r="D24" s="1012" t="s">
        <v>722</v>
      </c>
      <c r="E24" s="1012"/>
    </row>
    <row r="25" spans="1:5" x14ac:dyDescent="0.35">
      <c r="A25" s="100"/>
      <c r="B25" s="100"/>
      <c r="C25" s="100"/>
      <c r="D25" s="100"/>
      <c r="E25" s="100"/>
    </row>
    <row r="26" spans="1:5" x14ac:dyDescent="0.35">
      <c r="A26" s="100"/>
      <c r="B26" s="100"/>
      <c r="C26" s="100"/>
      <c r="D26" s="100"/>
      <c r="E26" s="100"/>
    </row>
    <row r="27" spans="1:5" x14ac:dyDescent="0.35">
      <c r="A27" s="100"/>
      <c r="B27" s="100"/>
      <c r="C27" s="100"/>
      <c r="D27" s="100"/>
      <c r="E27" s="100"/>
    </row>
    <row r="28" spans="1:5" x14ac:dyDescent="0.35">
      <c r="A28" s="100"/>
      <c r="B28" s="100"/>
      <c r="C28" s="100"/>
      <c r="D28" s="100"/>
      <c r="E28" s="100"/>
    </row>
    <row r="29" spans="1:5" x14ac:dyDescent="0.35">
      <c r="A29" s="100"/>
      <c r="B29" s="100"/>
      <c r="C29" s="100"/>
      <c r="D29" s="100"/>
      <c r="E29" s="100"/>
    </row>
  </sheetData>
  <mergeCells count="19">
    <mergeCell ref="B19:D19"/>
    <mergeCell ref="D24:E24"/>
    <mergeCell ref="A1:E1"/>
    <mergeCell ref="A9:A10"/>
    <mergeCell ref="B9:D10"/>
    <mergeCell ref="E9:E10"/>
    <mergeCell ref="A24:B24"/>
    <mergeCell ref="A20:D20"/>
    <mergeCell ref="A21:D21"/>
    <mergeCell ref="A22:D22"/>
    <mergeCell ref="A23:D23"/>
    <mergeCell ref="B12:D12"/>
    <mergeCell ref="B13:D13"/>
    <mergeCell ref="B15:D15"/>
    <mergeCell ref="B11:D11"/>
    <mergeCell ref="B16:D16"/>
    <mergeCell ref="B14:D14"/>
    <mergeCell ref="B17:D17"/>
    <mergeCell ref="B18:D1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7"/>
  <sheetViews>
    <sheetView view="pageBreakPreview" topLeftCell="B1" zoomScale="80" zoomScaleNormal="70" zoomScaleSheetLayoutView="80" workbookViewId="0">
      <selection activeCell="B20" sqref="B20"/>
    </sheetView>
  </sheetViews>
  <sheetFormatPr defaultRowHeight="16.5" x14ac:dyDescent="0.45"/>
  <cols>
    <col min="1" max="1" width="12.1796875" style="38" customWidth="1"/>
    <col min="2" max="2" width="12" style="38" customWidth="1"/>
    <col min="3" max="3" width="5" style="38" customWidth="1"/>
    <col min="4" max="4" width="59.7265625" style="38" customWidth="1"/>
    <col min="5" max="5" width="14.7265625" style="38" customWidth="1"/>
    <col min="6" max="6" width="9.81640625" style="38" customWidth="1"/>
    <col min="7" max="7" width="14.81640625" style="38" customWidth="1"/>
    <col min="8" max="8" width="21.453125" style="38" customWidth="1"/>
    <col min="9" max="9" width="25" style="38" customWidth="1"/>
    <col min="10" max="10" width="41.26953125" style="2" customWidth="1"/>
  </cols>
  <sheetData>
    <row r="1" spans="1:10" ht="22.5" x14ac:dyDescent="0.35">
      <c r="A1" s="1020" t="s">
        <v>177</v>
      </c>
      <c r="B1" s="1020"/>
      <c r="C1" s="1020"/>
      <c r="D1" s="1020"/>
      <c r="E1" s="1020"/>
      <c r="F1" s="1020"/>
      <c r="G1" s="1020"/>
      <c r="H1" s="1020"/>
      <c r="I1" s="1020"/>
      <c r="J1"/>
    </row>
    <row r="2" spans="1:10" ht="15.5" x14ac:dyDescent="0.35">
      <c r="A2" s="8"/>
      <c r="B2" s="9"/>
      <c r="C2" s="9"/>
      <c r="D2" s="8"/>
      <c r="E2" s="11"/>
      <c r="F2" s="11"/>
      <c r="G2" s="11"/>
      <c r="H2" s="11"/>
      <c r="I2" s="11"/>
      <c r="J2"/>
    </row>
    <row r="3" spans="1:10" ht="15.5" x14ac:dyDescent="0.35">
      <c r="A3" s="10" t="s">
        <v>8</v>
      </c>
      <c r="B3" s="39"/>
      <c r="C3" s="39" t="s">
        <v>1</v>
      </c>
      <c r="D3" s="10" t="str">
        <f>Rekapitulasi!D4</f>
        <v>PEMBANGUNAN GEDUNG A (STRUKTUR DAN ARSITEKTUR)</v>
      </c>
      <c r="E3" s="11"/>
      <c r="F3" s="11"/>
      <c r="G3" s="11"/>
      <c r="H3" s="11"/>
      <c r="I3" s="11"/>
      <c r="J3"/>
    </row>
    <row r="4" spans="1:10" ht="15.5" x14ac:dyDescent="0.35">
      <c r="A4" s="10" t="str">
        <f>+Rekapitulasi!A5</f>
        <v>LOKASI</v>
      </c>
      <c r="B4" s="39"/>
      <c r="C4" s="39" t="s">
        <v>1</v>
      </c>
      <c r="D4" s="10" t="str">
        <f>+Rekapitulasi!D5</f>
        <v>DINAS ABC</v>
      </c>
      <c r="E4" s="11"/>
      <c r="F4" s="11"/>
      <c r="G4" s="11"/>
      <c r="H4" s="11"/>
      <c r="I4" s="11"/>
      <c r="J4"/>
    </row>
    <row r="5" spans="1:10" ht="15.5" x14ac:dyDescent="0.35">
      <c r="A5" s="10" t="str">
        <f>+Rekapitulasi!A6</f>
        <v>KABUPATEN</v>
      </c>
      <c r="B5" s="39"/>
      <c r="C5" s="39" t="s">
        <v>1</v>
      </c>
      <c r="D5" s="10" t="str">
        <f>+Rekapitulasi!D6</f>
        <v>MAJALENGKA</v>
      </c>
      <c r="E5" s="11"/>
      <c r="F5" s="11"/>
      <c r="G5" s="11"/>
      <c r="H5" s="11"/>
      <c r="I5" s="11"/>
      <c r="J5"/>
    </row>
    <row r="6" spans="1:10" ht="15.5" x14ac:dyDescent="0.35">
      <c r="A6" s="10" t="str">
        <f>+Rekapitulasi!A7</f>
        <v>TAHUN ANGGARAN</v>
      </c>
      <c r="B6" s="39"/>
      <c r="C6" s="39" t="s">
        <v>1</v>
      </c>
      <c r="D6" s="40">
        <f>+Rekapitulasi!D7</f>
        <v>2019</v>
      </c>
      <c r="E6" s="11"/>
      <c r="F6" s="11"/>
      <c r="G6" s="11"/>
      <c r="H6" s="11"/>
      <c r="I6" s="11"/>
      <c r="J6"/>
    </row>
    <row r="7" spans="1:10" ht="9" customHeight="1" x14ac:dyDescent="0.35">
      <c r="A7" s="92"/>
      <c r="B7" s="93"/>
      <c r="C7" s="93"/>
      <c r="D7" s="94"/>
      <c r="E7" s="95"/>
      <c r="F7" s="95"/>
      <c r="G7" s="95"/>
      <c r="H7" s="95"/>
      <c r="I7" s="95"/>
      <c r="J7"/>
    </row>
    <row r="8" spans="1:10" ht="14.5" x14ac:dyDescent="0.35">
      <c r="A8" s="1021" t="s">
        <v>13</v>
      </c>
      <c r="B8" s="1023" t="s">
        <v>3</v>
      </c>
      <c r="C8" s="1024"/>
      <c r="D8" s="1025"/>
      <c r="E8" s="1029" t="s">
        <v>15</v>
      </c>
      <c r="F8" s="1029" t="s">
        <v>102</v>
      </c>
      <c r="G8" s="1029" t="s">
        <v>14</v>
      </c>
      <c r="H8" s="1029" t="s">
        <v>301</v>
      </c>
      <c r="I8" s="1029" t="s">
        <v>302</v>
      </c>
      <c r="J8"/>
    </row>
    <row r="9" spans="1:10" ht="15.75" customHeight="1" x14ac:dyDescent="0.35">
      <c r="A9" s="1022"/>
      <c r="B9" s="1026"/>
      <c r="C9" s="1027"/>
      <c r="D9" s="1028"/>
      <c r="E9" s="1031"/>
      <c r="F9" s="1031"/>
      <c r="G9" s="1032"/>
      <c r="H9" s="1030"/>
      <c r="I9" s="1031"/>
      <c r="J9"/>
    </row>
    <row r="10" spans="1:10" ht="15.5" x14ac:dyDescent="0.35">
      <c r="A10" s="35" t="s">
        <v>21</v>
      </c>
      <c r="B10" s="61" t="s">
        <v>431</v>
      </c>
      <c r="C10" s="446"/>
      <c r="D10" s="447"/>
      <c r="E10" s="35"/>
      <c r="F10" s="35"/>
      <c r="G10" s="35"/>
      <c r="H10" s="35"/>
      <c r="I10" s="46"/>
      <c r="J10"/>
    </row>
    <row r="11" spans="1:10" ht="15.5" x14ac:dyDescent="0.35">
      <c r="A11" s="16">
        <v>1</v>
      </c>
      <c r="B11" s="37" t="s">
        <v>237</v>
      </c>
      <c r="C11" s="14"/>
      <c r="D11" s="15"/>
      <c r="E11" s="47">
        <v>126.61</v>
      </c>
      <c r="F11" s="16" t="s">
        <v>31</v>
      </c>
      <c r="G11" s="16" t="s">
        <v>179</v>
      </c>
      <c r="H11" s="47">
        <f>'Analisa '!K11</f>
        <v>101200</v>
      </c>
      <c r="I11" s="32">
        <f>ROUND(E11*H11,2)</f>
        <v>12812932</v>
      </c>
      <c r="J11"/>
    </row>
    <row r="12" spans="1:10" ht="15.5" x14ac:dyDescent="0.35">
      <c r="A12" s="16">
        <v>2</v>
      </c>
      <c r="B12" s="37" t="s">
        <v>434</v>
      </c>
      <c r="C12" s="14"/>
      <c r="D12" s="15"/>
      <c r="E12" s="42">
        <v>180</v>
      </c>
      <c r="F12" s="16" t="s">
        <v>30</v>
      </c>
      <c r="G12" s="16" t="s">
        <v>236</v>
      </c>
      <c r="H12" s="43">
        <f>'Analisa '!K25</f>
        <v>14950</v>
      </c>
      <c r="I12" s="32">
        <f t="shared" ref="I12:I13" si="0">ROUND(E12*H12,2)</f>
        <v>2691000</v>
      </c>
      <c r="J12"/>
    </row>
    <row r="13" spans="1:10" ht="15.5" x14ac:dyDescent="0.35">
      <c r="A13" s="16">
        <f t="shared" ref="A13" si="1">+A12+1</f>
        <v>3</v>
      </c>
      <c r="B13" s="37" t="s">
        <v>435</v>
      </c>
      <c r="C13" s="14"/>
      <c r="D13" s="15"/>
      <c r="E13" s="47">
        <v>1</v>
      </c>
      <c r="F13" s="16" t="s">
        <v>175</v>
      </c>
      <c r="G13" s="16" t="s">
        <v>16</v>
      </c>
      <c r="H13" s="47">
        <v>15000000</v>
      </c>
      <c r="I13" s="32">
        <f t="shared" si="0"/>
        <v>15000000</v>
      </c>
      <c r="J13"/>
    </row>
    <row r="14" spans="1:10" ht="15.5" x14ac:dyDescent="0.35">
      <c r="A14" s="1033" t="s">
        <v>292</v>
      </c>
      <c r="B14" s="1034"/>
      <c r="C14" s="1034"/>
      <c r="D14" s="1034"/>
      <c r="E14" s="1034"/>
      <c r="F14" s="1034"/>
      <c r="G14" s="1034"/>
      <c r="H14" s="1035"/>
      <c r="I14" s="52">
        <f>SUM(I11:I13)</f>
        <v>30503932</v>
      </c>
      <c r="J14"/>
    </row>
    <row r="15" spans="1:10" ht="15.5" x14ac:dyDescent="0.35">
      <c r="A15" s="35" t="s">
        <v>22</v>
      </c>
      <c r="B15" s="61" t="s">
        <v>11</v>
      </c>
      <c r="C15" s="446"/>
      <c r="D15" s="447"/>
      <c r="E15" s="35"/>
      <c r="F15" s="35"/>
      <c r="G15" s="35"/>
      <c r="H15" s="35"/>
      <c r="I15" s="46"/>
      <c r="J15"/>
    </row>
    <row r="16" spans="1:10" ht="15.5" x14ac:dyDescent="0.35">
      <c r="A16" s="16">
        <v>1</v>
      </c>
      <c r="B16" s="37" t="s">
        <v>180</v>
      </c>
      <c r="C16" s="14"/>
      <c r="D16" s="15"/>
      <c r="E16" s="47">
        <v>40</v>
      </c>
      <c r="F16" s="16" t="s">
        <v>12</v>
      </c>
      <c r="G16" s="16" t="s">
        <v>184</v>
      </c>
      <c r="H16" s="47">
        <f>'Analisa '!K34</f>
        <v>67850</v>
      </c>
      <c r="I16" s="32">
        <f>ROUND(E16*H16,2)</f>
        <v>2714000</v>
      </c>
      <c r="J16"/>
    </row>
    <row r="17" spans="1:10" ht="15.5" x14ac:dyDescent="0.35">
      <c r="A17" s="16">
        <f>+A16+1</f>
        <v>2</v>
      </c>
      <c r="B17" s="37" t="s">
        <v>181</v>
      </c>
      <c r="C17" s="14"/>
      <c r="D17" s="15"/>
      <c r="E17" s="47">
        <v>28</v>
      </c>
      <c r="F17" s="16" t="s">
        <v>12</v>
      </c>
      <c r="G17" s="16" t="s">
        <v>185</v>
      </c>
      <c r="H17" s="47">
        <f>'Analisa '!K43</f>
        <v>83317.5</v>
      </c>
      <c r="I17" s="32">
        <f t="shared" ref="I17:I20" si="2">ROUND(E17*H17,2)</f>
        <v>2332890</v>
      </c>
      <c r="J17"/>
    </row>
    <row r="18" spans="1:10" ht="15.5" x14ac:dyDescent="0.35">
      <c r="A18" s="16">
        <v>3</v>
      </c>
      <c r="B18" s="37" t="s">
        <v>17</v>
      </c>
      <c r="C18" s="14"/>
      <c r="D18" s="15"/>
      <c r="E18" s="47">
        <v>16</v>
      </c>
      <c r="F18" s="16" t="s">
        <v>12</v>
      </c>
      <c r="G18" s="16" t="s">
        <v>20</v>
      </c>
      <c r="H18" s="47">
        <f>'Analisa '!K52</f>
        <v>16483.333333333332</v>
      </c>
      <c r="I18" s="32">
        <f t="shared" si="2"/>
        <v>263733.33</v>
      </c>
      <c r="J18"/>
    </row>
    <row r="19" spans="1:10" ht="15.5" x14ac:dyDescent="0.35">
      <c r="A19" s="16">
        <v>4</v>
      </c>
      <c r="B19" s="37" t="s">
        <v>779</v>
      </c>
      <c r="C19" s="14"/>
      <c r="D19" s="15"/>
      <c r="E19" s="47">
        <v>8.76</v>
      </c>
      <c r="F19" s="16" t="s">
        <v>12</v>
      </c>
      <c r="G19" s="16" t="s">
        <v>18</v>
      </c>
      <c r="H19" s="47">
        <f>'Analisa '!K62</f>
        <v>475640</v>
      </c>
      <c r="I19" s="32">
        <f t="shared" si="2"/>
        <v>4166606.4</v>
      </c>
      <c r="J19"/>
    </row>
    <row r="20" spans="1:10" ht="15.5" x14ac:dyDescent="0.35">
      <c r="A20" s="16">
        <v>5</v>
      </c>
      <c r="B20" s="37" t="s">
        <v>182</v>
      </c>
      <c r="C20" s="14"/>
      <c r="D20" s="15"/>
      <c r="E20" s="47">
        <v>10</v>
      </c>
      <c r="F20" s="16" t="s">
        <v>12</v>
      </c>
      <c r="G20" s="16" t="s">
        <v>18</v>
      </c>
      <c r="H20" s="47">
        <f>'Analisa '!K62</f>
        <v>475640</v>
      </c>
      <c r="I20" s="32">
        <f t="shared" si="2"/>
        <v>4756400</v>
      </c>
      <c r="J20"/>
    </row>
    <row r="21" spans="1:10" ht="15.5" x14ac:dyDescent="0.35">
      <c r="A21" s="1033" t="s">
        <v>293</v>
      </c>
      <c r="B21" s="1034"/>
      <c r="C21" s="1034"/>
      <c r="D21" s="1034"/>
      <c r="E21" s="1034"/>
      <c r="F21" s="1034"/>
      <c r="G21" s="1034"/>
      <c r="H21" s="1035"/>
      <c r="I21" s="52">
        <f>SUM(I16:I20)</f>
        <v>14233629.73</v>
      </c>
      <c r="J21"/>
    </row>
    <row r="22" spans="1:10" ht="15.5" x14ac:dyDescent="0.35">
      <c r="A22" s="35" t="s">
        <v>23</v>
      </c>
      <c r="B22" s="44" t="s">
        <v>197</v>
      </c>
      <c r="C22" s="45"/>
      <c r="D22" s="45"/>
      <c r="E22" s="35"/>
      <c r="F22" s="35"/>
      <c r="G22" s="35"/>
      <c r="H22" s="53"/>
      <c r="I22" s="36"/>
      <c r="J22"/>
    </row>
    <row r="23" spans="1:10" ht="15.5" x14ac:dyDescent="0.35">
      <c r="A23" s="48">
        <v>1</v>
      </c>
      <c r="B23" s="49" t="s">
        <v>183</v>
      </c>
      <c r="C23" s="49"/>
      <c r="D23" s="49"/>
      <c r="E23" s="60">
        <v>48.9</v>
      </c>
      <c r="F23" s="48" t="s">
        <v>12</v>
      </c>
      <c r="G23" s="48" t="s">
        <v>24</v>
      </c>
      <c r="H23" s="50">
        <f>'Analisa '!K72</f>
        <v>1043912.5</v>
      </c>
      <c r="I23" s="484">
        <f>+H23*E23</f>
        <v>51047321.25</v>
      </c>
      <c r="J23"/>
    </row>
    <row r="24" spans="1:10" ht="15.5" x14ac:dyDescent="0.35">
      <c r="A24" s="1033" t="s">
        <v>294</v>
      </c>
      <c r="B24" s="1034"/>
      <c r="C24" s="1034"/>
      <c r="D24" s="1034"/>
      <c r="E24" s="1034"/>
      <c r="F24" s="1034"/>
      <c r="G24" s="1034"/>
      <c r="H24" s="1035"/>
      <c r="I24" s="52">
        <f>SUM(I23:I23)</f>
        <v>51047321.25</v>
      </c>
      <c r="J24"/>
    </row>
    <row r="25" spans="1:10" ht="15.5" x14ac:dyDescent="0.35">
      <c r="A25" s="35" t="s">
        <v>32</v>
      </c>
      <c r="B25" s="110" t="s">
        <v>186</v>
      </c>
      <c r="C25" s="65"/>
      <c r="D25" s="66"/>
      <c r="E25" s="67"/>
      <c r="F25" s="55"/>
      <c r="G25" s="68"/>
      <c r="H25" s="69"/>
      <c r="I25" s="70"/>
      <c r="J25"/>
    </row>
    <row r="26" spans="1:10" ht="15.5" x14ac:dyDescent="0.35">
      <c r="A26" s="48">
        <v>1</v>
      </c>
      <c r="B26" s="49" t="s">
        <v>438</v>
      </c>
      <c r="C26" s="49"/>
      <c r="D26" s="49"/>
      <c r="E26" s="50">
        <v>4.2</v>
      </c>
      <c r="F26" s="48" t="s">
        <v>12</v>
      </c>
      <c r="G26" s="48" t="s">
        <v>19</v>
      </c>
      <c r="H26" s="50">
        <f>'Analisa '!K86</f>
        <v>901784</v>
      </c>
      <c r="I26" s="51">
        <f>ROUND(E26*H26,2)</f>
        <v>3787492.8</v>
      </c>
      <c r="J26"/>
    </row>
    <row r="27" spans="1:10" ht="15.5" x14ac:dyDescent="0.35">
      <c r="A27" s="48">
        <v>2</v>
      </c>
      <c r="B27" s="49" t="s">
        <v>442</v>
      </c>
      <c r="C27" s="49"/>
      <c r="D27" s="49"/>
      <c r="E27" s="50">
        <v>18.62</v>
      </c>
      <c r="F27" s="48" t="s">
        <v>12</v>
      </c>
      <c r="G27" s="48" t="s">
        <v>19</v>
      </c>
      <c r="H27" s="50">
        <f>'Analisa '!K86</f>
        <v>901784</v>
      </c>
      <c r="I27" s="51">
        <f t="shared" ref="I27" si="3">ROUND(E27*H27,2)</f>
        <v>16791218.079999998</v>
      </c>
      <c r="J27"/>
    </row>
    <row r="28" spans="1:10" ht="15.5" x14ac:dyDescent="0.35">
      <c r="A28" s="19">
        <v>3</v>
      </c>
      <c r="B28" s="71" t="s">
        <v>611</v>
      </c>
      <c r="C28" s="71"/>
      <c r="D28" s="73"/>
      <c r="E28" s="72"/>
      <c r="F28" s="16"/>
      <c r="G28" s="62"/>
      <c r="H28" s="74"/>
      <c r="I28" s="75"/>
      <c r="J28"/>
    </row>
    <row r="29" spans="1:10" ht="15.5" x14ac:dyDescent="0.35">
      <c r="A29" s="16"/>
      <c r="B29" s="22" t="s">
        <v>618</v>
      </c>
      <c r="C29" s="22"/>
      <c r="D29" s="23"/>
      <c r="E29" s="21">
        <v>33.6</v>
      </c>
      <c r="F29" s="16" t="s">
        <v>12</v>
      </c>
      <c r="G29" s="62" t="s">
        <v>43</v>
      </c>
      <c r="H29" s="47">
        <f>'Analisa '!K102</f>
        <v>1115149.25</v>
      </c>
      <c r="I29" s="32">
        <f>ROUND(E29*$H29,2)</f>
        <v>37469014.799999997</v>
      </c>
      <c r="J29"/>
    </row>
    <row r="30" spans="1:10" ht="15.5" x14ac:dyDescent="0.35">
      <c r="A30" s="16"/>
      <c r="B30" s="22" t="s">
        <v>633</v>
      </c>
      <c r="C30" s="22"/>
      <c r="D30" s="23"/>
      <c r="E30" s="21">
        <v>5563.92</v>
      </c>
      <c r="F30" s="16" t="s">
        <v>189</v>
      </c>
      <c r="G30" s="62" t="s">
        <v>44</v>
      </c>
      <c r="H30" s="47">
        <f>'Analisa '!K118</f>
        <v>14444.575000000001</v>
      </c>
      <c r="I30" s="32">
        <f>ROUND(E30*$H30,2)</f>
        <v>80368459.730000004</v>
      </c>
      <c r="J30"/>
    </row>
    <row r="31" spans="1:10" ht="15.5" x14ac:dyDescent="0.35">
      <c r="A31" s="16"/>
      <c r="B31" s="14" t="s">
        <v>445</v>
      </c>
      <c r="C31" s="14"/>
      <c r="D31" s="15"/>
      <c r="E31" s="21">
        <v>146.80000000000001</v>
      </c>
      <c r="F31" s="16" t="s">
        <v>30</v>
      </c>
      <c r="G31" s="62" t="s">
        <v>45</v>
      </c>
      <c r="H31" s="47">
        <f>'Analisa '!K131</f>
        <v>155399.5</v>
      </c>
      <c r="I31" s="32">
        <f>ROUND(E31*$H31,2)</f>
        <v>22812646.600000001</v>
      </c>
      <c r="J31"/>
    </row>
    <row r="32" spans="1:10" ht="15.5" x14ac:dyDescent="0.35">
      <c r="A32" s="19">
        <v>4</v>
      </c>
      <c r="B32" s="17" t="s">
        <v>272</v>
      </c>
      <c r="C32" s="17"/>
      <c r="D32" s="18"/>
      <c r="E32" s="25"/>
      <c r="F32" s="19"/>
      <c r="G32" s="20"/>
      <c r="H32" s="26"/>
      <c r="I32" s="76"/>
      <c r="J32"/>
    </row>
    <row r="33" spans="1:10" ht="15.5" x14ac:dyDescent="0.35">
      <c r="A33" s="16"/>
      <c r="B33" s="22" t="s">
        <v>618</v>
      </c>
      <c r="C33" s="22"/>
      <c r="D33" s="23"/>
      <c r="E33" s="21">
        <v>13.54</v>
      </c>
      <c r="F33" s="16" t="s">
        <v>12</v>
      </c>
      <c r="G33" s="62" t="s">
        <v>43</v>
      </c>
      <c r="H33" s="47">
        <f>H29</f>
        <v>1115149.25</v>
      </c>
      <c r="I33" s="54">
        <f>ROUND(E33*H33,2)</f>
        <v>15099120.85</v>
      </c>
      <c r="J33"/>
    </row>
    <row r="34" spans="1:10" ht="15.5" x14ac:dyDescent="0.35">
      <c r="A34" s="16"/>
      <c r="B34" s="22" t="s">
        <v>633</v>
      </c>
      <c r="C34" s="22"/>
      <c r="D34" s="23"/>
      <c r="E34" s="21">
        <v>1642.79</v>
      </c>
      <c r="F34" s="16" t="s">
        <v>189</v>
      </c>
      <c r="G34" s="62" t="s">
        <v>44</v>
      </c>
      <c r="H34" s="47">
        <f>'Analisa '!K118</f>
        <v>14444.575000000001</v>
      </c>
      <c r="I34" s="54">
        <f>ROUND(E34*H34,2)</f>
        <v>23729403.359999999</v>
      </c>
      <c r="J34"/>
    </row>
    <row r="35" spans="1:10" ht="15.5" x14ac:dyDescent="0.35">
      <c r="A35" s="16"/>
      <c r="B35" s="14" t="s">
        <v>445</v>
      </c>
      <c r="C35" s="14"/>
      <c r="D35" s="15"/>
      <c r="E35" s="21">
        <v>90.29</v>
      </c>
      <c r="F35" s="16" t="s">
        <v>30</v>
      </c>
      <c r="G35" s="62" t="s">
        <v>47</v>
      </c>
      <c r="H35" s="47">
        <f>'Analisa '!K145</f>
        <v>165749.5</v>
      </c>
      <c r="I35" s="54">
        <f>ROUND(E35*H35,2)</f>
        <v>14965522.359999999</v>
      </c>
      <c r="J35"/>
    </row>
    <row r="36" spans="1:10" ht="15.5" x14ac:dyDescent="0.35">
      <c r="A36" s="19">
        <v>5</v>
      </c>
      <c r="B36" s="17" t="s">
        <v>612</v>
      </c>
      <c r="C36" s="17"/>
      <c r="D36" s="18"/>
      <c r="E36" s="28"/>
      <c r="F36" s="27"/>
      <c r="G36" s="29"/>
      <c r="H36" s="30"/>
      <c r="I36" s="64"/>
      <c r="J36"/>
    </row>
    <row r="37" spans="1:10" ht="15.5" x14ac:dyDescent="0.35">
      <c r="A37" s="16"/>
      <c r="B37" s="22" t="s">
        <v>618</v>
      </c>
      <c r="C37" s="22"/>
      <c r="D37" s="23"/>
      <c r="E37" s="21">
        <v>16.53</v>
      </c>
      <c r="F37" s="16" t="s">
        <v>12</v>
      </c>
      <c r="G37" s="62" t="s">
        <v>43</v>
      </c>
      <c r="H37" s="47">
        <f>+H33</f>
        <v>1115149.25</v>
      </c>
      <c r="I37" s="32">
        <f>ROUND(E37*$H37,2)</f>
        <v>18433417.100000001</v>
      </c>
      <c r="J37"/>
    </row>
    <row r="38" spans="1:10" ht="15.5" x14ac:dyDescent="0.35">
      <c r="A38" s="16"/>
      <c r="B38" s="22" t="s">
        <v>633</v>
      </c>
      <c r="C38" s="22"/>
      <c r="D38" s="23"/>
      <c r="E38" s="21">
        <v>5244.35</v>
      </c>
      <c r="F38" s="16" t="s">
        <v>189</v>
      </c>
      <c r="G38" s="62" t="s">
        <v>44</v>
      </c>
      <c r="H38" s="47">
        <f>H34</f>
        <v>14444.575000000001</v>
      </c>
      <c r="I38" s="32">
        <f>ROUND(E38*$H38,2)</f>
        <v>75752406.900000006</v>
      </c>
      <c r="J38"/>
    </row>
    <row r="39" spans="1:10" ht="15.5" x14ac:dyDescent="0.35">
      <c r="A39" s="16"/>
      <c r="B39" s="14" t="s">
        <v>445</v>
      </c>
      <c r="C39" s="14"/>
      <c r="D39" s="15"/>
      <c r="E39" s="21">
        <v>165.31200000000001</v>
      </c>
      <c r="F39" s="16" t="s">
        <v>30</v>
      </c>
      <c r="G39" s="62" t="s">
        <v>46</v>
      </c>
      <c r="H39" s="47">
        <f>'Analisa '!K159</f>
        <v>399067.25</v>
      </c>
      <c r="I39" s="32">
        <f>ROUND(E39*$H39,2)</f>
        <v>65970605.229999997</v>
      </c>
      <c r="J39"/>
    </row>
    <row r="40" spans="1:10" ht="15.5" x14ac:dyDescent="0.35">
      <c r="A40" s="19">
        <v>6</v>
      </c>
      <c r="B40" s="17" t="s">
        <v>613</v>
      </c>
      <c r="C40" s="17"/>
      <c r="D40" s="18"/>
      <c r="E40" s="28"/>
      <c r="F40" s="27"/>
      <c r="G40" s="29"/>
      <c r="H40" s="30"/>
      <c r="I40" s="64"/>
      <c r="J40"/>
    </row>
    <row r="41" spans="1:10" ht="15.5" x14ac:dyDescent="0.35">
      <c r="A41" s="16"/>
      <c r="B41" s="22" t="s">
        <v>618</v>
      </c>
      <c r="C41" s="22"/>
      <c r="D41" s="23"/>
      <c r="E41" s="21">
        <v>17.913</v>
      </c>
      <c r="F41" s="16" t="s">
        <v>12</v>
      </c>
      <c r="G41" s="62" t="s">
        <v>43</v>
      </c>
      <c r="H41" s="47">
        <f>H37</f>
        <v>1115149.25</v>
      </c>
      <c r="I41" s="32">
        <f>ROUND(E41*$H41,2)</f>
        <v>19975668.52</v>
      </c>
      <c r="J41"/>
    </row>
    <row r="42" spans="1:10" ht="15.5" x14ac:dyDescent="0.35">
      <c r="A42" s="16"/>
      <c r="B42" s="22" t="s">
        <v>633</v>
      </c>
      <c r="C42" s="22"/>
      <c r="D42" s="23"/>
      <c r="E42" s="21">
        <v>2498.1799999999998</v>
      </c>
      <c r="F42" s="16" t="s">
        <v>189</v>
      </c>
      <c r="G42" s="62" t="s">
        <v>44</v>
      </c>
      <c r="H42" s="47">
        <f>H38</f>
        <v>14444.575000000001</v>
      </c>
      <c r="I42" s="32">
        <f>ROUND(E42*$H42,2)</f>
        <v>36085148.369999997</v>
      </c>
      <c r="J42"/>
    </row>
    <row r="43" spans="1:10" ht="15.5" x14ac:dyDescent="0.35">
      <c r="A43" s="16"/>
      <c r="B43" s="14" t="s">
        <v>445</v>
      </c>
      <c r="C43" s="14"/>
      <c r="D43" s="15"/>
      <c r="E43" s="21">
        <v>158.55000000000001</v>
      </c>
      <c r="F43" s="16" t="s">
        <v>30</v>
      </c>
      <c r="G43" s="62" t="s">
        <v>48</v>
      </c>
      <c r="H43" s="47">
        <f t="shared" ref="H43" si="4">H39</f>
        <v>399067.25</v>
      </c>
      <c r="I43" s="32">
        <f>ROUND(E43*$H43,2)</f>
        <v>63272112.490000002</v>
      </c>
      <c r="J43"/>
    </row>
    <row r="44" spans="1:10" ht="15.5" x14ac:dyDescent="0.35">
      <c r="A44" s="19">
        <v>7</v>
      </c>
      <c r="B44" s="17" t="s">
        <v>187</v>
      </c>
      <c r="C44" s="24"/>
      <c r="D44" s="20"/>
      <c r="E44" s="77">
        <v>72.8</v>
      </c>
      <c r="F44" s="16" t="s">
        <v>31</v>
      </c>
      <c r="G44" s="62" t="s">
        <v>190</v>
      </c>
      <c r="H44" s="79">
        <f>'Analisa '!K193</f>
        <v>78596.75</v>
      </c>
      <c r="I44" s="32">
        <f>ROUND(E44*$H44,2)</f>
        <v>5721843.4000000004</v>
      </c>
      <c r="J44"/>
    </row>
    <row r="45" spans="1:10" ht="15.5" x14ac:dyDescent="0.35">
      <c r="A45" s="78">
        <v>8</v>
      </c>
      <c r="B45" s="80" t="s">
        <v>188</v>
      </c>
      <c r="C45" s="81"/>
      <c r="D45" s="31"/>
      <c r="E45" s="82">
        <v>64.84</v>
      </c>
      <c r="F45" s="48" t="s">
        <v>31</v>
      </c>
      <c r="G45" s="63" t="s">
        <v>28</v>
      </c>
      <c r="H45" s="83">
        <f>'Analisa '!K213</f>
        <v>110253.375</v>
      </c>
      <c r="I45" s="51">
        <f>ROUND(E45*$H45,2)</f>
        <v>7148828.8399999999</v>
      </c>
      <c r="J45"/>
    </row>
    <row r="46" spans="1:10" ht="15.5" x14ac:dyDescent="0.35">
      <c r="A46" s="1033" t="s">
        <v>295</v>
      </c>
      <c r="B46" s="1034"/>
      <c r="C46" s="1034"/>
      <c r="D46" s="1034"/>
      <c r="E46" s="1034"/>
      <c r="F46" s="1034"/>
      <c r="G46" s="1034"/>
      <c r="H46" s="1035"/>
      <c r="I46" s="52">
        <f>SUM(I26:I45)</f>
        <v>507382909.42999995</v>
      </c>
      <c r="J46"/>
    </row>
    <row r="47" spans="1:10" ht="15.5" x14ac:dyDescent="0.35">
      <c r="A47" s="35" t="s">
        <v>35</v>
      </c>
      <c r="B47" s="61" t="s">
        <v>447</v>
      </c>
      <c r="C47" s="446"/>
      <c r="D47" s="447"/>
      <c r="E47" s="56"/>
      <c r="F47" s="55"/>
      <c r="G47" s="55"/>
      <c r="H47" s="57"/>
      <c r="I47" s="58"/>
      <c r="J47"/>
    </row>
    <row r="48" spans="1:10" ht="15.5" x14ac:dyDescent="0.35">
      <c r="A48" s="16">
        <v>1</v>
      </c>
      <c r="B48" s="37" t="s">
        <v>440</v>
      </c>
      <c r="C48" s="14"/>
      <c r="D48" s="15"/>
      <c r="E48" s="42">
        <v>290.97480000000002</v>
      </c>
      <c r="F48" s="16" t="s">
        <v>30</v>
      </c>
      <c r="G48" s="16" t="s">
        <v>25</v>
      </c>
      <c r="H48" s="47">
        <f>'Analisa '!K233</f>
        <v>130539.375</v>
      </c>
      <c r="I48" s="54">
        <f t="shared" ref="I48" si="5">ROUND(E48*H48,2)</f>
        <v>37983668.530000001</v>
      </c>
      <c r="J48"/>
    </row>
    <row r="49" spans="1:10" ht="15.5" x14ac:dyDescent="0.35">
      <c r="A49" s="16">
        <v>2</v>
      </c>
      <c r="B49" s="37" t="s">
        <v>282</v>
      </c>
      <c r="C49" s="14"/>
      <c r="D49" s="15"/>
      <c r="E49" s="42">
        <v>631.7016000000001</v>
      </c>
      <c r="F49" s="16" t="s">
        <v>30</v>
      </c>
      <c r="G49" s="16" t="s">
        <v>26</v>
      </c>
      <c r="H49" s="47">
        <f>'Analisa '!K248</f>
        <v>61979.25</v>
      </c>
      <c r="I49" s="54">
        <f t="shared" ref="I49" si="6">ROUND(E49*H49,2)</f>
        <v>39152391.390000001</v>
      </c>
      <c r="J49"/>
    </row>
    <row r="50" spans="1:10" ht="15.5" x14ac:dyDescent="0.35">
      <c r="A50" s="16">
        <v>3</v>
      </c>
      <c r="B50" s="37" t="s">
        <v>446</v>
      </c>
      <c r="C50" s="14"/>
      <c r="D50" s="15"/>
      <c r="E50" s="42">
        <v>631.7016000000001</v>
      </c>
      <c r="F50" s="16" t="s">
        <v>30</v>
      </c>
      <c r="G50" s="16" t="s">
        <v>29</v>
      </c>
      <c r="H50" s="47">
        <f>'Analisa '!K261</f>
        <v>34162.1875</v>
      </c>
      <c r="I50" s="54">
        <f t="shared" ref="I50" si="7">ROUND(E50*H50,2)</f>
        <v>21580308.5</v>
      </c>
      <c r="J50"/>
    </row>
    <row r="51" spans="1:10" ht="15.5" x14ac:dyDescent="0.35">
      <c r="A51" s="1033" t="s">
        <v>296</v>
      </c>
      <c r="B51" s="1034"/>
      <c r="C51" s="1034"/>
      <c r="D51" s="1034"/>
      <c r="E51" s="1034"/>
      <c r="F51" s="1034"/>
      <c r="G51" s="1034"/>
      <c r="H51" s="1035"/>
      <c r="I51" s="52">
        <f>SUM(I48:I50)</f>
        <v>98716368.420000002</v>
      </c>
      <c r="J51"/>
    </row>
    <row r="52" spans="1:10" ht="15.5" x14ac:dyDescent="0.35">
      <c r="A52" s="35" t="s">
        <v>36</v>
      </c>
      <c r="B52" s="1036" t="s">
        <v>198</v>
      </c>
      <c r="C52" s="1037"/>
      <c r="D52" s="1038"/>
      <c r="E52" s="33"/>
      <c r="F52" s="35"/>
      <c r="G52" s="34"/>
      <c r="H52" s="35"/>
      <c r="I52" s="35"/>
      <c r="J52"/>
    </row>
    <row r="53" spans="1:10" ht="15.5" x14ac:dyDescent="0.35">
      <c r="A53" s="16">
        <v>1</v>
      </c>
      <c r="B53" s="1044" t="s">
        <v>200</v>
      </c>
      <c r="C53" s="1044"/>
      <c r="D53" s="1044"/>
      <c r="E53" s="42">
        <v>262.22000000000003</v>
      </c>
      <c r="F53" s="16" t="s">
        <v>30</v>
      </c>
      <c r="G53" s="16" t="s">
        <v>260</v>
      </c>
      <c r="H53" s="47">
        <f>'Analisa '!K273</f>
        <v>369972.25</v>
      </c>
      <c r="I53" s="54">
        <f t="shared" ref="I53" si="8">ROUND(E53*H53,2)</f>
        <v>97014123.400000006</v>
      </c>
      <c r="J53"/>
    </row>
    <row r="54" spans="1:10" ht="15.75" customHeight="1" x14ac:dyDescent="0.35">
      <c r="A54" s="16">
        <v>2</v>
      </c>
      <c r="B54" s="1039" t="s">
        <v>199</v>
      </c>
      <c r="C54" s="1040"/>
      <c r="D54" s="1041"/>
      <c r="E54" s="42">
        <v>8.48</v>
      </c>
      <c r="F54" s="16" t="s">
        <v>30</v>
      </c>
      <c r="G54" s="16" t="s">
        <v>27</v>
      </c>
      <c r="H54" s="47">
        <f>'Analisa '!K288</f>
        <v>211887.5</v>
      </c>
      <c r="I54" s="54">
        <f t="shared" ref="I54" si="9">ROUND(E54*H54,2)</f>
        <v>1796806</v>
      </c>
      <c r="J54"/>
    </row>
    <row r="55" spans="1:10" ht="15.5" x14ac:dyDescent="0.35">
      <c r="A55" s="1033" t="s">
        <v>297</v>
      </c>
      <c r="B55" s="1034"/>
      <c r="C55" s="1034"/>
      <c r="D55" s="1034"/>
      <c r="E55" s="1034"/>
      <c r="F55" s="1034"/>
      <c r="G55" s="1034"/>
      <c r="H55" s="1035"/>
      <c r="I55" s="52">
        <f>SUM(I53:I54)</f>
        <v>98810929.400000006</v>
      </c>
      <c r="J55"/>
    </row>
    <row r="56" spans="1:10" ht="15.5" x14ac:dyDescent="0.35">
      <c r="A56" s="35" t="s">
        <v>40</v>
      </c>
      <c r="B56" s="45" t="s">
        <v>201</v>
      </c>
      <c r="C56" s="45"/>
      <c r="D56" s="45"/>
      <c r="E56" s="35"/>
      <c r="F56" s="35"/>
      <c r="G56" s="35"/>
      <c r="H56" s="53"/>
      <c r="I56" s="36"/>
      <c r="J56"/>
    </row>
    <row r="57" spans="1:10" ht="15.5" x14ac:dyDescent="0.35">
      <c r="A57" s="16">
        <v>1</v>
      </c>
      <c r="B57" s="41" t="s">
        <v>273</v>
      </c>
      <c r="C57" s="41"/>
      <c r="D57" s="41"/>
      <c r="E57" s="59">
        <v>880.32</v>
      </c>
      <c r="F57" s="16" t="s">
        <v>39</v>
      </c>
      <c r="G57" s="16" t="s">
        <v>37</v>
      </c>
      <c r="H57" s="79">
        <f>'Analisa '!K316</f>
        <v>28951.25</v>
      </c>
      <c r="I57" s="32">
        <f t="shared" ref="I57:I62" si="10">ROUND(E57*$H57,2)</f>
        <v>25486364.399999999</v>
      </c>
      <c r="J57"/>
    </row>
    <row r="58" spans="1:10" ht="15.5" x14ac:dyDescent="0.35">
      <c r="A58" s="16">
        <v>2</v>
      </c>
      <c r="B58" s="41" t="s">
        <v>202</v>
      </c>
      <c r="C58" s="41"/>
      <c r="D58" s="41"/>
      <c r="E58" s="59">
        <v>742.48</v>
      </c>
      <c r="F58" s="16" t="s">
        <v>39</v>
      </c>
      <c r="G58" s="16" t="s">
        <v>38</v>
      </c>
      <c r="H58" s="79">
        <f>'Analisa '!K303</f>
        <v>30262.25</v>
      </c>
      <c r="I58" s="32">
        <f t="shared" si="10"/>
        <v>22469115.379999999</v>
      </c>
      <c r="J58"/>
    </row>
    <row r="59" spans="1:10" ht="15.5" x14ac:dyDescent="0.35">
      <c r="A59" s="16">
        <v>3</v>
      </c>
      <c r="B59" s="41" t="s">
        <v>203</v>
      </c>
      <c r="C59" s="41"/>
      <c r="D59" s="41"/>
      <c r="E59" s="54">
        <v>571.17471999999998</v>
      </c>
      <c r="F59" s="59" t="s">
        <v>30</v>
      </c>
      <c r="G59" s="16" t="s">
        <v>266</v>
      </c>
      <c r="H59" s="47">
        <f>'Analisa '!K328</f>
        <v>70299.5</v>
      </c>
      <c r="I59" s="32">
        <f t="shared" si="10"/>
        <v>40153297.229999997</v>
      </c>
      <c r="J59"/>
    </row>
    <row r="60" spans="1:10" ht="15.5" x14ac:dyDescent="0.35">
      <c r="A60" s="16">
        <f t="shared" ref="A60:A62" si="11">+A59+1</f>
        <v>4</v>
      </c>
      <c r="B60" s="41" t="s">
        <v>204</v>
      </c>
      <c r="C60" s="41"/>
      <c r="D60" s="41"/>
      <c r="E60" s="59">
        <v>52</v>
      </c>
      <c r="F60" s="16" t="s">
        <v>31</v>
      </c>
      <c r="G60" s="16" t="s">
        <v>454</v>
      </c>
      <c r="H60" s="79">
        <f>'Analisa '!K341</f>
        <v>37231.25</v>
      </c>
      <c r="I60" s="32">
        <f t="shared" si="10"/>
        <v>1936025</v>
      </c>
      <c r="J60"/>
    </row>
    <row r="61" spans="1:10" ht="15.5" x14ac:dyDescent="0.35">
      <c r="A61" s="16">
        <v>5</v>
      </c>
      <c r="B61" s="41" t="s">
        <v>205</v>
      </c>
      <c r="C61" s="41"/>
      <c r="D61" s="41"/>
      <c r="E61" s="59">
        <v>428.48</v>
      </c>
      <c r="F61" s="16" t="s">
        <v>30</v>
      </c>
      <c r="G61" s="16" t="s">
        <v>458</v>
      </c>
      <c r="H61" s="79">
        <f>'Analisa '!K367</f>
        <v>108450.75</v>
      </c>
      <c r="I61" s="32">
        <f t="shared" si="10"/>
        <v>46468977.359999999</v>
      </c>
      <c r="J61"/>
    </row>
    <row r="62" spans="1:10" ht="15.5" x14ac:dyDescent="0.35">
      <c r="A62" s="16">
        <f t="shared" si="11"/>
        <v>6</v>
      </c>
      <c r="B62" s="41" t="s">
        <v>463</v>
      </c>
      <c r="C62" s="41"/>
      <c r="D62" s="41"/>
      <c r="E62" s="54">
        <v>428.48</v>
      </c>
      <c r="F62" s="16" t="s">
        <v>30</v>
      </c>
      <c r="G62" s="16" t="s">
        <v>206</v>
      </c>
      <c r="H62" s="47">
        <f>'Analisa '!K380</f>
        <v>43588.45</v>
      </c>
      <c r="I62" s="32">
        <f t="shared" si="10"/>
        <v>18676779.059999999</v>
      </c>
      <c r="J62"/>
    </row>
    <row r="63" spans="1:10" ht="15.5" x14ac:dyDescent="0.35">
      <c r="A63" s="1033" t="s">
        <v>298</v>
      </c>
      <c r="B63" s="1034"/>
      <c r="C63" s="1034"/>
      <c r="D63" s="1034"/>
      <c r="E63" s="1034"/>
      <c r="F63" s="1034"/>
      <c r="G63" s="1034"/>
      <c r="H63" s="1035"/>
      <c r="I63" s="52">
        <f>SUM(I57:I62)</f>
        <v>155190558.43000001</v>
      </c>
      <c r="J63"/>
    </row>
    <row r="64" spans="1:10" ht="15.5" x14ac:dyDescent="0.35">
      <c r="A64" s="84" t="s">
        <v>42</v>
      </c>
      <c r="B64" s="1042" t="s">
        <v>192</v>
      </c>
      <c r="C64" s="1043"/>
      <c r="D64" s="1043"/>
      <c r="E64" s="35"/>
      <c r="F64" s="35"/>
      <c r="G64" s="35"/>
      <c r="H64" s="35"/>
      <c r="I64" s="85"/>
      <c r="J64"/>
    </row>
    <row r="65" spans="1:10" ht="15.5" x14ac:dyDescent="0.35">
      <c r="A65" s="16">
        <v>1</v>
      </c>
      <c r="B65" s="41" t="s">
        <v>274</v>
      </c>
      <c r="C65" s="41"/>
      <c r="D65" s="41"/>
      <c r="E65" s="86">
        <v>127.60000000000001</v>
      </c>
      <c r="F65" s="16" t="s">
        <v>31</v>
      </c>
      <c r="G65" s="16" t="s">
        <v>33</v>
      </c>
      <c r="H65" s="47">
        <f>'Analisa '!K408</f>
        <v>164949.67499999999</v>
      </c>
      <c r="I65" s="32">
        <f t="shared" ref="I65:I70" si="12">ROUND(E65*H65,2)</f>
        <v>21047578.530000001</v>
      </c>
      <c r="J65"/>
    </row>
    <row r="66" spans="1:10" ht="15.5" x14ac:dyDescent="0.35">
      <c r="A66" s="16">
        <f t="shared" ref="A66:A67" si="13">+A65+1</f>
        <v>2</v>
      </c>
      <c r="B66" s="41" t="s">
        <v>275</v>
      </c>
      <c r="C66" s="41"/>
      <c r="D66" s="41"/>
      <c r="E66" s="86">
        <v>543.95000000000005</v>
      </c>
      <c r="F66" s="16" t="s">
        <v>31</v>
      </c>
      <c r="G66" s="16" t="s">
        <v>33</v>
      </c>
      <c r="H66" s="47">
        <f>'Analisa '!K408</f>
        <v>164949.67499999999</v>
      </c>
      <c r="I66" s="32">
        <f t="shared" si="12"/>
        <v>89724375.719999999</v>
      </c>
      <c r="J66"/>
    </row>
    <row r="67" spans="1:10" ht="15.5" x14ac:dyDescent="0.35">
      <c r="A67" s="16">
        <f t="shared" si="13"/>
        <v>3</v>
      </c>
      <c r="B67" s="41" t="s">
        <v>283</v>
      </c>
      <c r="C67" s="41"/>
      <c r="D67" s="41"/>
      <c r="E67" s="86">
        <v>26.256</v>
      </c>
      <c r="F67" s="16" t="s">
        <v>30</v>
      </c>
      <c r="G67" s="16" t="s">
        <v>194</v>
      </c>
      <c r="H67" s="47">
        <f>'Analisa '!K435</f>
        <v>1230362</v>
      </c>
      <c r="I67" s="32">
        <f t="shared" si="12"/>
        <v>32304384.670000002</v>
      </c>
      <c r="J67"/>
    </row>
    <row r="68" spans="1:10" ht="15.5" x14ac:dyDescent="0.35">
      <c r="A68" s="16">
        <v>5</v>
      </c>
      <c r="B68" s="41" t="s">
        <v>277</v>
      </c>
      <c r="C68" s="41"/>
      <c r="D68" s="41"/>
      <c r="E68" s="86">
        <v>156.60000000000002</v>
      </c>
      <c r="F68" s="16" t="s">
        <v>30</v>
      </c>
      <c r="G68" s="16" t="s">
        <v>194</v>
      </c>
      <c r="H68" s="47">
        <f>H67</f>
        <v>1230362</v>
      </c>
      <c r="I68" s="32">
        <f>ROUND(E68*H68,2)</f>
        <v>192674689.19999999</v>
      </c>
      <c r="J68"/>
    </row>
    <row r="69" spans="1:10" ht="15.5" x14ac:dyDescent="0.35">
      <c r="A69" s="16">
        <v>6</v>
      </c>
      <c r="B69" s="41" t="s">
        <v>276</v>
      </c>
      <c r="C69" s="41"/>
      <c r="D69" s="41"/>
      <c r="E69" s="86">
        <v>12.777600000000003</v>
      </c>
      <c r="F69" s="16" t="s">
        <v>30</v>
      </c>
      <c r="G69" s="16" t="s">
        <v>195</v>
      </c>
      <c r="H69" s="47">
        <f>'Analisa '!K422</f>
        <v>775898.67500000005</v>
      </c>
      <c r="I69" s="32">
        <f t="shared" si="12"/>
        <v>9914122.9100000001</v>
      </c>
      <c r="J69"/>
    </row>
    <row r="70" spans="1:10" ht="15.5" x14ac:dyDescent="0.35">
      <c r="A70" s="48">
        <v>7</v>
      </c>
      <c r="B70" s="49" t="s">
        <v>278</v>
      </c>
      <c r="C70" s="49"/>
      <c r="D70" s="49"/>
      <c r="E70" s="87">
        <v>55.678200000000011</v>
      </c>
      <c r="F70" s="48" t="s">
        <v>30</v>
      </c>
      <c r="G70" s="48" t="s">
        <v>477</v>
      </c>
      <c r="H70" s="50">
        <f>'Analisa '!K462</f>
        <v>172364.875</v>
      </c>
      <c r="I70" s="51">
        <f t="shared" si="12"/>
        <v>9596965.9800000004</v>
      </c>
      <c r="J70"/>
    </row>
    <row r="71" spans="1:10" ht="15.5" x14ac:dyDescent="0.35">
      <c r="A71" s="48">
        <v>8</v>
      </c>
      <c r="B71" s="49" t="s">
        <v>469</v>
      </c>
      <c r="C71" s="49"/>
      <c r="D71" s="49"/>
      <c r="E71" s="87">
        <v>152.84880000000004</v>
      </c>
      <c r="F71" s="48" t="s">
        <v>30</v>
      </c>
      <c r="G71" s="48" t="s">
        <v>207</v>
      </c>
      <c r="H71" s="50">
        <f>'Analisa '!K449</f>
        <v>147064.875</v>
      </c>
      <c r="I71" s="51">
        <f t="shared" ref="I71" si="14">ROUND(E71*H71,2)</f>
        <v>22478689.670000002</v>
      </c>
      <c r="J71"/>
    </row>
    <row r="72" spans="1:10" ht="15.5" x14ac:dyDescent="0.35">
      <c r="A72" s="1033" t="s">
        <v>299</v>
      </c>
      <c r="B72" s="1034"/>
      <c r="C72" s="1034"/>
      <c r="D72" s="1034"/>
      <c r="E72" s="1034"/>
      <c r="F72" s="1034"/>
      <c r="G72" s="1034"/>
      <c r="H72" s="1035"/>
      <c r="I72" s="52">
        <f>SUM(I65:I71)</f>
        <v>377740806.68000007</v>
      </c>
      <c r="J72"/>
    </row>
    <row r="73" spans="1:10" ht="15.5" x14ac:dyDescent="0.35">
      <c r="A73" s="35" t="s">
        <v>96</v>
      </c>
      <c r="B73" s="571" t="s">
        <v>193</v>
      </c>
      <c r="C73" s="572"/>
      <c r="D73" s="573"/>
      <c r="E73" s="88"/>
      <c r="F73" s="88"/>
      <c r="G73" s="88"/>
      <c r="H73" s="89"/>
      <c r="I73" s="90"/>
      <c r="J73"/>
    </row>
    <row r="74" spans="1:10" ht="15.5" x14ac:dyDescent="0.35">
      <c r="A74" s="16">
        <v>1</v>
      </c>
      <c r="B74" s="574" t="s">
        <v>470</v>
      </c>
      <c r="C74" s="575"/>
      <c r="D74" s="576"/>
      <c r="E74" s="32">
        <v>518.04999999999995</v>
      </c>
      <c r="F74" s="16" t="s">
        <v>30</v>
      </c>
      <c r="G74" s="16" t="s">
        <v>41</v>
      </c>
      <c r="H74" s="47">
        <f>'Analisa '!K475</f>
        <v>22308.275000000001</v>
      </c>
      <c r="I74" s="13">
        <f>ROUND(E74*H74,2)</f>
        <v>11556801.859999999</v>
      </c>
      <c r="J74"/>
    </row>
    <row r="75" spans="1:10" ht="15.5" x14ac:dyDescent="0.35">
      <c r="A75" s="16">
        <v>2</v>
      </c>
      <c r="B75" s="574" t="s">
        <v>471</v>
      </c>
      <c r="C75" s="575"/>
      <c r="D75" s="576"/>
      <c r="E75" s="32">
        <v>113.65</v>
      </c>
      <c r="F75" s="16" t="s">
        <v>30</v>
      </c>
      <c r="G75" s="16" t="s">
        <v>196</v>
      </c>
      <c r="H75" s="47">
        <f>'Analisa '!K490</f>
        <v>26287.275000000001</v>
      </c>
      <c r="I75" s="13">
        <f t="shared" ref="I75:I76" si="15">ROUND(E75*H75,2)</f>
        <v>2987548.8</v>
      </c>
      <c r="J75"/>
    </row>
    <row r="76" spans="1:10" ht="15.5" x14ac:dyDescent="0.35">
      <c r="A76" s="16">
        <v>3</v>
      </c>
      <c r="B76" s="574" t="s">
        <v>472</v>
      </c>
      <c r="C76" s="575"/>
      <c r="D76" s="576"/>
      <c r="E76" s="32">
        <v>428.48</v>
      </c>
      <c r="F76" s="16" t="s">
        <v>30</v>
      </c>
      <c r="G76" s="16" t="s">
        <v>41</v>
      </c>
      <c r="H76" s="47">
        <f>H74</f>
        <v>22308.275000000001</v>
      </c>
      <c r="I76" s="13">
        <f t="shared" si="15"/>
        <v>9558649.6699999999</v>
      </c>
      <c r="J76"/>
    </row>
    <row r="77" spans="1:10" ht="15.5" x14ac:dyDescent="0.35">
      <c r="A77" s="1033" t="s">
        <v>300</v>
      </c>
      <c r="B77" s="1034"/>
      <c r="C77" s="1034"/>
      <c r="D77" s="1034"/>
      <c r="E77" s="1034"/>
      <c r="F77" s="1034"/>
      <c r="G77" s="1034"/>
      <c r="H77" s="1035"/>
      <c r="I77" s="52">
        <f>SUM(I74:I76)</f>
        <v>24103000.329999998</v>
      </c>
      <c r="J77"/>
    </row>
  </sheetData>
  <mergeCells count="21">
    <mergeCell ref="A55:H55"/>
    <mergeCell ref="A46:H46"/>
    <mergeCell ref="A77:H77"/>
    <mergeCell ref="B54:D54"/>
    <mergeCell ref="A72:H72"/>
    <mergeCell ref="B64:D64"/>
    <mergeCell ref="A63:H63"/>
    <mergeCell ref="B53:D53"/>
    <mergeCell ref="A21:H21"/>
    <mergeCell ref="A24:H24"/>
    <mergeCell ref="B52:D52"/>
    <mergeCell ref="A14:H14"/>
    <mergeCell ref="A51:H51"/>
    <mergeCell ref="A1:I1"/>
    <mergeCell ref="A8:A9"/>
    <mergeCell ref="B8:D9"/>
    <mergeCell ref="H8:H9"/>
    <mergeCell ref="I8:I9"/>
    <mergeCell ref="E8:E9"/>
    <mergeCell ref="F8:F9"/>
    <mergeCell ref="G8:G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F205-64EF-4165-B836-2AF4860C0170}">
  <dimension ref="A1:P21"/>
  <sheetViews>
    <sheetView view="pageBreakPreview" zoomScaleNormal="80" zoomScaleSheetLayoutView="100" workbookViewId="0">
      <selection activeCell="B16" sqref="B16"/>
    </sheetView>
  </sheetViews>
  <sheetFormatPr defaultRowHeight="15.5" x14ac:dyDescent="0.35"/>
  <cols>
    <col min="1" max="1" width="6.1796875" style="38" customWidth="1"/>
    <col min="2" max="2" width="27.7265625" style="38" customWidth="1"/>
    <col min="3" max="3" width="2.81640625" style="38" customWidth="1"/>
    <col min="4" max="4" width="12.26953125" style="38" customWidth="1"/>
    <col min="5" max="6" width="15.81640625" style="38" customWidth="1"/>
    <col min="7" max="7" width="28.26953125" style="38" customWidth="1"/>
    <col min="8" max="8" width="2.26953125" customWidth="1"/>
    <col min="9" max="9" width="4.453125" customWidth="1"/>
    <col min="10" max="10" width="36.26953125" customWidth="1"/>
    <col min="11" max="11" width="8" customWidth="1"/>
    <col min="12" max="12" width="8.81640625" customWidth="1"/>
    <col min="13" max="13" width="16.453125" customWidth="1"/>
    <col min="14" max="14" width="5.7265625" customWidth="1"/>
    <col min="15" max="15" width="19.453125" customWidth="1"/>
    <col min="16" max="16" width="18.54296875" customWidth="1"/>
  </cols>
  <sheetData>
    <row r="1" spans="1:16" ht="17.5" x14ac:dyDescent="0.35">
      <c r="A1" s="1045" t="s">
        <v>54</v>
      </c>
      <c r="B1" s="1045"/>
      <c r="C1" s="1045"/>
      <c r="D1" s="1045"/>
      <c r="E1" s="1045"/>
      <c r="F1" s="1045"/>
      <c r="G1" s="1045"/>
    </row>
    <row r="3" spans="1:16" ht="15.75" customHeight="1" x14ac:dyDescent="0.35">
      <c r="A3" s="1046" t="s">
        <v>432</v>
      </c>
      <c r="B3" s="1047" t="s">
        <v>308</v>
      </c>
      <c r="C3" s="1048"/>
      <c r="D3" s="1046" t="s">
        <v>290</v>
      </c>
      <c r="E3" s="1046" t="s">
        <v>342</v>
      </c>
      <c r="F3" s="1046"/>
      <c r="G3" s="1046" t="s">
        <v>53</v>
      </c>
    </row>
    <row r="4" spans="1:16" ht="20.25" customHeight="1" x14ac:dyDescent="0.35">
      <c r="A4" s="1046"/>
      <c r="B4" s="1047"/>
      <c r="C4" s="1048"/>
      <c r="D4" s="1046"/>
      <c r="E4" s="155" t="s">
        <v>341</v>
      </c>
      <c r="F4" s="155" t="s">
        <v>310</v>
      </c>
      <c r="G4" s="1046"/>
      <c r="J4" s="116" t="s">
        <v>311</v>
      </c>
      <c r="K4" s="116"/>
      <c r="L4" s="116"/>
      <c r="M4" s="116"/>
      <c r="N4" s="116"/>
      <c r="O4" s="116"/>
    </row>
    <row r="5" spans="1:16" ht="19.5" x14ac:dyDescent="0.6">
      <c r="A5" s="109" t="s">
        <v>107</v>
      </c>
      <c r="B5" s="114" t="s">
        <v>312</v>
      </c>
      <c r="C5" s="115"/>
      <c r="D5" s="109" t="s">
        <v>169</v>
      </c>
      <c r="E5" s="149">
        <f>O12</f>
        <v>71540</v>
      </c>
      <c r="F5" s="150">
        <v>75000</v>
      </c>
      <c r="G5" s="151" t="s">
        <v>313</v>
      </c>
      <c r="J5" s="118" t="s">
        <v>343</v>
      </c>
      <c r="K5" s="119"/>
      <c r="L5" s="119"/>
      <c r="M5" s="119"/>
      <c r="N5" s="120" t="s">
        <v>309</v>
      </c>
      <c r="O5" s="121">
        <v>1788500</v>
      </c>
      <c r="P5" s="122" t="s">
        <v>4</v>
      </c>
    </row>
    <row r="6" spans="1:16" ht="17" x14ac:dyDescent="0.5">
      <c r="A6" s="109" t="s">
        <v>121</v>
      </c>
      <c r="B6" s="114" t="s">
        <v>56</v>
      </c>
      <c r="C6" s="115"/>
      <c r="D6" s="109" t="s">
        <v>169</v>
      </c>
      <c r="E6" s="152">
        <f>E5*1.2</f>
        <v>85848</v>
      </c>
      <c r="F6" s="150">
        <v>90000</v>
      </c>
      <c r="G6" s="153" t="s">
        <v>314</v>
      </c>
      <c r="J6" s="123" t="s">
        <v>315</v>
      </c>
      <c r="K6" s="119"/>
      <c r="L6" s="119" t="s">
        <v>316</v>
      </c>
      <c r="M6" s="119" t="s">
        <v>317</v>
      </c>
      <c r="N6" s="120" t="s">
        <v>318</v>
      </c>
      <c r="O6" s="124">
        <v>25</v>
      </c>
      <c r="P6" s="125" t="s">
        <v>5</v>
      </c>
    </row>
    <row r="7" spans="1:16" ht="17" x14ac:dyDescent="0.5">
      <c r="A7" s="109" t="s">
        <v>121</v>
      </c>
      <c r="B7" s="114" t="s">
        <v>57</v>
      </c>
      <c r="C7" s="115"/>
      <c r="D7" s="109" t="s">
        <v>169</v>
      </c>
      <c r="E7" s="152">
        <f>E6</f>
        <v>85848</v>
      </c>
      <c r="F7" s="150">
        <f>F6</f>
        <v>90000</v>
      </c>
      <c r="G7" s="153" t="s">
        <v>314</v>
      </c>
      <c r="J7" s="126" t="s">
        <v>319</v>
      </c>
      <c r="K7" s="127">
        <v>7</v>
      </c>
      <c r="L7" s="1" t="s">
        <v>320</v>
      </c>
      <c r="M7" s="1" t="s">
        <v>321</v>
      </c>
      <c r="N7" s="1"/>
      <c r="O7" s="128"/>
      <c r="P7" s="129" t="s">
        <v>6</v>
      </c>
    </row>
    <row r="8" spans="1:16" ht="16.5" x14ac:dyDescent="0.45">
      <c r="A8" s="109" t="s">
        <v>121</v>
      </c>
      <c r="B8" s="114" t="s">
        <v>58</v>
      </c>
      <c r="C8" s="115"/>
      <c r="D8" s="109" t="s">
        <v>169</v>
      </c>
      <c r="E8" s="152">
        <f>E7</f>
        <v>85848</v>
      </c>
      <c r="F8" s="150">
        <f t="shared" ref="F8:F10" si="0">F7</f>
        <v>90000</v>
      </c>
      <c r="G8" s="153" t="s">
        <v>314</v>
      </c>
      <c r="J8" s="130"/>
      <c r="K8" s="131"/>
      <c r="L8" s="131" t="s">
        <v>316</v>
      </c>
      <c r="M8" s="131" t="s">
        <v>322</v>
      </c>
      <c r="N8" s="131"/>
      <c r="O8" s="132"/>
      <c r="P8" s="129"/>
    </row>
    <row r="9" spans="1:16" ht="17" x14ac:dyDescent="0.5">
      <c r="A9" s="109" t="s">
        <v>121</v>
      </c>
      <c r="B9" s="114" t="s">
        <v>59</v>
      </c>
      <c r="C9" s="115"/>
      <c r="D9" s="109" t="s">
        <v>169</v>
      </c>
      <c r="E9" s="152">
        <f>E8</f>
        <v>85848</v>
      </c>
      <c r="F9" s="150">
        <f t="shared" si="0"/>
        <v>90000</v>
      </c>
      <c r="G9" s="153" t="s">
        <v>314</v>
      </c>
      <c r="J9" s="126" t="s">
        <v>323</v>
      </c>
      <c r="K9" s="1"/>
      <c r="L9" s="1" t="s">
        <v>316</v>
      </c>
      <c r="M9" s="1" t="s">
        <v>317</v>
      </c>
      <c r="N9" s="133" t="s">
        <v>318</v>
      </c>
      <c r="O9" s="134">
        <v>21</v>
      </c>
      <c r="P9" s="125" t="s">
        <v>112</v>
      </c>
    </row>
    <row r="10" spans="1:16" ht="16.5" x14ac:dyDescent="0.45">
      <c r="A10" s="109" t="s">
        <v>121</v>
      </c>
      <c r="B10" s="114" t="s">
        <v>55</v>
      </c>
      <c r="C10" s="115"/>
      <c r="D10" s="109" t="s">
        <v>169</v>
      </c>
      <c r="E10" s="152">
        <f>E9</f>
        <v>85848</v>
      </c>
      <c r="F10" s="150">
        <f t="shared" si="0"/>
        <v>90000</v>
      </c>
      <c r="G10" s="153" t="s">
        <v>314</v>
      </c>
      <c r="J10" s="126" t="s">
        <v>319</v>
      </c>
      <c r="K10" s="135">
        <v>8</v>
      </c>
      <c r="L10" s="1" t="s">
        <v>320</v>
      </c>
      <c r="M10" s="1" t="s">
        <v>321</v>
      </c>
      <c r="N10" s="1"/>
      <c r="O10" s="5"/>
      <c r="P10" s="129" t="s">
        <v>114</v>
      </c>
    </row>
    <row r="11" spans="1:16" ht="16.5" x14ac:dyDescent="0.45">
      <c r="A11" s="109" t="s">
        <v>122</v>
      </c>
      <c r="B11" s="114" t="s">
        <v>324</v>
      </c>
      <c r="C11" s="115"/>
      <c r="D11" s="109" t="s">
        <v>169</v>
      </c>
      <c r="E11" s="152">
        <f>E5*1.3</f>
        <v>93002</v>
      </c>
      <c r="F11" s="150">
        <v>95000</v>
      </c>
      <c r="G11" s="151" t="s">
        <v>325</v>
      </c>
      <c r="J11" s="136"/>
      <c r="K11" s="6"/>
      <c r="L11" s="131" t="s">
        <v>316</v>
      </c>
      <c r="M11" s="131" t="s">
        <v>326</v>
      </c>
      <c r="N11" s="131"/>
      <c r="O11" s="132"/>
      <c r="P11" s="137"/>
    </row>
    <row r="12" spans="1:16" ht="16.5" customHeight="1" x14ac:dyDescent="0.35">
      <c r="A12" s="109" t="s">
        <v>109</v>
      </c>
      <c r="B12" s="114" t="s">
        <v>327</v>
      </c>
      <c r="C12" s="115"/>
      <c r="D12" s="109" t="s">
        <v>169</v>
      </c>
      <c r="E12" s="152">
        <f>E5*1.5</f>
        <v>107310</v>
      </c>
      <c r="F12" s="150">
        <v>110000</v>
      </c>
      <c r="G12" s="151" t="s">
        <v>328</v>
      </c>
      <c r="J12" s="1055" t="s">
        <v>329</v>
      </c>
      <c r="K12" s="1056"/>
      <c r="L12" s="1056"/>
      <c r="M12" s="1056"/>
      <c r="N12" s="1056"/>
      <c r="O12" s="138">
        <f>O5/O6</f>
        <v>71540</v>
      </c>
      <c r="P12" s="139" t="s">
        <v>330</v>
      </c>
    </row>
    <row r="13" spans="1:16" x14ac:dyDescent="0.35">
      <c r="A13" s="109"/>
      <c r="B13" s="114"/>
      <c r="C13" s="115"/>
      <c r="D13" s="109"/>
      <c r="E13" s="109"/>
      <c r="F13" s="150"/>
      <c r="G13" s="113"/>
      <c r="J13" s="1055" t="s">
        <v>331</v>
      </c>
      <c r="K13" s="1056"/>
      <c r="L13" s="1056"/>
      <c r="M13" s="1056"/>
      <c r="N13" s="1056"/>
      <c r="O13" s="140">
        <f>O12/K7</f>
        <v>10220</v>
      </c>
      <c r="P13" s="139" t="s">
        <v>332</v>
      </c>
    </row>
    <row r="14" spans="1:16" x14ac:dyDescent="0.35">
      <c r="A14" s="109" t="s">
        <v>107</v>
      </c>
      <c r="B14" s="114" t="s">
        <v>312</v>
      </c>
      <c r="C14" s="115"/>
      <c r="D14" s="109" t="s">
        <v>210</v>
      </c>
      <c r="E14" s="152">
        <f>E5/K7</f>
        <v>10220</v>
      </c>
      <c r="F14" s="150">
        <v>10500</v>
      </c>
      <c r="G14" s="154"/>
      <c r="J14" s="1055" t="s">
        <v>333</v>
      </c>
      <c r="K14" s="1056"/>
      <c r="L14" s="1056"/>
      <c r="M14" s="1056"/>
      <c r="N14" s="1056"/>
      <c r="O14" s="141">
        <f>O5/J21</f>
        <v>10338.150289017341</v>
      </c>
      <c r="P14" s="142" t="s">
        <v>334</v>
      </c>
    </row>
    <row r="15" spans="1:16" x14ac:dyDescent="0.35">
      <c r="A15" s="109" t="s">
        <v>121</v>
      </c>
      <c r="B15" s="114" t="s">
        <v>56</v>
      </c>
      <c r="C15" s="115"/>
      <c r="D15" s="109" t="s">
        <v>210</v>
      </c>
      <c r="E15" s="152">
        <f>E6/K7</f>
        <v>12264</v>
      </c>
      <c r="F15" s="150">
        <v>12500</v>
      </c>
      <c r="G15" s="154"/>
      <c r="O15" s="143"/>
    </row>
    <row r="16" spans="1:16" x14ac:dyDescent="0.35">
      <c r="A16" s="109" t="s">
        <v>121</v>
      </c>
      <c r="B16" s="114" t="s">
        <v>57</v>
      </c>
      <c r="C16" s="115"/>
      <c r="D16" s="109" t="s">
        <v>210</v>
      </c>
      <c r="E16" s="152">
        <f>E15</f>
        <v>12264</v>
      </c>
      <c r="F16" s="150">
        <v>12500</v>
      </c>
      <c r="G16" s="154"/>
      <c r="J16" s="144">
        <v>12</v>
      </c>
      <c r="K16" s="156" t="s">
        <v>335</v>
      </c>
      <c r="L16" s="156"/>
      <c r="M16" s="157"/>
    </row>
    <row r="17" spans="1:14" x14ac:dyDescent="0.35">
      <c r="A17" s="109" t="s">
        <v>121</v>
      </c>
      <c r="B17" s="114" t="s">
        <v>58</v>
      </c>
      <c r="C17" s="115"/>
      <c r="D17" s="109" t="s">
        <v>210</v>
      </c>
      <c r="E17" s="152">
        <f t="shared" ref="E17:E19" si="1">E16</f>
        <v>12264</v>
      </c>
      <c r="F17" s="150">
        <v>12500</v>
      </c>
      <c r="G17" s="154"/>
      <c r="J17" s="7">
        <v>52</v>
      </c>
      <c r="K17" s="4" t="s">
        <v>336</v>
      </c>
      <c r="L17" s="4"/>
      <c r="M17" s="158"/>
    </row>
    <row r="18" spans="1:14" x14ac:dyDescent="0.35">
      <c r="A18" s="109" t="s">
        <v>121</v>
      </c>
      <c r="B18" s="114" t="s">
        <v>59</v>
      </c>
      <c r="C18" s="115"/>
      <c r="D18" s="109" t="s">
        <v>210</v>
      </c>
      <c r="E18" s="152">
        <f t="shared" si="1"/>
        <v>12264</v>
      </c>
      <c r="F18" s="150">
        <v>12500</v>
      </c>
      <c r="G18" s="154"/>
      <c r="J18" s="136">
        <v>40</v>
      </c>
      <c r="K18" s="1057" t="s">
        <v>337</v>
      </c>
      <c r="L18" s="1057"/>
      <c r="M18" s="1058"/>
    </row>
    <row r="19" spans="1:14" x14ac:dyDescent="0.35">
      <c r="A19" s="109" t="s">
        <v>121</v>
      </c>
      <c r="B19" s="114" t="s">
        <v>55</v>
      </c>
      <c r="C19" s="115"/>
      <c r="D19" s="109" t="s">
        <v>210</v>
      </c>
      <c r="E19" s="152">
        <f t="shared" si="1"/>
        <v>12264</v>
      </c>
      <c r="F19" s="150">
        <v>12500</v>
      </c>
      <c r="G19" s="154"/>
      <c r="J19" s="145">
        <f>J17/J16</f>
        <v>4.333333333333333</v>
      </c>
      <c r="K19" s="1049" t="s">
        <v>338</v>
      </c>
      <c r="L19" s="1049"/>
      <c r="M19" s="1050"/>
    </row>
    <row r="20" spans="1:14" x14ac:dyDescent="0.35">
      <c r="A20" s="109" t="s">
        <v>122</v>
      </c>
      <c r="B20" s="114" t="s">
        <v>324</v>
      </c>
      <c r="C20" s="115"/>
      <c r="D20" s="109" t="s">
        <v>210</v>
      </c>
      <c r="E20" s="152">
        <f>E11/K7</f>
        <v>13286</v>
      </c>
      <c r="F20" s="150">
        <v>13500</v>
      </c>
      <c r="G20" s="154"/>
      <c r="J20" s="146">
        <f>J18*J19</f>
        <v>173.33333333333331</v>
      </c>
      <c r="K20" s="1051" t="s">
        <v>339</v>
      </c>
      <c r="L20" s="1051"/>
      <c r="M20" s="1052"/>
    </row>
    <row r="21" spans="1:14" x14ac:dyDescent="0.35">
      <c r="A21" s="109" t="s">
        <v>109</v>
      </c>
      <c r="B21" s="114" t="s">
        <v>327</v>
      </c>
      <c r="C21" s="115"/>
      <c r="D21" s="109" t="s">
        <v>210</v>
      </c>
      <c r="E21" s="152">
        <f>E12/K7</f>
        <v>15330</v>
      </c>
      <c r="F21" s="150">
        <v>15500</v>
      </c>
      <c r="G21" s="154"/>
      <c r="J21" s="147">
        <f>ROUNDDOWN(J20,0)</f>
        <v>173</v>
      </c>
      <c r="K21" s="1053" t="s">
        <v>340</v>
      </c>
      <c r="L21" s="1053"/>
      <c r="M21" s="1054"/>
      <c r="N21" s="148" t="s">
        <v>115</v>
      </c>
    </row>
  </sheetData>
  <mergeCells count="14">
    <mergeCell ref="K19:M19"/>
    <mergeCell ref="K20:M20"/>
    <mergeCell ref="K21:M21"/>
    <mergeCell ref="J12:N12"/>
    <mergeCell ref="J13:N13"/>
    <mergeCell ref="J14:N14"/>
    <mergeCell ref="K18:M18"/>
    <mergeCell ref="A1:G1"/>
    <mergeCell ref="A3:A4"/>
    <mergeCell ref="B3:B4"/>
    <mergeCell ref="C3:C4"/>
    <mergeCell ref="D3:D4"/>
    <mergeCell ref="E3:F3"/>
    <mergeCell ref="G3:G4"/>
  </mergeCells>
  <phoneticPr fontId="38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410F-E563-4209-8D45-6AFEFC992A36}">
  <dimension ref="A1:H147"/>
  <sheetViews>
    <sheetView view="pageBreakPreview" zoomScale="90" zoomScaleNormal="100" zoomScaleSheetLayoutView="90" workbookViewId="0">
      <selection activeCell="B130" sqref="B130"/>
    </sheetView>
  </sheetViews>
  <sheetFormatPr defaultRowHeight="14.5" x14ac:dyDescent="0.35"/>
  <cols>
    <col min="1" max="1" width="4.7265625" style="166" customWidth="1"/>
    <col min="2" max="2" width="55.7265625" style="100" customWidth="1"/>
    <col min="3" max="3" width="12" style="100" customWidth="1"/>
    <col min="4" max="4" width="17.453125" style="100" customWidth="1"/>
    <col min="5" max="5" width="13.453125" style="100" customWidth="1"/>
    <col min="6" max="6" width="8.54296875" style="100" customWidth="1"/>
    <col min="7" max="7" width="18.7265625" style="100" customWidth="1"/>
    <col min="8" max="8" width="1.7265625" customWidth="1"/>
  </cols>
  <sheetData>
    <row r="1" spans="1:8" s="38" customFormat="1" ht="15.5" x14ac:dyDescent="0.35">
      <c r="A1" s="1059" t="s">
        <v>284</v>
      </c>
      <c r="B1" s="1059"/>
      <c r="C1" s="1059"/>
      <c r="D1" s="1059"/>
      <c r="E1" s="1059"/>
      <c r="F1" s="1059"/>
      <c r="G1" s="1059"/>
      <c r="H1" s="111"/>
    </row>
    <row r="2" spans="1:8" s="38" customFormat="1" ht="15.5" x14ac:dyDescent="0.35">
      <c r="A2" s="112"/>
    </row>
    <row r="3" spans="1:8" s="38" customFormat="1" ht="15" customHeight="1" x14ac:dyDescent="0.35">
      <c r="A3" s="1060" t="s">
        <v>61</v>
      </c>
      <c r="B3" s="1060" t="s">
        <v>62</v>
      </c>
      <c r="C3" s="1060" t="s">
        <v>50</v>
      </c>
      <c r="D3" s="1061" t="s">
        <v>63</v>
      </c>
      <c r="E3" s="1062"/>
      <c r="F3" s="1063"/>
      <c r="G3" s="1060" t="s">
        <v>60</v>
      </c>
    </row>
    <row r="4" spans="1:8" s="38" customFormat="1" ht="15.5" x14ac:dyDescent="0.35">
      <c r="A4" s="1060"/>
      <c r="B4" s="1060"/>
      <c r="C4" s="1060"/>
      <c r="D4" s="1064"/>
      <c r="E4" s="1065"/>
      <c r="F4" s="1066"/>
      <c r="G4" s="1060"/>
      <c r="H4" s="169"/>
    </row>
    <row r="5" spans="1:8" s="38" customFormat="1" ht="15.5" x14ac:dyDescent="0.35">
      <c r="A5" s="170" t="s">
        <v>21</v>
      </c>
      <c r="B5" s="171" t="s">
        <v>366</v>
      </c>
      <c r="C5" s="172"/>
      <c r="D5" s="161"/>
      <c r="E5" s="162"/>
      <c r="F5" s="163"/>
      <c r="G5" s="172"/>
    </row>
    <row r="6" spans="1:8" s="38" customFormat="1" ht="15.5" x14ac:dyDescent="0.35">
      <c r="A6" s="173">
        <v>1</v>
      </c>
      <c r="B6" s="174" t="s">
        <v>439</v>
      </c>
      <c r="C6" s="173" t="s">
        <v>65</v>
      </c>
      <c r="D6" s="179">
        <v>300000</v>
      </c>
      <c r="F6" s="160"/>
      <c r="G6" s="174"/>
    </row>
    <row r="7" spans="1:8" s="38" customFormat="1" ht="15.5" x14ac:dyDescent="0.35">
      <c r="A7" s="173">
        <v>2</v>
      </c>
      <c r="B7" s="174" t="s">
        <v>344</v>
      </c>
      <c r="C7" s="173" t="s">
        <v>65</v>
      </c>
      <c r="D7" s="179">
        <v>325000</v>
      </c>
      <c r="F7" s="160"/>
      <c r="G7" s="174"/>
    </row>
    <row r="8" spans="1:8" s="38" customFormat="1" ht="15.5" x14ac:dyDescent="0.35">
      <c r="A8" s="173">
        <v>3</v>
      </c>
      <c r="B8" s="174" t="s">
        <v>433</v>
      </c>
      <c r="C8" s="173" t="s">
        <v>172</v>
      </c>
      <c r="D8" s="180">
        <v>750</v>
      </c>
      <c r="F8" s="160"/>
      <c r="G8" s="174"/>
    </row>
    <row r="9" spans="1:8" s="38" customFormat="1" ht="15.5" x14ac:dyDescent="0.35">
      <c r="A9" s="173">
        <v>4</v>
      </c>
      <c r="B9" s="174" t="s">
        <v>345</v>
      </c>
      <c r="C9" s="173" t="s">
        <v>65</v>
      </c>
      <c r="D9" s="179">
        <v>325000</v>
      </c>
      <c r="F9" s="160"/>
      <c r="G9" s="174"/>
    </row>
    <row r="10" spans="1:8" s="38" customFormat="1" ht="15.5" x14ac:dyDescent="0.35">
      <c r="A10" s="173">
        <v>5</v>
      </c>
      <c r="B10" s="174" t="s">
        <v>119</v>
      </c>
      <c r="C10" s="173" t="s">
        <v>65</v>
      </c>
      <c r="D10" s="179">
        <v>280000</v>
      </c>
      <c r="F10" s="160"/>
      <c r="G10" s="174"/>
    </row>
    <row r="11" spans="1:8" s="38" customFormat="1" ht="15.5" x14ac:dyDescent="0.35">
      <c r="A11" s="177">
        <v>6</v>
      </c>
      <c r="B11" s="178" t="s">
        <v>346</v>
      </c>
      <c r="C11" s="177" t="s">
        <v>347</v>
      </c>
      <c r="D11" s="181">
        <v>45000</v>
      </c>
      <c r="E11" s="182">
        <f>D11/40</f>
        <v>1125</v>
      </c>
      <c r="F11" s="183" t="s">
        <v>66</v>
      </c>
      <c r="G11" s="178"/>
    </row>
    <row r="12" spans="1:8" s="38" customFormat="1" ht="15.5" x14ac:dyDescent="0.35">
      <c r="A12" s="170" t="s">
        <v>22</v>
      </c>
      <c r="B12" s="171" t="s">
        <v>367</v>
      </c>
      <c r="C12" s="164"/>
      <c r="D12" s="165"/>
      <c r="E12" s="162"/>
      <c r="F12" s="163"/>
      <c r="G12" s="172"/>
    </row>
    <row r="13" spans="1:8" s="38" customFormat="1" ht="15.5" x14ac:dyDescent="0.35">
      <c r="A13" s="173">
        <v>1</v>
      </c>
      <c r="B13" s="174" t="s">
        <v>348</v>
      </c>
      <c r="C13" s="173" t="s">
        <v>67</v>
      </c>
      <c r="D13" s="184">
        <v>3000</v>
      </c>
      <c r="F13" s="160"/>
      <c r="G13" s="174"/>
    </row>
    <row r="14" spans="1:8" s="38" customFormat="1" ht="15.5" x14ac:dyDescent="0.35">
      <c r="A14" s="173">
        <v>2</v>
      </c>
      <c r="B14" s="174" t="s">
        <v>349</v>
      </c>
      <c r="C14" s="173" t="s">
        <v>67</v>
      </c>
      <c r="D14" s="179">
        <v>7800</v>
      </c>
      <c r="F14" s="160"/>
      <c r="G14" s="174"/>
    </row>
    <row r="15" spans="1:8" s="38" customFormat="1" ht="15.5" x14ac:dyDescent="0.35">
      <c r="A15" s="173">
        <v>3</v>
      </c>
      <c r="B15" s="174" t="s">
        <v>259</v>
      </c>
      <c r="C15" s="173"/>
      <c r="D15" s="179"/>
      <c r="F15" s="160"/>
      <c r="G15" s="174"/>
    </row>
    <row r="16" spans="1:8" s="38" customFormat="1" ht="15.5" x14ac:dyDescent="0.35">
      <c r="A16" s="173"/>
      <c r="B16" s="174" t="s">
        <v>350</v>
      </c>
      <c r="C16" s="173" t="s">
        <v>70</v>
      </c>
      <c r="D16" s="179">
        <v>22500</v>
      </c>
      <c r="F16" s="160"/>
      <c r="G16" s="174"/>
    </row>
    <row r="17" spans="1:7" s="38" customFormat="1" ht="15.5" x14ac:dyDescent="0.35">
      <c r="A17" s="173"/>
      <c r="B17" s="174" t="s">
        <v>351</v>
      </c>
      <c r="C17" s="173" t="s">
        <v>70</v>
      </c>
      <c r="D17" s="179">
        <v>24300</v>
      </c>
      <c r="F17" s="160"/>
      <c r="G17" s="174"/>
    </row>
    <row r="18" spans="1:7" s="38" customFormat="1" ht="15.5" x14ac:dyDescent="0.35">
      <c r="A18" s="173"/>
      <c r="B18" s="174" t="s">
        <v>352</v>
      </c>
      <c r="C18" s="173" t="s">
        <v>70</v>
      </c>
      <c r="D18" s="179">
        <v>27000</v>
      </c>
      <c r="F18" s="160"/>
      <c r="G18" s="174"/>
    </row>
    <row r="19" spans="1:7" s="38" customFormat="1" ht="15.5" x14ac:dyDescent="0.35">
      <c r="A19" s="173"/>
      <c r="B19" s="174" t="s">
        <v>353</v>
      </c>
      <c r="C19" s="173" t="s">
        <v>70</v>
      </c>
      <c r="D19" s="179">
        <v>45000</v>
      </c>
      <c r="F19" s="160"/>
      <c r="G19" s="174"/>
    </row>
    <row r="20" spans="1:7" s="38" customFormat="1" ht="15.5" x14ac:dyDescent="0.35">
      <c r="A20" s="173">
        <v>4</v>
      </c>
      <c r="B20" s="174" t="s">
        <v>354</v>
      </c>
      <c r="C20" s="173"/>
      <c r="D20" s="179"/>
      <c r="F20" s="160"/>
      <c r="G20" s="174"/>
    </row>
    <row r="21" spans="1:7" s="38" customFormat="1" ht="15.5" x14ac:dyDescent="0.35">
      <c r="A21" s="173"/>
      <c r="B21" s="174" t="s">
        <v>355</v>
      </c>
      <c r="C21" s="173" t="s">
        <v>71</v>
      </c>
      <c r="D21" s="179">
        <v>36000</v>
      </c>
      <c r="F21" s="160"/>
      <c r="G21" s="174"/>
    </row>
    <row r="22" spans="1:7" s="38" customFormat="1" ht="15.5" x14ac:dyDescent="0.35">
      <c r="A22" s="173"/>
      <c r="B22" s="174" t="s">
        <v>356</v>
      </c>
      <c r="C22" s="173" t="s">
        <v>71</v>
      </c>
      <c r="D22" s="179">
        <v>40000</v>
      </c>
      <c r="F22" s="160"/>
      <c r="G22" s="174"/>
    </row>
    <row r="23" spans="1:7" s="38" customFormat="1" ht="15.5" x14ac:dyDescent="0.35">
      <c r="A23" s="173"/>
      <c r="B23" s="174" t="s">
        <v>357</v>
      </c>
      <c r="C23" s="173" t="s">
        <v>71</v>
      </c>
      <c r="D23" s="179">
        <v>65000</v>
      </c>
      <c r="F23" s="160"/>
      <c r="G23" s="174"/>
    </row>
    <row r="24" spans="1:7" s="38" customFormat="1" ht="15.5" x14ac:dyDescent="0.35">
      <c r="A24" s="177"/>
      <c r="B24" s="178" t="s">
        <v>358</v>
      </c>
      <c r="C24" s="177" t="s">
        <v>71</v>
      </c>
      <c r="D24" s="181">
        <v>58000</v>
      </c>
      <c r="E24" s="188"/>
      <c r="F24" s="183"/>
      <c r="G24" s="178"/>
    </row>
    <row r="25" spans="1:7" s="38" customFormat="1" ht="15.5" x14ac:dyDescent="0.35">
      <c r="A25" s="170" t="s">
        <v>23</v>
      </c>
      <c r="B25" s="171" t="s">
        <v>368</v>
      </c>
      <c r="C25" s="164"/>
      <c r="D25" s="165"/>
      <c r="E25" s="162"/>
      <c r="F25" s="163"/>
      <c r="G25" s="172"/>
    </row>
    <row r="26" spans="1:7" s="38" customFormat="1" ht="15.5" x14ac:dyDescent="0.35">
      <c r="A26" s="173">
        <v>1</v>
      </c>
      <c r="B26" s="174" t="s">
        <v>68</v>
      </c>
      <c r="C26" s="174"/>
      <c r="D26" s="159"/>
      <c r="F26" s="160"/>
      <c r="G26" s="174"/>
    </row>
    <row r="27" spans="1:7" s="38" customFormat="1" ht="15.5" x14ac:dyDescent="0.35">
      <c r="A27" s="173"/>
      <c r="B27" s="174" t="s">
        <v>429</v>
      </c>
      <c r="C27" s="173" t="s">
        <v>65</v>
      </c>
      <c r="D27" s="179">
        <v>4800000</v>
      </c>
      <c r="F27" s="160"/>
      <c r="G27" s="174"/>
    </row>
    <row r="28" spans="1:7" s="38" customFormat="1" ht="15.5" x14ac:dyDescent="0.35">
      <c r="A28" s="173"/>
      <c r="B28" s="174" t="s">
        <v>428</v>
      </c>
      <c r="C28" s="173" t="s">
        <v>65</v>
      </c>
      <c r="D28" s="179">
        <v>3000000</v>
      </c>
      <c r="F28" s="160"/>
      <c r="G28" s="174"/>
    </row>
    <row r="29" spans="1:7" s="38" customFormat="1" ht="15.5" x14ac:dyDescent="0.35">
      <c r="A29" s="173"/>
      <c r="B29" s="174" t="s">
        <v>430</v>
      </c>
      <c r="C29" s="173" t="s">
        <v>65</v>
      </c>
      <c r="D29" s="179">
        <v>3000000</v>
      </c>
      <c r="F29" s="160"/>
      <c r="G29" s="174"/>
    </row>
    <row r="30" spans="1:7" s="38" customFormat="1" ht="15.5" x14ac:dyDescent="0.35">
      <c r="A30" s="173">
        <v>2</v>
      </c>
      <c r="B30" s="174" t="s">
        <v>69</v>
      </c>
      <c r="C30" s="174"/>
      <c r="D30" s="159"/>
      <c r="F30" s="160"/>
      <c r="G30" s="174"/>
    </row>
    <row r="31" spans="1:7" s="38" customFormat="1" ht="15.5" x14ac:dyDescent="0.35">
      <c r="A31" s="173"/>
      <c r="B31" s="174" t="s">
        <v>359</v>
      </c>
      <c r="C31" s="173" t="s">
        <v>365</v>
      </c>
      <c r="D31" s="179">
        <v>22500</v>
      </c>
      <c r="F31" s="160"/>
      <c r="G31" s="174"/>
    </row>
    <row r="32" spans="1:7" s="38" customFormat="1" ht="15.5" x14ac:dyDescent="0.35">
      <c r="A32" s="173"/>
      <c r="B32" s="174" t="s">
        <v>360</v>
      </c>
      <c r="C32" s="173" t="s">
        <v>365</v>
      </c>
      <c r="D32" s="179">
        <v>20000</v>
      </c>
      <c r="F32" s="160"/>
      <c r="G32" s="174"/>
    </row>
    <row r="33" spans="1:7" s="38" customFormat="1" ht="15.5" x14ac:dyDescent="0.35">
      <c r="A33" s="173"/>
      <c r="B33" s="174" t="s">
        <v>361</v>
      </c>
      <c r="C33" s="173" t="s">
        <v>365</v>
      </c>
      <c r="D33" s="179">
        <v>34000</v>
      </c>
      <c r="F33" s="160"/>
      <c r="G33" s="174"/>
    </row>
    <row r="34" spans="1:7" s="38" customFormat="1" ht="15.5" x14ac:dyDescent="0.35">
      <c r="A34" s="173"/>
      <c r="B34" s="174" t="s">
        <v>362</v>
      </c>
      <c r="C34" s="173" t="s">
        <v>65</v>
      </c>
      <c r="D34" s="179">
        <v>1890000</v>
      </c>
      <c r="F34" s="160"/>
      <c r="G34" s="174"/>
    </row>
    <row r="35" spans="1:7" s="38" customFormat="1" ht="15.5" x14ac:dyDescent="0.35">
      <c r="A35" s="173"/>
      <c r="B35" s="174" t="s">
        <v>363</v>
      </c>
      <c r="C35" s="173" t="s">
        <v>65</v>
      </c>
      <c r="D35" s="179">
        <v>99000</v>
      </c>
      <c r="F35" s="160"/>
      <c r="G35" s="174"/>
    </row>
    <row r="36" spans="1:7" s="38" customFormat="1" ht="15.5" x14ac:dyDescent="0.35">
      <c r="A36" s="177"/>
      <c r="B36" s="178" t="s">
        <v>364</v>
      </c>
      <c r="C36" s="177" t="s">
        <v>365</v>
      </c>
      <c r="D36" s="181">
        <v>15975</v>
      </c>
      <c r="E36" s="188"/>
      <c r="F36" s="183"/>
      <c r="G36" s="178"/>
    </row>
    <row r="37" spans="1:7" s="38" customFormat="1" ht="15.5" x14ac:dyDescent="0.35">
      <c r="A37" s="170" t="s">
        <v>32</v>
      </c>
      <c r="B37" s="171" t="s">
        <v>369</v>
      </c>
      <c r="C37" s="164"/>
      <c r="D37" s="165"/>
      <c r="E37" s="162"/>
      <c r="F37" s="163"/>
      <c r="G37" s="172"/>
    </row>
    <row r="38" spans="1:7" s="38" customFormat="1" ht="15.5" x14ac:dyDescent="0.35">
      <c r="A38" s="173">
        <v>1</v>
      </c>
      <c r="B38" s="174" t="s">
        <v>72</v>
      </c>
      <c r="C38" s="174"/>
      <c r="D38" s="159"/>
      <c r="F38" s="160"/>
      <c r="G38" s="174"/>
    </row>
    <row r="39" spans="1:7" s="38" customFormat="1" ht="15.5" x14ac:dyDescent="0.35">
      <c r="A39" s="173"/>
      <c r="B39" s="174" t="s">
        <v>370</v>
      </c>
      <c r="C39" s="173" t="s">
        <v>75</v>
      </c>
      <c r="D39" s="179">
        <v>55000</v>
      </c>
      <c r="E39" s="167">
        <f>D39/26</f>
        <v>2115.3846153846152</v>
      </c>
      <c r="F39" s="185" t="s">
        <v>34</v>
      </c>
      <c r="G39" s="174"/>
    </row>
    <row r="40" spans="1:7" s="38" customFormat="1" ht="15.5" x14ac:dyDescent="0.35">
      <c r="A40" s="173"/>
      <c r="B40" s="174" t="s">
        <v>371</v>
      </c>
      <c r="C40" s="173" t="s">
        <v>75</v>
      </c>
      <c r="D40" s="179">
        <v>55000</v>
      </c>
      <c r="E40" s="167">
        <f>D40/26</f>
        <v>2115.3846153846152</v>
      </c>
      <c r="F40" s="185" t="s">
        <v>34</v>
      </c>
      <c r="G40" s="174"/>
    </row>
    <row r="41" spans="1:7" s="38" customFormat="1" ht="15.5" x14ac:dyDescent="0.35">
      <c r="A41" s="173"/>
      <c r="B41" s="174" t="s">
        <v>372</v>
      </c>
      <c r="C41" s="173" t="s">
        <v>75</v>
      </c>
      <c r="D41" s="179">
        <v>55000</v>
      </c>
      <c r="E41" s="167">
        <f>D41/8</f>
        <v>6875</v>
      </c>
      <c r="F41" s="186" t="s">
        <v>34</v>
      </c>
      <c r="G41" s="174"/>
    </row>
    <row r="42" spans="1:7" s="38" customFormat="1" ht="15.5" x14ac:dyDescent="0.35">
      <c r="A42" s="173"/>
      <c r="B42" s="174" t="s">
        <v>373</v>
      </c>
      <c r="C42" s="173" t="s">
        <v>75</v>
      </c>
      <c r="D42" s="179">
        <v>55000</v>
      </c>
      <c r="E42" s="167">
        <f>D42/6</f>
        <v>9166.6666666666661</v>
      </c>
      <c r="F42" s="186" t="s">
        <v>34</v>
      </c>
      <c r="G42" s="174"/>
    </row>
    <row r="43" spans="1:7" s="38" customFormat="1" ht="15.5" x14ac:dyDescent="0.35">
      <c r="A43" s="173"/>
      <c r="B43" s="174" t="s">
        <v>374</v>
      </c>
      <c r="C43" s="173" t="s">
        <v>75</v>
      </c>
      <c r="D43" s="179">
        <v>55000</v>
      </c>
      <c r="F43" s="186"/>
      <c r="G43" s="174"/>
    </row>
    <row r="44" spans="1:7" s="38" customFormat="1" ht="15.5" x14ac:dyDescent="0.35">
      <c r="A44" s="173">
        <v>2</v>
      </c>
      <c r="B44" s="174" t="s">
        <v>73</v>
      </c>
      <c r="C44" s="173" t="s">
        <v>75</v>
      </c>
      <c r="D44" s="179">
        <v>115000</v>
      </c>
      <c r="F44" s="160"/>
      <c r="G44" s="174"/>
    </row>
    <row r="45" spans="1:7" s="38" customFormat="1" ht="15.5" x14ac:dyDescent="0.35">
      <c r="A45" s="173">
        <v>3</v>
      </c>
      <c r="B45" s="174" t="s">
        <v>449</v>
      </c>
      <c r="C45" s="173" t="s">
        <v>75</v>
      </c>
      <c r="D45" s="179">
        <v>240000</v>
      </c>
      <c r="E45" s="168">
        <f>D45/3</f>
        <v>80000</v>
      </c>
      <c r="F45" s="160" t="s">
        <v>34</v>
      </c>
      <c r="G45" s="174"/>
    </row>
    <row r="46" spans="1:7" s="38" customFormat="1" ht="15.5" x14ac:dyDescent="0.35">
      <c r="A46" s="177">
        <v>5</v>
      </c>
      <c r="B46" s="178" t="s">
        <v>450</v>
      </c>
      <c r="C46" s="177" t="s">
        <v>66</v>
      </c>
      <c r="D46" s="181">
        <v>18000</v>
      </c>
      <c r="E46" s="188"/>
      <c r="F46" s="183"/>
      <c r="G46" s="178"/>
    </row>
    <row r="47" spans="1:7" s="38" customFormat="1" ht="15.5" x14ac:dyDescent="0.35">
      <c r="A47" s="170" t="s">
        <v>35</v>
      </c>
      <c r="B47" s="171" t="s">
        <v>375</v>
      </c>
      <c r="C47" s="164"/>
      <c r="D47" s="165"/>
      <c r="E47" s="162"/>
      <c r="F47" s="163"/>
      <c r="G47" s="172"/>
    </row>
    <row r="48" spans="1:7" s="38" customFormat="1" ht="15.5" x14ac:dyDescent="0.35">
      <c r="A48" s="173">
        <v>1</v>
      </c>
      <c r="B48" s="174" t="s">
        <v>638</v>
      </c>
      <c r="C48" s="173" t="s">
        <v>66</v>
      </c>
      <c r="D48" s="179">
        <v>10500</v>
      </c>
      <c r="F48" s="160"/>
      <c r="G48" s="174"/>
    </row>
    <row r="49" spans="1:7" s="38" customFormat="1" ht="15.5" x14ac:dyDescent="0.35">
      <c r="A49" s="173">
        <v>2</v>
      </c>
      <c r="B49" s="174" t="s">
        <v>376</v>
      </c>
      <c r="C49" s="173" t="s">
        <v>66</v>
      </c>
      <c r="D49" s="179">
        <v>13000</v>
      </c>
      <c r="F49" s="160"/>
      <c r="G49" s="174"/>
    </row>
    <row r="50" spans="1:7" s="38" customFormat="1" ht="15.5" x14ac:dyDescent="0.35">
      <c r="A50" s="173">
        <v>3</v>
      </c>
      <c r="B50" s="174" t="s">
        <v>74</v>
      </c>
      <c r="C50" s="173" t="s">
        <v>66</v>
      </c>
      <c r="D50" s="179">
        <v>12500</v>
      </c>
      <c r="F50" s="160"/>
      <c r="G50" s="174"/>
    </row>
    <row r="51" spans="1:7" s="38" customFormat="1" ht="15.5" x14ac:dyDescent="0.35">
      <c r="A51" s="173">
        <v>4</v>
      </c>
      <c r="B51" s="174" t="s">
        <v>377</v>
      </c>
      <c r="C51" s="173" t="s">
        <v>66</v>
      </c>
      <c r="D51" s="179">
        <v>18000</v>
      </c>
      <c r="F51" s="160"/>
      <c r="G51" s="174"/>
    </row>
    <row r="52" spans="1:7" s="38" customFormat="1" ht="15.5" x14ac:dyDescent="0.35">
      <c r="A52" s="177">
        <v>5</v>
      </c>
      <c r="B52" s="178" t="s">
        <v>462</v>
      </c>
      <c r="C52" s="177" t="s">
        <v>365</v>
      </c>
      <c r="D52" s="181">
        <v>25000</v>
      </c>
      <c r="E52" s="182">
        <f>D52/4</f>
        <v>6250</v>
      </c>
      <c r="F52" s="183" t="s">
        <v>70</v>
      </c>
      <c r="G52" s="178"/>
    </row>
    <row r="53" spans="1:7" s="38" customFormat="1" ht="15.5" x14ac:dyDescent="0.35">
      <c r="A53" s="170" t="s">
        <v>36</v>
      </c>
      <c r="B53" s="171" t="s">
        <v>378</v>
      </c>
      <c r="C53" s="164"/>
      <c r="D53" s="165"/>
      <c r="E53" s="162"/>
      <c r="F53" s="163"/>
      <c r="G53" s="172"/>
    </row>
    <row r="54" spans="1:7" s="38" customFormat="1" ht="15.5" x14ac:dyDescent="0.35">
      <c r="A54" s="173">
        <v>1</v>
      </c>
      <c r="B54" s="174" t="s">
        <v>382</v>
      </c>
      <c r="C54" s="173"/>
      <c r="D54" s="179"/>
      <c r="F54" s="160"/>
      <c r="G54" s="174"/>
    </row>
    <row r="55" spans="1:7" s="38" customFormat="1" ht="15.5" x14ac:dyDescent="0.35">
      <c r="A55" s="173"/>
      <c r="B55" s="174" t="s">
        <v>379</v>
      </c>
      <c r="C55" s="173" t="s">
        <v>365</v>
      </c>
      <c r="D55" s="179">
        <v>19500</v>
      </c>
      <c r="E55" s="168">
        <f>D55/4</f>
        <v>4875</v>
      </c>
      <c r="F55" s="160" t="s">
        <v>70</v>
      </c>
      <c r="G55" s="174"/>
    </row>
    <row r="56" spans="1:7" s="38" customFormat="1" ht="15.5" x14ac:dyDescent="0.35">
      <c r="A56" s="173"/>
      <c r="B56" s="174" t="s">
        <v>380</v>
      </c>
      <c r="C56" s="173" t="s">
        <v>365</v>
      </c>
      <c r="D56" s="179">
        <v>25000</v>
      </c>
      <c r="E56" s="168">
        <f t="shared" ref="E56:E69" si="0">D56/4</f>
        <v>6250</v>
      </c>
      <c r="F56" s="160" t="s">
        <v>70</v>
      </c>
      <c r="G56" s="174"/>
    </row>
    <row r="57" spans="1:7" s="38" customFormat="1" ht="15.5" x14ac:dyDescent="0.35">
      <c r="A57" s="173"/>
      <c r="B57" s="174" t="s">
        <v>381</v>
      </c>
      <c r="C57" s="173" t="s">
        <v>365</v>
      </c>
      <c r="D57" s="179">
        <v>31000</v>
      </c>
      <c r="E57" s="168">
        <f t="shared" si="0"/>
        <v>7750</v>
      </c>
      <c r="F57" s="160" t="s">
        <v>70</v>
      </c>
      <c r="G57" s="174"/>
    </row>
    <row r="58" spans="1:7" s="38" customFormat="1" ht="15.5" x14ac:dyDescent="0.35">
      <c r="A58" s="173"/>
      <c r="B58" s="174" t="s">
        <v>383</v>
      </c>
      <c r="C58" s="173" t="s">
        <v>365</v>
      </c>
      <c r="D58" s="179">
        <v>40000</v>
      </c>
      <c r="E58" s="168">
        <f t="shared" si="0"/>
        <v>10000</v>
      </c>
      <c r="F58" s="160" t="s">
        <v>70</v>
      </c>
      <c r="G58" s="174"/>
    </row>
    <row r="59" spans="1:7" s="38" customFormat="1" ht="15.5" x14ac:dyDescent="0.35">
      <c r="A59" s="173"/>
      <c r="B59" s="174" t="s">
        <v>384</v>
      </c>
      <c r="C59" s="173" t="s">
        <v>365</v>
      </c>
      <c r="D59" s="179">
        <v>46000</v>
      </c>
      <c r="E59" s="168">
        <f t="shared" si="0"/>
        <v>11500</v>
      </c>
      <c r="F59" s="160" t="s">
        <v>70</v>
      </c>
      <c r="G59" s="174"/>
    </row>
    <row r="60" spans="1:7" s="38" customFormat="1" ht="15.5" x14ac:dyDescent="0.35">
      <c r="A60" s="173"/>
      <c r="B60" s="174" t="s">
        <v>385</v>
      </c>
      <c r="C60" s="173" t="s">
        <v>365</v>
      </c>
      <c r="D60" s="179">
        <v>56000</v>
      </c>
      <c r="E60" s="168">
        <f t="shared" si="0"/>
        <v>14000</v>
      </c>
      <c r="F60" s="160" t="s">
        <v>70</v>
      </c>
      <c r="G60" s="174"/>
    </row>
    <row r="61" spans="1:7" s="38" customFormat="1" ht="15.5" x14ac:dyDescent="0.35">
      <c r="A61" s="173"/>
      <c r="B61" s="174" t="s">
        <v>388</v>
      </c>
      <c r="C61" s="173" t="s">
        <v>365</v>
      </c>
      <c r="D61" s="179">
        <v>81000</v>
      </c>
      <c r="E61" s="168">
        <f t="shared" si="0"/>
        <v>20250</v>
      </c>
      <c r="F61" s="160" t="s">
        <v>70</v>
      </c>
      <c r="G61" s="174"/>
    </row>
    <row r="62" spans="1:7" s="38" customFormat="1" ht="15.5" x14ac:dyDescent="0.35">
      <c r="A62" s="173"/>
      <c r="B62" s="174" t="s">
        <v>386</v>
      </c>
      <c r="C62" s="173" t="s">
        <v>365</v>
      </c>
      <c r="D62" s="179">
        <v>105000</v>
      </c>
      <c r="E62" s="168">
        <f t="shared" si="0"/>
        <v>26250</v>
      </c>
      <c r="F62" s="160" t="s">
        <v>70</v>
      </c>
      <c r="G62" s="174"/>
    </row>
    <row r="63" spans="1:7" s="38" customFormat="1" ht="15.5" x14ac:dyDescent="0.35">
      <c r="A63" s="173"/>
      <c r="B63" s="174" t="s">
        <v>387</v>
      </c>
      <c r="C63" s="173" t="s">
        <v>365</v>
      </c>
      <c r="D63" s="179">
        <v>180000</v>
      </c>
      <c r="E63" s="168">
        <f t="shared" si="0"/>
        <v>45000</v>
      </c>
      <c r="F63" s="160" t="s">
        <v>70</v>
      </c>
      <c r="G63" s="174"/>
    </row>
    <row r="64" spans="1:7" s="38" customFormat="1" ht="15.5" x14ac:dyDescent="0.35">
      <c r="A64" s="173"/>
      <c r="B64" s="174" t="s">
        <v>389</v>
      </c>
      <c r="C64" s="173" t="s">
        <v>365</v>
      </c>
      <c r="D64" s="179">
        <v>27000</v>
      </c>
      <c r="E64" s="168">
        <f t="shared" si="0"/>
        <v>6750</v>
      </c>
      <c r="F64" s="160" t="s">
        <v>70</v>
      </c>
      <c r="G64" s="174"/>
    </row>
    <row r="65" spans="1:7" s="38" customFormat="1" ht="15.5" x14ac:dyDescent="0.35">
      <c r="A65" s="173"/>
      <c r="B65" s="174" t="s">
        <v>390</v>
      </c>
      <c r="C65" s="173" t="s">
        <v>365</v>
      </c>
      <c r="D65" s="179">
        <v>28500</v>
      </c>
      <c r="E65" s="168">
        <f t="shared" si="0"/>
        <v>7125</v>
      </c>
      <c r="F65" s="160" t="s">
        <v>70</v>
      </c>
      <c r="G65" s="174"/>
    </row>
    <row r="66" spans="1:7" s="38" customFormat="1" ht="15.5" x14ac:dyDescent="0.35">
      <c r="A66" s="173"/>
      <c r="B66" s="174" t="s">
        <v>391</v>
      </c>
      <c r="C66" s="173" t="s">
        <v>365</v>
      </c>
      <c r="D66" s="179">
        <v>41000</v>
      </c>
      <c r="E66" s="168">
        <f t="shared" si="0"/>
        <v>10250</v>
      </c>
      <c r="F66" s="160" t="s">
        <v>70</v>
      </c>
      <c r="G66" s="174"/>
    </row>
    <row r="67" spans="1:7" s="38" customFormat="1" ht="15.5" x14ac:dyDescent="0.35">
      <c r="A67" s="173"/>
      <c r="B67" s="174" t="s">
        <v>392</v>
      </c>
      <c r="C67" s="173" t="s">
        <v>365</v>
      </c>
      <c r="D67" s="179">
        <v>48000</v>
      </c>
      <c r="E67" s="168">
        <f t="shared" si="0"/>
        <v>12000</v>
      </c>
      <c r="F67" s="160" t="s">
        <v>70</v>
      </c>
      <c r="G67" s="174"/>
    </row>
    <row r="68" spans="1:7" s="38" customFormat="1" ht="15.5" x14ac:dyDescent="0.35">
      <c r="A68" s="173"/>
      <c r="B68" s="174" t="s">
        <v>393</v>
      </c>
      <c r="C68" s="173" t="s">
        <v>365</v>
      </c>
      <c r="D68" s="179">
        <v>65000</v>
      </c>
      <c r="E68" s="168">
        <f t="shared" si="0"/>
        <v>16250</v>
      </c>
      <c r="F68" s="160" t="s">
        <v>70</v>
      </c>
      <c r="G68" s="174"/>
    </row>
    <row r="69" spans="1:7" s="38" customFormat="1" ht="15.5" x14ac:dyDescent="0.35">
      <c r="A69" s="177"/>
      <c r="B69" s="178" t="s">
        <v>394</v>
      </c>
      <c r="C69" s="177" t="s">
        <v>365</v>
      </c>
      <c r="D69" s="181">
        <v>98000</v>
      </c>
      <c r="E69" s="182">
        <f t="shared" si="0"/>
        <v>24500</v>
      </c>
      <c r="F69" s="183" t="s">
        <v>70</v>
      </c>
      <c r="G69" s="178"/>
    </row>
    <row r="70" spans="1:7" s="38" customFormat="1" ht="15.5" x14ac:dyDescent="0.35">
      <c r="A70" s="170" t="s">
        <v>40</v>
      </c>
      <c r="B70" s="171" t="s">
        <v>395</v>
      </c>
      <c r="C70" s="164"/>
      <c r="D70" s="165"/>
      <c r="E70" s="162"/>
      <c r="F70" s="163"/>
      <c r="G70" s="172"/>
    </row>
    <row r="71" spans="1:7" s="38" customFormat="1" ht="15.5" x14ac:dyDescent="0.35">
      <c r="A71" s="173">
        <v>1</v>
      </c>
      <c r="B71" s="174" t="s">
        <v>76</v>
      </c>
      <c r="C71" s="173" t="s">
        <v>71</v>
      </c>
      <c r="D71" s="179">
        <v>62000</v>
      </c>
      <c r="F71" s="160"/>
      <c r="G71" s="174"/>
    </row>
    <row r="72" spans="1:7" s="38" customFormat="1" ht="15.5" x14ac:dyDescent="0.35">
      <c r="A72" s="173">
        <v>2</v>
      </c>
      <c r="B72" s="174" t="s">
        <v>396</v>
      </c>
      <c r="C72" s="173" t="s">
        <v>71</v>
      </c>
      <c r="D72" s="179">
        <v>64000</v>
      </c>
      <c r="F72" s="160"/>
      <c r="G72" s="174"/>
    </row>
    <row r="73" spans="1:7" s="38" customFormat="1" ht="15.5" x14ac:dyDescent="0.35">
      <c r="A73" s="173">
        <v>3</v>
      </c>
      <c r="B73" s="174" t="s">
        <v>397</v>
      </c>
      <c r="C73" s="173"/>
      <c r="D73" s="179"/>
      <c r="F73" s="160"/>
      <c r="G73" s="174"/>
    </row>
    <row r="74" spans="1:7" s="38" customFormat="1" ht="15.5" x14ac:dyDescent="0.35">
      <c r="A74" s="173"/>
      <c r="B74" s="174" t="s">
        <v>398</v>
      </c>
      <c r="C74" s="173" t="s">
        <v>71</v>
      </c>
      <c r="D74" s="179">
        <v>80000</v>
      </c>
      <c r="F74" s="160"/>
      <c r="G74" s="174"/>
    </row>
    <row r="75" spans="1:7" s="38" customFormat="1" ht="15.5" x14ac:dyDescent="0.35">
      <c r="A75" s="173"/>
      <c r="B75" s="174" t="s">
        <v>399</v>
      </c>
      <c r="C75" s="173" t="s">
        <v>71</v>
      </c>
      <c r="D75" s="179">
        <v>115000</v>
      </c>
      <c r="F75" s="160"/>
      <c r="G75" s="174"/>
    </row>
    <row r="76" spans="1:7" s="38" customFormat="1" ht="15.5" x14ac:dyDescent="0.35">
      <c r="A76" s="173"/>
      <c r="B76" s="174" t="s">
        <v>400</v>
      </c>
      <c r="C76" s="173" t="s">
        <v>71</v>
      </c>
      <c r="D76" s="179">
        <v>155000</v>
      </c>
      <c r="F76" s="160"/>
      <c r="G76" s="174"/>
    </row>
    <row r="77" spans="1:7" s="38" customFormat="1" ht="15.5" x14ac:dyDescent="0.35">
      <c r="A77" s="177">
        <v>4</v>
      </c>
      <c r="B77" s="178" t="s">
        <v>468</v>
      </c>
      <c r="C77" s="177" t="s">
        <v>365</v>
      </c>
      <c r="D77" s="181">
        <v>12000</v>
      </c>
      <c r="E77" s="182">
        <f>D77/2</f>
        <v>6000</v>
      </c>
      <c r="F77" s="183" t="s">
        <v>70</v>
      </c>
      <c r="G77" s="178"/>
    </row>
    <row r="78" spans="1:7" s="38" customFormat="1" ht="15.5" x14ac:dyDescent="0.35">
      <c r="A78" s="170" t="s">
        <v>42</v>
      </c>
      <c r="B78" s="171" t="s">
        <v>401</v>
      </c>
      <c r="C78" s="164"/>
      <c r="D78" s="165"/>
      <c r="E78" s="162"/>
      <c r="F78" s="163"/>
      <c r="G78" s="172"/>
    </row>
    <row r="79" spans="1:7" s="38" customFormat="1" ht="15.5" x14ac:dyDescent="0.35">
      <c r="A79" s="173">
        <v>1</v>
      </c>
      <c r="B79" s="174" t="s">
        <v>402</v>
      </c>
      <c r="C79" s="173"/>
      <c r="D79" s="179"/>
      <c r="F79" s="160"/>
      <c r="G79" s="174"/>
    </row>
    <row r="80" spans="1:7" s="38" customFormat="1" ht="15.5" x14ac:dyDescent="0.35">
      <c r="A80" s="173"/>
      <c r="B80" s="174" t="s">
        <v>404</v>
      </c>
      <c r="C80" s="173" t="s">
        <v>66</v>
      </c>
      <c r="D80" s="179">
        <v>40000</v>
      </c>
      <c r="F80" s="160"/>
      <c r="G80" s="174"/>
    </row>
    <row r="81" spans="1:7" s="38" customFormat="1" ht="15.5" x14ac:dyDescent="0.35">
      <c r="A81" s="173"/>
      <c r="B81" s="174" t="s">
        <v>405</v>
      </c>
      <c r="C81" s="173" t="s">
        <v>71</v>
      </c>
      <c r="D81" s="179">
        <v>3000</v>
      </c>
      <c r="F81" s="160"/>
      <c r="G81" s="174"/>
    </row>
    <row r="82" spans="1:7" s="38" customFormat="1" ht="15.5" x14ac:dyDescent="0.35">
      <c r="A82" s="173"/>
      <c r="B82" s="174" t="s">
        <v>406</v>
      </c>
      <c r="C82" s="173" t="s">
        <v>66</v>
      </c>
      <c r="D82" s="179">
        <v>55000</v>
      </c>
      <c r="F82" s="160"/>
      <c r="G82" s="174"/>
    </row>
    <row r="83" spans="1:7" s="38" customFormat="1" ht="15.5" x14ac:dyDescent="0.35">
      <c r="A83" s="173"/>
      <c r="B83" s="174" t="s">
        <v>407</v>
      </c>
      <c r="C83" s="173" t="s">
        <v>66</v>
      </c>
      <c r="D83" s="179">
        <v>70000</v>
      </c>
      <c r="F83" s="160"/>
      <c r="G83" s="174"/>
    </row>
    <row r="84" spans="1:7" s="38" customFormat="1" ht="15.5" x14ac:dyDescent="0.35">
      <c r="A84" s="173"/>
      <c r="B84" s="174" t="s">
        <v>408</v>
      </c>
      <c r="C84" s="173" t="s">
        <v>34</v>
      </c>
      <c r="D84" s="179">
        <v>10000</v>
      </c>
      <c r="F84" s="160"/>
      <c r="G84" s="174"/>
    </row>
    <row r="85" spans="1:7" s="38" customFormat="1" ht="15.5" x14ac:dyDescent="0.35">
      <c r="A85" s="173">
        <v>2</v>
      </c>
      <c r="B85" s="174" t="s">
        <v>77</v>
      </c>
      <c r="C85" s="173"/>
      <c r="D85" s="179"/>
      <c r="F85" s="160"/>
      <c r="G85" s="174"/>
    </row>
    <row r="86" spans="1:7" s="38" customFormat="1" ht="15.5" x14ac:dyDescent="0.35">
      <c r="A86" s="173"/>
      <c r="B86" s="174" t="s">
        <v>409</v>
      </c>
      <c r="C86" s="173" t="s">
        <v>66</v>
      </c>
      <c r="D86" s="179">
        <v>26000</v>
      </c>
      <c r="F86" s="160"/>
      <c r="G86" s="174"/>
    </row>
    <row r="87" spans="1:7" s="38" customFormat="1" ht="15.5" x14ac:dyDescent="0.35">
      <c r="A87" s="173"/>
      <c r="B87" s="174" t="s">
        <v>483</v>
      </c>
      <c r="C87" s="173" t="s">
        <v>80</v>
      </c>
      <c r="D87" s="179">
        <v>110000</v>
      </c>
      <c r="E87" s="168">
        <f t="shared" ref="E87:E88" si="1">D87/5</f>
        <v>22000</v>
      </c>
      <c r="F87" s="160" t="s">
        <v>66</v>
      </c>
      <c r="G87" s="174"/>
    </row>
    <row r="88" spans="1:7" s="38" customFormat="1" ht="15.5" x14ac:dyDescent="0.35">
      <c r="A88" s="173"/>
      <c r="B88" s="174" t="s">
        <v>484</v>
      </c>
      <c r="C88" s="173" t="s">
        <v>80</v>
      </c>
      <c r="D88" s="179">
        <v>140000</v>
      </c>
      <c r="E88" s="168">
        <f t="shared" si="1"/>
        <v>28000</v>
      </c>
      <c r="F88" s="160" t="s">
        <v>66</v>
      </c>
      <c r="G88" s="174"/>
    </row>
    <row r="89" spans="1:7" s="38" customFormat="1" ht="15.5" x14ac:dyDescent="0.35">
      <c r="A89" s="173"/>
      <c r="B89" s="174" t="s">
        <v>485</v>
      </c>
      <c r="C89" s="173" t="s">
        <v>80</v>
      </c>
      <c r="D89" s="179">
        <v>125000</v>
      </c>
      <c r="E89" s="168">
        <f>D89/5</f>
        <v>25000</v>
      </c>
      <c r="F89" s="160" t="s">
        <v>66</v>
      </c>
      <c r="G89" s="174"/>
    </row>
    <row r="90" spans="1:7" s="38" customFormat="1" ht="15.5" x14ac:dyDescent="0.35">
      <c r="A90" s="173"/>
      <c r="B90" s="174" t="s">
        <v>486</v>
      </c>
      <c r="C90" s="173" t="s">
        <v>80</v>
      </c>
      <c r="D90" s="179">
        <v>180000</v>
      </c>
      <c r="E90" s="168">
        <f>D90/5</f>
        <v>36000</v>
      </c>
      <c r="F90" s="160" t="s">
        <v>66</v>
      </c>
      <c r="G90" s="174"/>
    </row>
    <row r="91" spans="1:7" s="38" customFormat="1" ht="15.5" x14ac:dyDescent="0.35">
      <c r="A91" s="173">
        <v>3</v>
      </c>
      <c r="B91" s="174" t="s">
        <v>410</v>
      </c>
      <c r="C91" s="173"/>
      <c r="D91" s="179"/>
      <c r="F91" s="160"/>
      <c r="G91" s="174"/>
    </row>
    <row r="92" spans="1:7" s="38" customFormat="1" ht="15.5" x14ac:dyDescent="0.35">
      <c r="A92" s="173"/>
      <c r="B92" s="174" t="s">
        <v>403</v>
      </c>
      <c r="C92" s="173" t="s">
        <v>66</v>
      </c>
      <c r="D92" s="179">
        <v>19000</v>
      </c>
      <c r="F92" s="160"/>
      <c r="G92" s="174"/>
    </row>
    <row r="93" spans="1:7" s="38" customFormat="1" ht="15.5" x14ac:dyDescent="0.35">
      <c r="A93" s="173"/>
      <c r="B93" s="174" t="s">
        <v>482</v>
      </c>
      <c r="C93" s="173" t="s">
        <v>66</v>
      </c>
      <c r="D93" s="179">
        <v>52000</v>
      </c>
      <c r="F93" s="160"/>
      <c r="G93" s="174"/>
    </row>
    <row r="94" spans="1:7" s="38" customFormat="1" ht="15.5" x14ac:dyDescent="0.35">
      <c r="A94" s="173"/>
      <c r="B94" s="174" t="s">
        <v>413</v>
      </c>
      <c r="C94" s="173" t="s">
        <v>66</v>
      </c>
      <c r="D94" s="179">
        <v>64000</v>
      </c>
      <c r="F94" s="160"/>
      <c r="G94" s="174"/>
    </row>
    <row r="95" spans="1:7" s="38" customFormat="1" ht="15.5" x14ac:dyDescent="0.35">
      <c r="A95" s="173"/>
      <c r="B95" s="174" t="s">
        <v>412</v>
      </c>
      <c r="C95" s="173" t="s">
        <v>81</v>
      </c>
      <c r="D95" s="179">
        <v>18000</v>
      </c>
      <c r="F95" s="160"/>
      <c r="G95" s="174"/>
    </row>
    <row r="96" spans="1:7" s="38" customFormat="1" ht="15.5" x14ac:dyDescent="0.35">
      <c r="A96" s="177"/>
      <c r="B96" s="178" t="s">
        <v>411</v>
      </c>
      <c r="C96" s="177" t="s">
        <v>81</v>
      </c>
      <c r="D96" s="181">
        <v>12000</v>
      </c>
      <c r="E96" s="188"/>
      <c r="F96" s="183"/>
      <c r="G96" s="178"/>
    </row>
    <row r="97" spans="1:7" s="38" customFormat="1" ht="15.5" x14ac:dyDescent="0.35">
      <c r="A97" s="170" t="s">
        <v>96</v>
      </c>
      <c r="B97" s="171" t="s">
        <v>414</v>
      </c>
      <c r="C97" s="164"/>
      <c r="D97" s="165"/>
      <c r="E97" s="162"/>
      <c r="F97" s="163"/>
      <c r="G97" s="172"/>
    </row>
    <row r="98" spans="1:7" s="38" customFormat="1" ht="15.5" x14ac:dyDescent="0.35">
      <c r="A98" s="173">
        <v>1</v>
      </c>
      <c r="B98" s="174" t="s">
        <v>78</v>
      </c>
      <c r="C98" s="174"/>
      <c r="D98" s="159"/>
      <c r="F98" s="160"/>
      <c r="G98" s="174"/>
    </row>
    <row r="99" spans="1:7" s="38" customFormat="1" ht="15.5" x14ac:dyDescent="0.35">
      <c r="A99" s="173"/>
      <c r="B99" s="174" t="s">
        <v>475</v>
      </c>
      <c r="C99" s="173" t="s">
        <v>75</v>
      </c>
      <c r="D99" s="179">
        <v>100000</v>
      </c>
      <c r="F99" s="160"/>
      <c r="G99" s="174"/>
    </row>
    <row r="100" spans="1:7" s="38" customFormat="1" ht="15.5" x14ac:dyDescent="0.35">
      <c r="A100" s="173"/>
      <c r="B100" s="174" t="s">
        <v>476</v>
      </c>
      <c r="C100" s="173" t="s">
        <v>75</v>
      </c>
      <c r="D100" s="179">
        <v>120000</v>
      </c>
      <c r="F100" s="160"/>
      <c r="G100" s="174"/>
    </row>
    <row r="101" spans="1:7" s="38" customFormat="1" ht="15.5" x14ac:dyDescent="0.35">
      <c r="A101" s="173">
        <v>2</v>
      </c>
      <c r="B101" s="174" t="s">
        <v>417</v>
      </c>
      <c r="C101" s="174"/>
      <c r="D101" s="159"/>
      <c r="F101" s="160"/>
      <c r="G101" s="174"/>
    </row>
    <row r="102" spans="1:7" s="38" customFormat="1" ht="15.5" x14ac:dyDescent="0.35">
      <c r="A102" s="173"/>
      <c r="B102" s="174" t="s">
        <v>415</v>
      </c>
      <c r="C102" s="173" t="s">
        <v>75</v>
      </c>
      <c r="D102" s="179">
        <v>95000</v>
      </c>
      <c r="F102" s="160"/>
      <c r="G102" s="174"/>
    </row>
    <row r="103" spans="1:7" s="38" customFormat="1" ht="15.5" x14ac:dyDescent="0.35">
      <c r="A103" s="173"/>
      <c r="B103" s="174" t="s">
        <v>416</v>
      </c>
      <c r="C103" s="173" t="s">
        <v>75</v>
      </c>
      <c r="D103" s="179">
        <v>120000</v>
      </c>
      <c r="F103" s="160"/>
      <c r="G103" s="174"/>
    </row>
    <row r="104" spans="1:7" s="38" customFormat="1" ht="15.5" x14ac:dyDescent="0.35">
      <c r="A104" s="173">
        <v>3</v>
      </c>
      <c r="B104" s="174" t="s">
        <v>79</v>
      </c>
      <c r="C104" s="174"/>
      <c r="D104" s="159"/>
      <c r="F104" s="160"/>
      <c r="G104" s="174"/>
    </row>
    <row r="105" spans="1:7" s="38" customFormat="1" ht="15.5" x14ac:dyDescent="0.35">
      <c r="A105" s="173"/>
      <c r="B105" s="174" t="s">
        <v>415</v>
      </c>
      <c r="C105" s="173" t="s">
        <v>75</v>
      </c>
      <c r="D105" s="179">
        <v>90000</v>
      </c>
      <c r="F105" s="160"/>
      <c r="G105" s="174"/>
    </row>
    <row r="106" spans="1:7" s="38" customFormat="1" ht="15.5" x14ac:dyDescent="0.35">
      <c r="A106" s="173"/>
      <c r="B106" s="174" t="s">
        <v>416</v>
      </c>
      <c r="C106" s="173" t="s">
        <v>75</v>
      </c>
      <c r="D106" s="179">
        <v>115000</v>
      </c>
      <c r="F106" s="160"/>
      <c r="G106" s="174"/>
    </row>
    <row r="107" spans="1:7" s="38" customFormat="1" ht="15.5" x14ac:dyDescent="0.35">
      <c r="A107" s="177">
        <v>4</v>
      </c>
      <c r="B107" s="178" t="s">
        <v>481</v>
      </c>
      <c r="C107" s="177" t="s">
        <v>75</v>
      </c>
      <c r="D107" s="580">
        <v>520000</v>
      </c>
      <c r="E107" s="188"/>
      <c r="F107" s="183"/>
      <c r="G107" s="178"/>
    </row>
    <row r="108" spans="1:7" s="38" customFormat="1" ht="15.5" x14ac:dyDescent="0.35">
      <c r="A108" s="175" t="s">
        <v>98</v>
      </c>
      <c r="B108" s="176" t="s">
        <v>418</v>
      </c>
      <c r="C108" s="173"/>
      <c r="D108" s="179"/>
      <c r="F108" s="160"/>
      <c r="G108" s="174"/>
    </row>
    <row r="109" spans="1:7" s="38" customFormat="1" ht="15.5" x14ac:dyDescent="0.35">
      <c r="A109" s="173">
        <v>1</v>
      </c>
      <c r="B109" s="174" t="s">
        <v>422</v>
      </c>
      <c r="C109" s="173" t="s">
        <v>67</v>
      </c>
      <c r="D109" s="179">
        <v>2110000</v>
      </c>
      <c r="F109" s="160"/>
      <c r="G109" s="174"/>
    </row>
    <row r="110" spans="1:7" s="38" customFormat="1" ht="15.5" x14ac:dyDescent="0.35">
      <c r="A110" s="173">
        <v>2</v>
      </c>
      <c r="B110" s="174" t="s">
        <v>423</v>
      </c>
      <c r="C110" s="173" t="s">
        <v>67</v>
      </c>
      <c r="D110" s="179">
        <v>480000</v>
      </c>
      <c r="F110" s="160"/>
      <c r="G110" s="174"/>
    </row>
    <row r="111" spans="1:7" s="38" customFormat="1" ht="15.5" x14ac:dyDescent="0.35">
      <c r="A111" s="173">
        <v>3</v>
      </c>
      <c r="B111" s="174" t="s">
        <v>489</v>
      </c>
      <c r="C111" s="173" t="s">
        <v>67</v>
      </c>
      <c r="D111" s="179">
        <v>900000</v>
      </c>
      <c r="F111" s="160"/>
      <c r="G111" s="174"/>
    </row>
    <row r="112" spans="1:7" s="38" customFormat="1" ht="15.5" x14ac:dyDescent="0.35">
      <c r="A112" s="173">
        <v>4</v>
      </c>
      <c r="B112" s="174" t="s">
        <v>82</v>
      </c>
      <c r="C112" s="173"/>
      <c r="D112" s="179"/>
      <c r="F112" s="160"/>
      <c r="G112" s="174"/>
    </row>
    <row r="113" spans="1:7" s="38" customFormat="1" ht="15.5" x14ac:dyDescent="0.35">
      <c r="A113" s="173"/>
      <c r="B113" s="174" t="s">
        <v>419</v>
      </c>
      <c r="C113" s="173" t="s">
        <v>67</v>
      </c>
      <c r="D113" s="179">
        <v>25000</v>
      </c>
      <c r="F113" s="160"/>
      <c r="G113" s="174"/>
    </row>
    <row r="114" spans="1:7" s="38" customFormat="1" ht="15.5" x14ac:dyDescent="0.35">
      <c r="A114" s="173"/>
      <c r="B114" s="174" t="s">
        <v>420</v>
      </c>
      <c r="C114" s="173" t="s">
        <v>67</v>
      </c>
      <c r="D114" s="179">
        <v>4750</v>
      </c>
      <c r="F114" s="160"/>
      <c r="G114" s="174"/>
    </row>
    <row r="115" spans="1:7" s="38" customFormat="1" ht="15.5" x14ac:dyDescent="0.35">
      <c r="A115" s="173"/>
      <c r="B115" s="174" t="s">
        <v>421</v>
      </c>
      <c r="C115" s="173" t="s">
        <v>67</v>
      </c>
      <c r="D115" s="179">
        <v>30000</v>
      </c>
      <c r="F115" s="160"/>
      <c r="G115" s="174"/>
    </row>
    <row r="116" spans="1:7" s="38" customFormat="1" ht="15.5" x14ac:dyDescent="0.35">
      <c r="A116" s="170" t="s">
        <v>173</v>
      </c>
      <c r="B116" s="171" t="s">
        <v>424</v>
      </c>
      <c r="C116" s="164"/>
      <c r="D116" s="165"/>
      <c r="E116" s="162"/>
      <c r="F116" s="163"/>
      <c r="G116" s="172"/>
    </row>
    <row r="117" spans="1:7" s="38" customFormat="1" ht="15.5" x14ac:dyDescent="0.35">
      <c r="A117" s="173">
        <v>1</v>
      </c>
      <c r="B117" s="174" t="s">
        <v>444</v>
      </c>
      <c r="C117" s="173" t="s">
        <v>66</v>
      </c>
      <c r="D117" s="179">
        <v>20000</v>
      </c>
      <c r="F117" s="160"/>
      <c r="G117" s="174"/>
    </row>
    <row r="118" spans="1:7" s="38" customFormat="1" ht="15.5" x14ac:dyDescent="0.35">
      <c r="A118" s="173">
        <v>2</v>
      </c>
      <c r="B118" s="174" t="s">
        <v>83</v>
      </c>
      <c r="C118" s="173" t="s">
        <v>66</v>
      </c>
      <c r="D118" s="179">
        <v>25000</v>
      </c>
      <c r="F118" s="160"/>
      <c r="G118" s="174"/>
    </row>
    <row r="119" spans="1:7" s="38" customFormat="1" ht="15.5" x14ac:dyDescent="0.35">
      <c r="A119" s="173">
        <v>3</v>
      </c>
      <c r="B119" s="174" t="s">
        <v>84</v>
      </c>
      <c r="C119" s="173" t="s">
        <v>66</v>
      </c>
      <c r="D119" s="179">
        <v>21000</v>
      </c>
      <c r="F119" s="160"/>
      <c r="G119" s="174"/>
    </row>
    <row r="120" spans="1:7" s="38" customFormat="1" ht="15.5" x14ac:dyDescent="0.35">
      <c r="A120" s="173">
        <v>4</v>
      </c>
      <c r="B120" s="174" t="s">
        <v>85</v>
      </c>
      <c r="C120" s="173" t="s">
        <v>66</v>
      </c>
      <c r="D120" s="179">
        <v>30000</v>
      </c>
      <c r="F120" s="160"/>
      <c r="G120" s="174"/>
    </row>
    <row r="121" spans="1:7" s="38" customFormat="1" ht="15.5" x14ac:dyDescent="0.35">
      <c r="A121" s="177">
        <v>5</v>
      </c>
      <c r="B121" s="178" t="s">
        <v>474</v>
      </c>
      <c r="C121" s="177" t="s">
        <v>67</v>
      </c>
      <c r="D121" s="181">
        <v>800</v>
      </c>
      <c r="E121" s="188"/>
      <c r="F121" s="183"/>
      <c r="G121" s="178"/>
    </row>
    <row r="122" spans="1:7" s="38" customFormat="1" ht="15.5" x14ac:dyDescent="0.35">
      <c r="A122" s="175" t="s">
        <v>174</v>
      </c>
      <c r="B122" s="176" t="s">
        <v>425</v>
      </c>
      <c r="C122" s="173"/>
      <c r="D122" s="179"/>
      <c r="F122" s="160"/>
      <c r="G122" s="174"/>
    </row>
    <row r="123" spans="1:7" s="38" customFormat="1" ht="15.5" x14ac:dyDescent="0.35">
      <c r="A123" s="173">
        <v>1</v>
      </c>
      <c r="B123" s="174" t="s">
        <v>257</v>
      </c>
      <c r="C123" s="173" t="s">
        <v>70</v>
      </c>
      <c r="D123" s="179">
        <v>110000</v>
      </c>
      <c r="F123" s="160"/>
      <c r="G123" s="174"/>
    </row>
    <row r="124" spans="1:7" s="38" customFormat="1" ht="15.5" x14ac:dyDescent="0.35">
      <c r="A124" s="173">
        <f>+A123+1</f>
        <v>2</v>
      </c>
      <c r="B124" s="174" t="s">
        <v>232</v>
      </c>
      <c r="C124" s="173" t="s">
        <v>75</v>
      </c>
      <c r="D124" s="179">
        <v>400000</v>
      </c>
      <c r="F124" s="160"/>
      <c r="G124" s="174"/>
    </row>
    <row r="125" spans="1:7" s="38" customFormat="1" ht="15.5" x14ac:dyDescent="0.35">
      <c r="A125" s="173">
        <f t="shared" ref="A125:A127" si="2">+A124+1</f>
        <v>3</v>
      </c>
      <c r="B125" s="174" t="s">
        <v>233</v>
      </c>
      <c r="C125" s="173" t="s">
        <v>75</v>
      </c>
      <c r="D125" s="179">
        <v>450000</v>
      </c>
      <c r="F125" s="160"/>
      <c r="G125" s="174"/>
    </row>
    <row r="126" spans="1:7" s="38" customFormat="1" ht="15.5" x14ac:dyDescent="0.35">
      <c r="A126" s="173">
        <f t="shared" si="2"/>
        <v>4</v>
      </c>
      <c r="B126" s="174" t="s">
        <v>255</v>
      </c>
      <c r="C126" s="173" t="s">
        <v>70</v>
      </c>
      <c r="D126" s="179">
        <v>120000</v>
      </c>
      <c r="F126" s="160"/>
      <c r="G126" s="174"/>
    </row>
    <row r="127" spans="1:7" s="38" customFormat="1" ht="15.5" x14ac:dyDescent="0.35">
      <c r="A127" s="173">
        <f t="shared" si="2"/>
        <v>5</v>
      </c>
      <c r="B127" s="174" t="s">
        <v>253</v>
      </c>
      <c r="C127" s="173" t="s">
        <v>70</v>
      </c>
      <c r="D127" s="179">
        <v>9000</v>
      </c>
      <c r="F127" s="160"/>
      <c r="G127" s="174"/>
    </row>
    <row r="128" spans="1:7" s="38" customFormat="1" ht="15.5" x14ac:dyDescent="0.35">
      <c r="A128" s="173">
        <v>6</v>
      </c>
      <c r="B128" s="174" t="s">
        <v>86</v>
      </c>
      <c r="C128" s="173" t="s">
        <v>81</v>
      </c>
      <c r="D128" s="179">
        <v>14000</v>
      </c>
      <c r="F128" s="160"/>
      <c r="G128" s="174"/>
    </row>
    <row r="129" spans="1:7" s="38" customFormat="1" ht="15.5" x14ac:dyDescent="0.35">
      <c r="A129" s="173">
        <v>7</v>
      </c>
      <c r="B129" s="174" t="s">
        <v>695</v>
      </c>
      <c r="C129" s="173" t="s">
        <v>70</v>
      </c>
      <c r="D129" s="179">
        <v>125000</v>
      </c>
      <c r="F129" s="160"/>
      <c r="G129" s="174"/>
    </row>
    <row r="130" spans="1:7" s="38" customFormat="1" ht="15.5" x14ac:dyDescent="0.35">
      <c r="A130" s="173">
        <v>8</v>
      </c>
      <c r="B130" s="174" t="s">
        <v>234</v>
      </c>
      <c r="C130" s="173" t="s">
        <v>81</v>
      </c>
      <c r="D130" s="179">
        <v>30000</v>
      </c>
      <c r="F130" s="160"/>
      <c r="G130" s="174"/>
    </row>
    <row r="131" spans="1:7" s="38" customFormat="1" ht="15.5" x14ac:dyDescent="0.35">
      <c r="A131" s="173">
        <v>9</v>
      </c>
      <c r="B131" s="174" t="s">
        <v>258</v>
      </c>
      <c r="C131" s="173" t="s">
        <v>478</v>
      </c>
      <c r="D131" s="179">
        <v>35000</v>
      </c>
      <c r="F131" s="160"/>
      <c r="G131" s="174"/>
    </row>
    <row r="132" spans="1:7" s="38" customFormat="1" ht="15.5" x14ac:dyDescent="0.35">
      <c r="A132" s="173">
        <v>10</v>
      </c>
      <c r="B132" s="174" t="s">
        <v>87</v>
      </c>
      <c r="C132" s="173" t="s">
        <v>75</v>
      </c>
      <c r="D132" s="179">
        <v>600000</v>
      </c>
      <c r="F132" s="160"/>
      <c r="G132" s="174"/>
    </row>
    <row r="133" spans="1:7" s="38" customFormat="1" ht="15.5" x14ac:dyDescent="0.35">
      <c r="A133" s="173">
        <v>11</v>
      </c>
      <c r="B133" s="174" t="s">
        <v>250</v>
      </c>
      <c r="C133" s="173" t="s">
        <v>39</v>
      </c>
      <c r="D133" s="179">
        <v>60000</v>
      </c>
      <c r="F133" s="160"/>
      <c r="G133" s="174"/>
    </row>
    <row r="134" spans="1:7" s="38" customFormat="1" ht="15.5" x14ac:dyDescent="0.35">
      <c r="A134" s="177">
        <v>12</v>
      </c>
      <c r="B134" s="178" t="s">
        <v>88</v>
      </c>
      <c r="C134" s="177" t="s">
        <v>65</v>
      </c>
      <c r="D134" s="181">
        <v>17000</v>
      </c>
      <c r="E134" s="187">
        <f>D134/1000</f>
        <v>17</v>
      </c>
      <c r="F134" s="183" t="s">
        <v>132</v>
      </c>
      <c r="G134" s="178"/>
    </row>
    <row r="135" spans="1:7" x14ac:dyDescent="0.35">
      <c r="C135" s="166"/>
    </row>
    <row r="136" spans="1:7" x14ac:dyDescent="0.35">
      <c r="C136" s="166"/>
    </row>
    <row r="137" spans="1:7" x14ac:dyDescent="0.35">
      <c r="C137" s="166"/>
    </row>
    <row r="138" spans="1:7" x14ac:dyDescent="0.35">
      <c r="C138" s="166"/>
    </row>
    <row r="139" spans="1:7" x14ac:dyDescent="0.35">
      <c r="C139" s="166"/>
    </row>
    <row r="140" spans="1:7" x14ac:dyDescent="0.35">
      <c r="C140" s="166"/>
    </row>
    <row r="141" spans="1:7" x14ac:dyDescent="0.35">
      <c r="C141" s="166"/>
    </row>
    <row r="142" spans="1:7" x14ac:dyDescent="0.35">
      <c r="C142" s="166"/>
    </row>
    <row r="143" spans="1:7" x14ac:dyDescent="0.35">
      <c r="C143" s="166"/>
    </row>
    <row r="144" spans="1:7" x14ac:dyDescent="0.35">
      <c r="C144" s="166"/>
    </row>
    <row r="145" spans="3:3" x14ac:dyDescent="0.35">
      <c r="C145" s="166"/>
    </row>
    <row r="146" spans="3:3" x14ac:dyDescent="0.35">
      <c r="C146" s="166"/>
    </row>
    <row r="147" spans="3:3" x14ac:dyDescent="0.35">
      <c r="C147" s="166"/>
    </row>
  </sheetData>
  <mergeCells count="6">
    <mergeCell ref="A1:G1"/>
    <mergeCell ref="A3:A4"/>
    <mergeCell ref="B3:B4"/>
    <mergeCell ref="C3:C4"/>
    <mergeCell ref="G3:G4"/>
    <mergeCell ref="D3:F4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9"/>
  <sheetViews>
    <sheetView view="pageBreakPreview" zoomScale="85" zoomScaleNormal="100" zoomScaleSheetLayoutView="85" workbookViewId="0">
      <selection activeCell="G14" sqref="G14"/>
    </sheetView>
  </sheetViews>
  <sheetFormatPr defaultColWidth="8.81640625" defaultRowHeight="15.5" x14ac:dyDescent="0.45"/>
  <cols>
    <col min="1" max="1" width="5.7265625" style="3" customWidth="1"/>
    <col min="2" max="2" width="17.1796875" style="3" customWidth="1"/>
    <col min="3" max="3" width="3.7265625" style="3" customWidth="1"/>
    <col min="4" max="4" width="24.7265625" style="3" customWidth="1"/>
    <col min="5" max="5" width="10.81640625" style="3" customWidth="1"/>
    <col min="6" max="6" width="19.26953125" style="3" customWidth="1"/>
    <col min="7" max="7" width="21.453125" style="3" customWidth="1"/>
    <col min="8" max="16384" width="8.81640625" style="3"/>
  </cols>
  <sheetData>
    <row r="1" spans="1:7" ht="16.5" x14ac:dyDescent="0.45">
      <c r="A1" s="1067" t="s">
        <v>215</v>
      </c>
      <c r="B1" s="1067"/>
      <c r="C1" s="1067"/>
      <c r="D1" s="1067"/>
      <c r="E1" s="1067"/>
      <c r="F1" s="1067"/>
      <c r="G1" s="1067"/>
    </row>
    <row r="2" spans="1:7" ht="16.5" x14ac:dyDescent="0.45">
      <c r="A2" s="9"/>
      <c r="B2" s="9"/>
      <c r="C2" s="9"/>
      <c r="D2" s="9"/>
      <c r="E2" s="9"/>
      <c r="F2" s="9"/>
      <c r="G2" s="10"/>
    </row>
    <row r="3" spans="1:7" ht="16.5" x14ac:dyDescent="0.45">
      <c r="A3" s="40" t="str">
        <f>+Rekapitulasi!A4</f>
        <v>PEKERJAAN</v>
      </c>
      <c r="B3" s="39"/>
      <c r="C3" s="39" t="str">
        <f>[5]Rekap!D4</f>
        <v>:</v>
      </c>
      <c r="D3" s="40" t="str">
        <f>+Rekapitulasi!D4</f>
        <v>PEMBANGUNAN GEDUNG A (STRUKTUR DAN ARSITEKTUR)</v>
      </c>
      <c r="E3" s="39"/>
      <c r="F3" s="9"/>
      <c r="G3" s="10"/>
    </row>
    <row r="4" spans="1:7" ht="16.5" x14ac:dyDescent="0.45">
      <c r="A4" s="40" t="str">
        <f>+Rekapitulasi!A5</f>
        <v>LOKASI</v>
      </c>
      <c r="B4" s="39"/>
      <c r="C4" s="39" t="str">
        <f>[5]Rekap!D5</f>
        <v>:</v>
      </c>
      <c r="D4" s="40" t="str">
        <f>+Rekapitulasi!D5</f>
        <v>DINAS ABC</v>
      </c>
      <c r="E4" s="39"/>
      <c r="F4" s="9"/>
      <c r="G4" s="10"/>
    </row>
    <row r="5" spans="1:7" ht="16.5" x14ac:dyDescent="0.45">
      <c r="A5" s="40" t="str">
        <f>+Rekapitulasi!A6</f>
        <v>KABUPATEN</v>
      </c>
      <c r="B5" s="39"/>
      <c r="C5" s="39" t="str">
        <f>[5]Rekap!D6</f>
        <v>:</v>
      </c>
      <c r="D5" s="40" t="str">
        <f>+Rekapitulasi!D6</f>
        <v>MAJALENGKA</v>
      </c>
      <c r="E5" s="39"/>
      <c r="F5" s="9"/>
      <c r="G5" s="10"/>
    </row>
    <row r="6" spans="1:7" ht="16.5" x14ac:dyDescent="0.45">
      <c r="A6" s="40" t="str">
        <f>+Rekapitulasi!A7</f>
        <v>TAHUN ANGGARAN</v>
      </c>
      <c r="B6" s="39"/>
      <c r="C6" s="39" t="str">
        <f>[5]Rekap!D7</f>
        <v>:</v>
      </c>
      <c r="D6" s="40">
        <f>+Rekapitulasi!D7</f>
        <v>2019</v>
      </c>
      <c r="E6" s="39"/>
      <c r="F6" s="9"/>
      <c r="G6" s="10"/>
    </row>
    <row r="7" spans="1:7" ht="16.5" x14ac:dyDescent="0.45">
      <c r="A7" s="12"/>
      <c r="B7" s="9"/>
      <c r="C7" s="9"/>
      <c r="D7" s="9"/>
      <c r="E7" s="9"/>
      <c r="F7" s="9"/>
      <c r="G7" s="10"/>
    </row>
    <row r="8" spans="1:7" ht="16.5" x14ac:dyDescent="0.45">
      <c r="A8" s="1014" t="s">
        <v>13</v>
      </c>
      <c r="B8" s="1014" t="s">
        <v>49</v>
      </c>
      <c r="C8" s="1014"/>
      <c r="D8" s="1014"/>
      <c r="E8" s="1068" t="s">
        <v>50</v>
      </c>
      <c r="F8" s="189" t="s">
        <v>63</v>
      </c>
      <c r="G8" s="1068" t="s">
        <v>60</v>
      </c>
    </row>
    <row r="9" spans="1:7" ht="16.5" x14ac:dyDescent="0.45">
      <c r="A9" s="1014"/>
      <c r="B9" s="1014"/>
      <c r="C9" s="1014"/>
      <c r="D9" s="1014"/>
      <c r="E9" s="1068"/>
      <c r="F9" s="189" t="s">
        <v>105</v>
      </c>
      <c r="G9" s="1068"/>
    </row>
    <row r="10" spans="1:7" ht="16.5" x14ac:dyDescent="0.45">
      <c r="A10" s="109">
        <v>1</v>
      </c>
      <c r="B10" s="193" t="s">
        <v>216</v>
      </c>
      <c r="C10" s="117"/>
      <c r="D10" s="194"/>
      <c r="E10" s="191" t="s">
        <v>210</v>
      </c>
      <c r="F10" s="192">
        <v>3250000</v>
      </c>
      <c r="G10" s="190"/>
    </row>
    <row r="11" spans="1:7" ht="16.5" x14ac:dyDescent="0.45">
      <c r="A11" s="109">
        <f>+A10+1</f>
        <v>2</v>
      </c>
      <c r="B11" s="193" t="s">
        <v>217</v>
      </c>
      <c r="C11" s="117"/>
      <c r="D11" s="194"/>
      <c r="E11" s="191" t="s">
        <v>210</v>
      </c>
      <c r="F11" s="192">
        <v>22500</v>
      </c>
      <c r="G11" s="190"/>
    </row>
    <row r="12" spans="1:7" ht="16.5" x14ac:dyDescent="0.45">
      <c r="A12" s="109">
        <f>+A11+1</f>
        <v>3</v>
      </c>
      <c r="B12" s="193" t="s">
        <v>218</v>
      </c>
      <c r="C12" s="117"/>
      <c r="D12" s="194"/>
      <c r="E12" s="191" t="s">
        <v>210</v>
      </c>
      <c r="F12" s="192">
        <v>225000</v>
      </c>
      <c r="G12" s="190"/>
    </row>
    <row r="13" spans="1:7" ht="16.5" x14ac:dyDescent="0.45">
      <c r="A13" s="109">
        <f>+A12+1</f>
        <v>4</v>
      </c>
      <c r="B13" s="193" t="s">
        <v>219</v>
      </c>
      <c r="C13" s="117"/>
      <c r="D13" s="194"/>
      <c r="E13" s="191" t="s">
        <v>210</v>
      </c>
      <c r="F13" s="192">
        <v>45000</v>
      </c>
      <c r="G13" s="190"/>
    </row>
    <row r="14" spans="1:7" ht="16.5" x14ac:dyDescent="0.45">
      <c r="A14" s="109">
        <f t="shared" ref="A14:A30" si="0">+A13+1</f>
        <v>5</v>
      </c>
      <c r="B14" s="193" t="s">
        <v>212</v>
      </c>
      <c r="C14" s="117"/>
      <c r="D14" s="194"/>
      <c r="E14" s="191" t="s">
        <v>210</v>
      </c>
      <c r="F14" s="192">
        <v>185000</v>
      </c>
      <c r="G14" s="190"/>
    </row>
    <row r="15" spans="1:7" ht="16.5" x14ac:dyDescent="0.45">
      <c r="A15" s="109">
        <f t="shared" si="0"/>
        <v>6</v>
      </c>
      <c r="B15" s="193" t="s">
        <v>211</v>
      </c>
      <c r="C15" s="117"/>
      <c r="D15" s="194"/>
      <c r="E15" s="191" t="s">
        <v>210</v>
      </c>
      <c r="F15" s="192">
        <v>30000</v>
      </c>
      <c r="G15" s="190"/>
    </row>
    <row r="16" spans="1:7" ht="16.5" x14ac:dyDescent="0.45">
      <c r="A16" s="109">
        <f t="shared" si="0"/>
        <v>7</v>
      </c>
      <c r="B16" s="193" t="s">
        <v>220</v>
      </c>
      <c r="C16" s="117"/>
      <c r="D16" s="194"/>
      <c r="E16" s="191" t="s">
        <v>210</v>
      </c>
      <c r="F16" s="192">
        <v>100000</v>
      </c>
      <c r="G16" s="190"/>
    </row>
    <row r="17" spans="1:7" ht="16.5" x14ac:dyDescent="0.45">
      <c r="A17" s="109">
        <f t="shared" si="0"/>
        <v>8</v>
      </c>
      <c r="B17" s="193" t="s">
        <v>221</v>
      </c>
      <c r="C17" s="117"/>
      <c r="D17" s="194"/>
      <c r="E17" s="191" t="s">
        <v>210</v>
      </c>
      <c r="F17" s="192">
        <v>90000</v>
      </c>
      <c r="G17" s="190"/>
    </row>
    <row r="18" spans="1:7" ht="16.5" x14ac:dyDescent="0.45">
      <c r="A18" s="109">
        <f t="shared" si="0"/>
        <v>9</v>
      </c>
      <c r="B18" s="193" t="s">
        <v>436</v>
      </c>
      <c r="C18" s="117"/>
      <c r="D18" s="194"/>
      <c r="E18" s="191" t="s">
        <v>210</v>
      </c>
      <c r="F18" s="192">
        <v>250000</v>
      </c>
      <c r="G18" s="190"/>
    </row>
    <row r="19" spans="1:7" ht="16.5" x14ac:dyDescent="0.45">
      <c r="A19" s="109">
        <f t="shared" si="0"/>
        <v>10</v>
      </c>
      <c r="B19" s="193" t="s">
        <v>437</v>
      </c>
      <c r="C19" s="117"/>
      <c r="D19" s="194"/>
      <c r="E19" s="191" t="s">
        <v>210</v>
      </c>
      <c r="F19" s="192">
        <v>400000</v>
      </c>
      <c r="G19" s="190"/>
    </row>
    <row r="20" spans="1:7" ht="16.5" x14ac:dyDescent="0.45">
      <c r="A20" s="109">
        <f t="shared" si="0"/>
        <v>11</v>
      </c>
      <c r="B20" s="193" t="s">
        <v>222</v>
      </c>
      <c r="C20" s="117"/>
      <c r="D20" s="194"/>
      <c r="E20" s="191" t="s">
        <v>210</v>
      </c>
      <c r="F20" s="192">
        <v>200000</v>
      </c>
      <c r="G20" s="190"/>
    </row>
    <row r="21" spans="1:7" ht="16.5" x14ac:dyDescent="0.45">
      <c r="A21" s="109">
        <f t="shared" si="0"/>
        <v>12</v>
      </c>
      <c r="B21" s="193" t="s">
        <v>214</v>
      </c>
      <c r="C21" s="117"/>
      <c r="D21" s="194"/>
      <c r="E21" s="191" t="s">
        <v>210</v>
      </c>
      <c r="F21" s="192">
        <v>195000</v>
      </c>
      <c r="G21" s="190"/>
    </row>
    <row r="22" spans="1:7" ht="16.5" x14ac:dyDescent="0.45">
      <c r="A22" s="109">
        <f t="shared" si="0"/>
        <v>13</v>
      </c>
      <c r="B22" s="193" t="s">
        <v>213</v>
      </c>
      <c r="C22" s="117"/>
      <c r="D22" s="194"/>
      <c r="E22" s="191" t="s">
        <v>210</v>
      </c>
      <c r="F22" s="192">
        <v>300000</v>
      </c>
      <c r="G22" s="190"/>
    </row>
    <row r="23" spans="1:7" ht="16.5" x14ac:dyDescent="0.45">
      <c r="A23" s="109">
        <f t="shared" si="0"/>
        <v>14</v>
      </c>
      <c r="B23" s="193" t="s">
        <v>223</v>
      </c>
      <c r="C23" s="117"/>
      <c r="D23" s="194"/>
      <c r="E23" s="191" t="s">
        <v>210</v>
      </c>
      <c r="F23" s="192">
        <v>300000</v>
      </c>
      <c r="G23" s="190"/>
    </row>
    <row r="24" spans="1:7" ht="16.5" x14ac:dyDescent="0.45">
      <c r="A24" s="109">
        <f t="shared" si="0"/>
        <v>15</v>
      </c>
      <c r="B24" s="193" t="s">
        <v>224</v>
      </c>
      <c r="C24" s="117"/>
      <c r="D24" s="194"/>
      <c r="E24" s="191" t="s">
        <v>210</v>
      </c>
      <c r="F24" s="192">
        <v>40000</v>
      </c>
      <c r="G24" s="190"/>
    </row>
    <row r="25" spans="1:7" ht="16.5" x14ac:dyDescent="0.45">
      <c r="A25" s="109">
        <f t="shared" si="0"/>
        <v>16</v>
      </c>
      <c r="B25" s="193" t="s">
        <v>225</v>
      </c>
      <c r="C25" s="117"/>
      <c r="D25" s="194"/>
      <c r="E25" s="191" t="s">
        <v>210</v>
      </c>
      <c r="F25" s="192">
        <v>90000</v>
      </c>
      <c r="G25" s="190"/>
    </row>
    <row r="26" spans="1:7" ht="16.5" x14ac:dyDescent="0.45">
      <c r="A26" s="109">
        <f t="shared" si="0"/>
        <v>17</v>
      </c>
      <c r="B26" s="193" t="s">
        <v>226</v>
      </c>
      <c r="C26" s="117"/>
      <c r="D26" s="194"/>
      <c r="E26" s="191" t="s">
        <v>210</v>
      </c>
      <c r="F26" s="192">
        <v>2000000</v>
      </c>
      <c r="G26" s="190"/>
    </row>
    <row r="27" spans="1:7" ht="16.5" x14ac:dyDescent="0.45">
      <c r="A27" s="109">
        <f t="shared" si="0"/>
        <v>18</v>
      </c>
      <c r="B27" s="193" t="s">
        <v>227</v>
      </c>
      <c r="C27" s="117"/>
      <c r="D27" s="194"/>
      <c r="E27" s="191" t="s">
        <v>210</v>
      </c>
      <c r="F27" s="192">
        <v>100000</v>
      </c>
      <c r="G27" s="190"/>
    </row>
    <row r="28" spans="1:7" ht="16.5" x14ac:dyDescent="0.45">
      <c r="A28" s="109">
        <f t="shared" si="0"/>
        <v>19</v>
      </c>
      <c r="B28" s="193" t="s">
        <v>228</v>
      </c>
      <c r="C28" s="117"/>
      <c r="D28" s="194"/>
      <c r="E28" s="191" t="s">
        <v>210</v>
      </c>
      <c r="F28" s="192">
        <v>1500000</v>
      </c>
      <c r="G28" s="190"/>
    </row>
    <row r="29" spans="1:7" ht="16.5" x14ac:dyDescent="0.45">
      <c r="A29" s="109">
        <f t="shared" si="0"/>
        <v>20</v>
      </c>
      <c r="B29" s="193" t="s">
        <v>229</v>
      </c>
      <c r="C29" s="117"/>
      <c r="D29" s="194"/>
      <c r="E29" s="191" t="s">
        <v>210</v>
      </c>
      <c r="F29" s="192">
        <v>25000</v>
      </c>
      <c r="G29" s="190"/>
    </row>
    <row r="30" spans="1:7" ht="16.5" x14ac:dyDescent="0.45">
      <c r="A30" s="109">
        <f t="shared" si="0"/>
        <v>21</v>
      </c>
      <c r="B30" s="193" t="s">
        <v>230</v>
      </c>
      <c r="C30" s="117"/>
      <c r="D30" s="194"/>
      <c r="E30" s="191" t="s">
        <v>210</v>
      </c>
      <c r="F30" s="192">
        <v>300000</v>
      </c>
      <c r="G30" s="190"/>
    </row>
    <row r="31" spans="1:7" ht="16.5" x14ac:dyDescent="0.45">
      <c r="A31" s="109">
        <v>22</v>
      </c>
      <c r="B31" s="114" t="s">
        <v>231</v>
      </c>
      <c r="C31" s="117"/>
      <c r="D31" s="194"/>
      <c r="E31" s="109" t="s">
        <v>210</v>
      </c>
      <c r="F31" s="192">
        <v>550000</v>
      </c>
      <c r="G31" s="190"/>
    </row>
    <row r="32" spans="1:7" ht="16.5" x14ac:dyDescent="0.45">
      <c r="A32" s="10"/>
      <c r="B32" s="10"/>
      <c r="C32" s="39"/>
      <c r="D32" s="10"/>
      <c r="E32" s="39"/>
      <c r="F32" s="39"/>
      <c r="G32" s="40"/>
    </row>
    <row r="33" spans="1:7" ht="16.5" x14ac:dyDescent="0.45">
      <c r="A33" s="10"/>
      <c r="B33" s="10"/>
      <c r="C33" s="10"/>
      <c r="D33" s="10"/>
      <c r="E33" s="10"/>
      <c r="F33" s="10"/>
      <c r="G33" s="10"/>
    </row>
    <row r="34" spans="1:7" ht="16.5" x14ac:dyDescent="0.45">
      <c r="A34" s="10"/>
      <c r="B34" s="10"/>
      <c r="C34" s="10"/>
      <c r="D34" s="10"/>
      <c r="E34" s="10"/>
      <c r="F34" s="10"/>
      <c r="G34" s="10"/>
    </row>
    <row r="35" spans="1:7" ht="16.5" x14ac:dyDescent="0.45">
      <c r="A35" s="10"/>
      <c r="B35" s="10"/>
      <c r="C35" s="10"/>
      <c r="D35" s="10"/>
      <c r="E35" s="10"/>
      <c r="F35" s="10"/>
      <c r="G35" s="10"/>
    </row>
    <row r="36" spans="1:7" ht="16.5" x14ac:dyDescent="0.45">
      <c r="A36" s="10"/>
      <c r="B36" s="10"/>
      <c r="C36" s="10"/>
      <c r="D36" s="10"/>
      <c r="E36" s="10"/>
      <c r="F36" s="10"/>
      <c r="G36" s="10"/>
    </row>
    <row r="37" spans="1:7" ht="16.5" x14ac:dyDescent="0.45">
      <c r="A37" s="10"/>
      <c r="B37" s="10"/>
      <c r="C37" s="10"/>
      <c r="D37" s="10"/>
      <c r="E37" s="10"/>
      <c r="F37" s="10"/>
      <c r="G37" s="10"/>
    </row>
    <row r="38" spans="1:7" ht="16.5" x14ac:dyDescent="0.45">
      <c r="A38" s="10"/>
      <c r="B38" s="10"/>
      <c r="C38" s="10"/>
      <c r="D38" s="10"/>
      <c r="E38" s="10"/>
      <c r="F38" s="10"/>
      <c r="G38" s="10"/>
    </row>
    <row r="39" spans="1:7" ht="16.5" x14ac:dyDescent="0.45">
      <c r="A39" s="10"/>
      <c r="B39" s="10"/>
      <c r="C39" s="10"/>
      <c r="D39" s="10"/>
      <c r="E39" s="10"/>
      <c r="F39" s="10"/>
      <c r="G39" s="10"/>
    </row>
  </sheetData>
  <mergeCells count="5">
    <mergeCell ref="A1:G1"/>
    <mergeCell ref="A8:A9"/>
    <mergeCell ref="B8:D9"/>
    <mergeCell ref="E8:E9"/>
    <mergeCell ref="G8:G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92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504"/>
  <sheetViews>
    <sheetView view="pageBreakPreview" zoomScaleNormal="100" zoomScaleSheetLayoutView="100" workbookViewId="0">
      <selection activeCell="E505" sqref="E505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5.81640625" style="38" customWidth="1"/>
    <col min="4" max="4" width="7.1796875" style="38" customWidth="1"/>
    <col min="5" max="5" width="11.1796875" style="38" customWidth="1"/>
    <col min="6" max="7" width="8.81640625" style="38"/>
    <col min="8" max="8" width="12.1796875" style="38" customWidth="1"/>
    <col min="9" max="9" width="21.7265625" style="38" customWidth="1"/>
    <col min="10" max="10" width="20.26953125" style="38" customWidth="1"/>
    <col min="11" max="11" width="23" style="38" customWidth="1"/>
    <col min="12" max="12" width="2.1796875" customWidth="1"/>
  </cols>
  <sheetData>
    <row r="1" spans="2:11" x14ac:dyDescent="0.45">
      <c r="B1" s="1087" t="s">
        <v>118</v>
      </c>
      <c r="C1" s="1087"/>
      <c r="D1" s="1087"/>
      <c r="E1" s="1087"/>
      <c r="F1" s="1087"/>
      <c r="G1" s="1087"/>
      <c r="H1" s="1087"/>
      <c r="I1" s="1087"/>
      <c r="J1" s="1087"/>
      <c r="K1" s="1087"/>
    </row>
    <row r="2" spans="2:11" ht="9.75" customHeight="1" x14ac:dyDescent="0.45"/>
    <row r="3" spans="2:11" x14ac:dyDescent="0.45">
      <c r="B3" s="38" t="str">
        <f>+Rekapitulasi!A4</f>
        <v>PEKERJAAN</v>
      </c>
      <c r="D3" s="112" t="s">
        <v>1</v>
      </c>
      <c r="E3" s="195" t="str">
        <f>+Rekapitulasi!D4</f>
        <v>PEMBANGUNAN GEDUNG A (STRUKTUR DAN ARSITEKTUR)</v>
      </c>
      <c r="G3" s="111"/>
      <c r="H3" s="111"/>
      <c r="I3" s="111"/>
      <c r="J3" s="111"/>
      <c r="K3" s="111"/>
    </row>
    <row r="4" spans="2:11" x14ac:dyDescent="0.45">
      <c r="B4" s="38" t="str">
        <f>+Rekapitulasi!A5</f>
        <v>LOKASI</v>
      </c>
      <c r="D4" s="112" t="s">
        <v>1</v>
      </c>
      <c r="E4" s="195" t="str">
        <f>+Rekapitulasi!D5</f>
        <v>DINAS ABC</v>
      </c>
      <c r="G4" s="111"/>
      <c r="H4" s="111"/>
      <c r="I4" s="111"/>
      <c r="J4" s="111"/>
      <c r="K4" s="111"/>
    </row>
    <row r="5" spans="2:11" x14ac:dyDescent="0.45">
      <c r="B5" s="38" t="str">
        <f>+Rekapitulasi!A6</f>
        <v>KABUPATEN</v>
      </c>
      <c r="D5" s="112" t="s">
        <v>1</v>
      </c>
      <c r="E5" s="195" t="str">
        <f>+Rekapitulasi!D6</f>
        <v>MAJALENGKA</v>
      </c>
      <c r="G5" s="111"/>
      <c r="H5" s="111"/>
      <c r="I5" s="111"/>
      <c r="J5" s="111"/>
      <c r="K5" s="111"/>
    </row>
    <row r="6" spans="2:11" x14ac:dyDescent="0.45">
      <c r="B6" s="38" t="str">
        <f>+Rekapitulasi!A7</f>
        <v>TAHUN ANGGARAN</v>
      </c>
      <c r="D6" s="112" t="s">
        <v>1</v>
      </c>
      <c r="E6" s="195">
        <f>+Rekapitulasi!D7</f>
        <v>2019</v>
      </c>
      <c r="G6" s="111"/>
      <c r="H6" s="111"/>
      <c r="I6" s="111"/>
      <c r="J6" s="111"/>
      <c r="K6" s="111"/>
    </row>
    <row r="7" spans="2:11" ht="8.25" customHeight="1" x14ac:dyDescent="0.45">
      <c r="B7" s="111"/>
      <c r="C7" s="111"/>
      <c r="D7" s="111"/>
      <c r="E7" s="111"/>
      <c r="F7" s="111"/>
      <c r="G7" s="111"/>
      <c r="H7" s="111"/>
      <c r="I7" s="111"/>
      <c r="J7" s="111"/>
      <c r="K7" s="111"/>
    </row>
    <row r="8" spans="2:11" ht="15.5" x14ac:dyDescent="0.45">
      <c r="B8" s="1088" t="s">
        <v>99</v>
      </c>
      <c r="C8" s="1088" t="s">
        <v>100</v>
      </c>
      <c r="D8" s="1088" t="s">
        <v>89</v>
      </c>
      <c r="E8" s="1088" t="s">
        <v>101</v>
      </c>
      <c r="F8" s="1088" t="s">
        <v>102</v>
      </c>
      <c r="G8" s="1023" t="s">
        <v>103</v>
      </c>
      <c r="H8" s="1024"/>
      <c r="I8" s="1024"/>
      <c r="J8" s="196" t="s">
        <v>63</v>
      </c>
      <c r="K8" s="197" t="s">
        <v>10</v>
      </c>
    </row>
    <row r="9" spans="2:11" ht="15.5" x14ac:dyDescent="0.45">
      <c r="B9" s="1089"/>
      <c r="C9" s="1089"/>
      <c r="D9" s="1089"/>
      <c r="E9" s="1089"/>
      <c r="F9" s="1089"/>
      <c r="G9" s="1026"/>
      <c r="H9" s="1027"/>
      <c r="I9" s="1027"/>
      <c r="J9" s="198" t="s">
        <v>104</v>
      </c>
      <c r="K9" s="199" t="s">
        <v>63</v>
      </c>
    </row>
    <row r="10" spans="2:11" ht="15.5" x14ac:dyDescent="0.45">
      <c r="B10" s="1090"/>
      <c r="C10" s="1090"/>
      <c r="D10" s="1090"/>
      <c r="E10" s="1090"/>
      <c r="F10" s="1090"/>
      <c r="G10" s="1085"/>
      <c r="H10" s="1086"/>
      <c r="I10" s="1086"/>
      <c r="J10" s="200" t="s">
        <v>105</v>
      </c>
      <c r="K10" s="201" t="s">
        <v>105</v>
      </c>
    </row>
    <row r="11" spans="2:11" ht="15.5" x14ac:dyDescent="0.45">
      <c r="B11" s="439">
        <v>1</v>
      </c>
      <c r="C11" s="440" t="s">
        <v>179</v>
      </c>
      <c r="D11" s="439"/>
      <c r="E11" s="441">
        <v>1</v>
      </c>
      <c r="F11" s="439" t="s">
        <v>31</v>
      </c>
      <c r="G11" s="442" t="s">
        <v>237</v>
      </c>
      <c r="H11" s="443"/>
      <c r="I11" s="443"/>
      <c r="J11" s="444"/>
      <c r="K11" s="445">
        <f>+K24</f>
        <v>101200</v>
      </c>
    </row>
    <row r="12" spans="2:11" x14ac:dyDescent="0.45">
      <c r="B12" s="430"/>
      <c r="C12" s="210"/>
      <c r="D12" s="211"/>
      <c r="E12" s="212"/>
      <c r="F12" s="207" t="s">
        <v>4</v>
      </c>
      <c r="G12" s="213" t="s">
        <v>106</v>
      </c>
      <c r="H12" s="209"/>
      <c r="I12" s="209"/>
      <c r="J12" s="214"/>
      <c r="K12" s="429">
        <f>SUM(K13:K16)</f>
        <v>18000</v>
      </c>
    </row>
    <row r="13" spans="2:11" x14ac:dyDescent="0.45">
      <c r="B13" s="431"/>
      <c r="C13" s="215"/>
      <c r="D13" s="211" t="s">
        <v>107</v>
      </c>
      <c r="E13" s="216">
        <v>0.1</v>
      </c>
      <c r="F13" s="217" t="s">
        <v>108</v>
      </c>
      <c r="G13" s="218" t="s">
        <v>51</v>
      </c>
      <c r="H13" s="219"/>
      <c r="I13" s="219"/>
      <c r="J13" s="220">
        <f>'Analisa Upah'!F5</f>
        <v>75000</v>
      </c>
      <c r="K13" s="432">
        <f>+E13*J13</f>
        <v>7500</v>
      </c>
    </row>
    <row r="14" spans="2:11" x14ac:dyDescent="0.45">
      <c r="B14" s="431"/>
      <c r="C14" s="215"/>
      <c r="D14" s="211" t="s">
        <v>121</v>
      </c>
      <c r="E14" s="212">
        <v>0.1</v>
      </c>
      <c r="F14" s="211" t="s">
        <v>108</v>
      </c>
      <c r="G14" s="221" t="s">
        <v>56</v>
      </c>
      <c r="H14" s="209"/>
      <c r="I14" s="209"/>
      <c r="J14" s="222">
        <f>'Analisa Upah'!F6</f>
        <v>90000</v>
      </c>
      <c r="K14" s="432">
        <f>+E14*J14</f>
        <v>9000</v>
      </c>
    </row>
    <row r="15" spans="2:11" x14ac:dyDescent="0.45">
      <c r="B15" s="431"/>
      <c r="C15" s="215"/>
      <c r="D15" s="211" t="s">
        <v>122</v>
      </c>
      <c r="E15" s="223">
        <v>0.01</v>
      </c>
      <c r="F15" s="224" t="s">
        <v>108</v>
      </c>
      <c r="G15" s="225" t="s">
        <v>123</v>
      </c>
      <c r="H15" s="226"/>
      <c r="I15" s="226"/>
      <c r="J15" s="227">
        <f>'Analisa Upah'!F11</f>
        <v>95000</v>
      </c>
      <c r="K15" s="337">
        <f>+E15*J15</f>
        <v>950</v>
      </c>
    </row>
    <row r="16" spans="2:11" x14ac:dyDescent="0.45">
      <c r="B16" s="431"/>
      <c r="C16" s="215"/>
      <c r="D16" s="211" t="s">
        <v>109</v>
      </c>
      <c r="E16" s="216">
        <v>5.0000000000000001E-3</v>
      </c>
      <c r="F16" s="217" t="s">
        <v>108</v>
      </c>
      <c r="G16" s="228" t="s">
        <v>52</v>
      </c>
      <c r="H16" s="229"/>
      <c r="I16" s="229"/>
      <c r="J16" s="227">
        <f>'Analisa Upah'!F12</f>
        <v>110000</v>
      </c>
      <c r="K16" s="433">
        <f>+E16*J16</f>
        <v>550</v>
      </c>
    </row>
    <row r="17" spans="2:11" x14ac:dyDescent="0.45">
      <c r="B17" s="434"/>
      <c r="C17" s="215"/>
      <c r="D17" s="230"/>
      <c r="E17" s="230"/>
      <c r="F17" s="207" t="s">
        <v>5</v>
      </c>
      <c r="G17" s="213" t="s">
        <v>110</v>
      </c>
      <c r="H17" s="231"/>
      <c r="I17" s="232"/>
      <c r="J17" s="233"/>
      <c r="K17" s="429">
        <f>SUM(K18:K20)</f>
        <v>70000</v>
      </c>
    </row>
    <row r="18" spans="2:11" x14ac:dyDescent="0.45">
      <c r="B18" s="434"/>
      <c r="C18" s="215"/>
      <c r="D18" s="230"/>
      <c r="E18" s="234">
        <v>1.2E-2</v>
      </c>
      <c r="F18" s="211" t="s">
        <v>12</v>
      </c>
      <c r="G18" s="235" t="s">
        <v>426</v>
      </c>
      <c r="H18" s="231"/>
      <c r="I18" s="232"/>
      <c r="J18" s="236">
        <f>'Harga Bahan'!D28</f>
        <v>3000000</v>
      </c>
      <c r="K18" s="432">
        <f t="shared" ref="K18:K20" si="0">+E18*J18</f>
        <v>36000</v>
      </c>
    </row>
    <row r="19" spans="2:11" x14ac:dyDescent="0.45">
      <c r="B19" s="434"/>
      <c r="C19" s="215"/>
      <c r="D19" s="230"/>
      <c r="E19" s="234">
        <v>0.02</v>
      </c>
      <c r="F19" s="211" t="s">
        <v>39</v>
      </c>
      <c r="G19" s="235" t="s">
        <v>427</v>
      </c>
      <c r="H19" s="231"/>
      <c r="I19" s="232"/>
      <c r="J19" s="236">
        <f>'Harga Bahan'!D117</f>
        <v>20000</v>
      </c>
      <c r="K19" s="432">
        <f t="shared" si="0"/>
        <v>400</v>
      </c>
    </row>
    <row r="20" spans="2:11" x14ac:dyDescent="0.45">
      <c r="B20" s="434"/>
      <c r="C20" s="215"/>
      <c r="D20" s="230"/>
      <c r="E20" s="234">
        <v>7.0000000000000001E-3</v>
      </c>
      <c r="F20" s="211" t="s">
        <v>12</v>
      </c>
      <c r="G20" s="235" t="s">
        <v>235</v>
      </c>
      <c r="H20" s="231"/>
      <c r="I20" s="232"/>
      <c r="J20" s="237">
        <f>'Harga Bahan'!D27</f>
        <v>4800000</v>
      </c>
      <c r="K20" s="337">
        <f t="shared" si="0"/>
        <v>33600</v>
      </c>
    </row>
    <row r="21" spans="2:11" x14ac:dyDescent="0.45">
      <c r="B21" s="434"/>
      <c r="C21" s="215"/>
      <c r="D21" s="238"/>
      <c r="E21" s="238"/>
      <c r="F21" s="239" t="s">
        <v>6</v>
      </c>
      <c r="G21" s="240" t="s">
        <v>111</v>
      </c>
      <c r="H21" s="241"/>
      <c r="I21" s="242"/>
      <c r="J21" s="243"/>
      <c r="K21" s="429">
        <v>0</v>
      </c>
    </row>
    <row r="22" spans="2:11" x14ac:dyDescent="0.45">
      <c r="B22" s="434"/>
      <c r="C22" s="215"/>
      <c r="D22" s="230"/>
      <c r="E22" s="230"/>
      <c r="F22" s="207" t="s">
        <v>112</v>
      </c>
      <c r="G22" s="213" t="s">
        <v>113</v>
      </c>
      <c r="H22" s="244"/>
      <c r="I22" s="245"/>
      <c r="J22" s="246"/>
      <c r="K22" s="429">
        <f>+K12+K17+K21</f>
        <v>88000</v>
      </c>
    </row>
    <row r="23" spans="2:11" x14ac:dyDescent="0.45">
      <c r="B23" s="434"/>
      <c r="C23" s="215"/>
      <c r="D23" s="230"/>
      <c r="E23" s="230"/>
      <c r="F23" s="207" t="s">
        <v>114</v>
      </c>
      <c r="G23" s="213" t="s">
        <v>248</v>
      </c>
      <c r="H23" s="244"/>
      <c r="I23" s="247">
        <v>0.15</v>
      </c>
      <c r="J23" s="246"/>
      <c r="K23" s="429">
        <f>+I23*K22</f>
        <v>13200</v>
      </c>
    </row>
    <row r="24" spans="2:11" x14ac:dyDescent="0.45">
      <c r="B24" s="389"/>
      <c r="C24" s="435"/>
      <c r="D24" s="356"/>
      <c r="E24" s="356"/>
      <c r="F24" s="202" t="s">
        <v>115</v>
      </c>
      <c r="G24" s="436" t="s">
        <v>116</v>
      </c>
      <c r="H24" s="205"/>
      <c r="I24" s="242"/>
      <c r="J24" s="437"/>
      <c r="K24" s="438">
        <f>+K22+K23</f>
        <v>101200</v>
      </c>
    </row>
    <row r="25" spans="2:11" ht="15.5" x14ac:dyDescent="0.45">
      <c r="B25" s="439">
        <v>2</v>
      </c>
      <c r="C25" s="448" t="s">
        <v>236</v>
      </c>
      <c r="D25" s="439"/>
      <c r="E25" s="441">
        <v>1</v>
      </c>
      <c r="F25" s="439" t="s">
        <v>30</v>
      </c>
      <c r="G25" s="442" t="s">
        <v>238</v>
      </c>
      <c r="H25" s="443"/>
      <c r="I25" s="443"/>
      <c r="J25" s="444"/>
      <c r="K25" s="445">
        <f>+K33</f>
        <v>14950</v>
      </c>
    </row>
    <row r="26" spans="2:11" x14ac:dyDescent="0.45">
      <c r="B26" s="430"/>
      <c r="C26" s="210"/>
      <c r="D26" s="211"/>
      <c r="E26" s="212"/>
      <c r="F26" s="207" t="s">
        <v>4</v>
      </c>
      <c r="G26" s="213" t="s">
        <v>106</v>
      </c>
      <c r="H26" s="209"/>
      <c r="I26" s="209"/>
      <c r="J26" s="214"/>
      <c r="K26" s="429">
        <f>SUM(K27:K28)</f>
        <v>13000</v>
      </c>
    </row>
    <row r="27" spans="2:11" x14ac:dyDescent="0.45">
      <c r="B27" s="431"/>
      <c r="C27" s="215"/>
      <c r="D27" s="211" t="s">
        <v>107</v>
      </c>
      <c r="E27" s="216">
        <v>0.1</v>
      </c>
      <c r="F27" s="217" t="s">
        <v>108</v>
      </c>
      <c r="G27" s="235" t="s">
        <v>51</v>
      </c>
      <c r="H27" s="209"/>
      <c r="I27" s="209"/>
      <c r="J27" s="248">
        <f>'Analisa Upah'!F5</f>
        <v>75000</v>
      </c>
      <c r="K27" s="337">
        <f>+E27*J27</f>
        <v>7500</v>
      </c>
    </row>
    <row r="28" spans="2:11" x14ac:dyDescent="0.45">
      <c r="B28" s="431"/>
      <c r="C28" s="215"/>
      <c r="D28" s="211" t="s">
        <v>109</v>
      </c>
      <c r="E28" s="216">
        <v>0.05</v>
      </c>
      <c r="F28" s="217" t="s">
        <v>108</v>
      </c>
      <c r="G28" s="228" t="s">
        <v>52</v>
      </c>
      <c r="H28" s="229"/>
      <c r="I28" s="229"/>
      <c r="J28" s="227">
        <f>'Analisa Upah'!F12</f>
        <v>110000</v>
      </c>
      <c r="K28" s="433">
        <f>+E28*J28</f>
        <v>5500</v>
      </c>
    </row>
    <row r="29" spans="2:11" x14ac:dyDescent="0.45">
      <c r="B29" s="434"/>
      <c r="C29" s="215"/>
      <c r="D29" s="230"/>
      <c r="E29" s="230"/>
      <c r="F29" s="207" t="s">
        <v>5</v>
      </c>
      <c r="G29" s="213" t="s">
        <v>110</v>
      </c>
      <c r="H29" s="231"/>
      <c r="I29" s="232"/>
      <c r="J29" s="233"/>
      <c r="K29" s="429">
        <v>0</v>
      </c>
    </row>
    <row r="30" spans="2:11" x14ac:dyDescent="0.45">
      <c r="B30" s="434"/>
      <c r="C30" s="215"/>
      <c r="D30" s="238"/>
      <c r="E30" s="238"/>
      <c r="F30" s="239" t="s">
        <v>6</v>
      </c>
      <c r="G30" s="240" t="s">
        <v>111</v>
      </c>
      <c r="H30" s="241"/>
      <c r="I30" s="242"/>
      <c r="J30" s="243"/>
      <c r="K30" s="429">
        <v>0</v>
      </c>
    </row>
    <row r="31" spans="2:11" x14ac:dyDescent="0.45">
      <c r="B31" s="434"/>
      <c r="C31" s="215"/>
      <c r="D31" s="230"/>
      <c r="E31" s="230"/>
      <c r="F31" s="207" t="s">
        <v>112</v>
      </c>
      <c r="G31" s="213" t="s">
        <v>113</v>
      </c>
      <c r="H31" s="244"/>
      <c r="I31" s="245"/>
      <c r="J31" s="246"/>
      <c r="K31" s="429">
        <f>+K26+K29+K30</f>
        <v>13000</v>
      </c>
    </row>
    <row r="32" spans="2:11" x14ac:dyDescent="0.45">
      <c r="B32" s="434"/>
      <c r="C32" s="215"/>
      <c r="D32" s="230"/>
      <c r="E32" s="230"/>
      <c r="F32" s="207" t="s">
        <v>114</v>
      </c>
      <c r="G32" s="213" t="s">
        <v>248</v>
      </c>
      <c r="H32" s="244"/>
      <c r="I32" s="247">
        <v>0.15</v>
      </c>
      <c r="J32" s="246"/>
      <c r="K32" s="429">
        <f>+I32*K31</f>
        <v>1950</v>
      </c>
    </row>
    <row r="33" spans="2:11" x14ac:dyDescent="0.45">
      <c r="B33" s="389"/>
      <c r="C33" s="435"/>
      <c r="D33" s="356"/>
      <c r="E33" s="356"/>
      <c r="F33" s="202" t="s">
        <v>115</v>
      </c>
      <c r="G33" s="436" t="s">
        <v>116</v>
      </c>
      <c r="H33" s="205"/>
      <c r="I33" s="242"/>
      <c r="J33" s="437"/>
      <c r="K33" s="438">
        <f>+K31+K32</f>
        <v>14950</v>
      </c>
    </row>
    <row r="34" spans="2:11" ht="15.5" x14ac:dyDescent="0.45">
      <c r="B34" s="439">
        <v>3</v>
      </c>
      <c r="C34" s="448" t="s">
        <v>184</v>
      </c>
      <c r="D34" s="439"/>
      <c r="E34" s="452">
        <v>1</v>
      </c>
      <c r="F34" s="439" t="s">
        <v>12</v>
      </c>
      <c r="G34" s="442" t="s">
        <v>280</v>
      </c>
      <c r="H34" s="443"/>
      <c r="I34" s="443"/>
      <c r="J34" s="444"/>
      <c r="K34" s="445">
        <f>+K42</f>
        <v>67850</v>
      </c>
    </row>
    <row r="35" spans="2:11" x14ac:dyDescent="0.45">
      <c r="B35" s="210"/>
      <c r="C35" s="249"/>
      <c r="D35" s="211"/>
      <c r="E35" s="212"/>
      <c r="F35" s="207" t="s">
        <v>4</v>
      </c>
      <c r="G35" s="213" t="s">
        <v>106</v>
      </c>
      <c r="H35" s="209"/>
      <c r="I35" s="209"/>
      <c r="J35" s="214"/>
      <c r="K35" s="429">
        <f>SUM(K36:K37)</f>
        <v>59000</v>
      </c>
    </row>
    <row r="36" spans="2:11" x14ac:dyDescent="0.45">
      <c r="B36" s="215"/>
      <c r="C36" s="250"/>
      <c r="D36" s="211" t="s">
        <v>107</v>
      </c>
      <c r="E36" s="251">
        <v>0.75</v>
      </c>
      <c r="F36" s="211" t="s">
        <v>108</v>
      </c>
      <c r="G36" s="221" t="s">
        <v>51</v>
      </c>
      <c r="H36" s="209"/>
      <c r="I36" s="209"/>
      <c r="J36" s="252">
        <f>'Analisa Upah'!F5</f>
        <v>75000</v>
      </c>
      <c r="K36" s="337">
        <f>+E36*J36</f>
        <v>56250</v>
      </c>
    </row>
    <row r="37" spans="2:11" x14ac:dyDescent="0.45">
      <c r="B37" s="215"/>
      <c r="C37" s="250"/>
      <c r="D37" s="253" t="s">
        <v>109</v>
      </c>
      <c r="E37" s="223">
        <v>2.5000000000000001E-2</v>
      </c>
      <c r="F37" s="253" t="s">
        <v>108</v>
      </c>
      <c r="G37" s="228" t="s">
        <v>52</v>
      </c>
      <c r="H37" s="229"/>
      <c r="I37" s="229"/>
      <c r="J37" s="254">
        <f>'Analisa Upah'!F12</f>
        <v>110000</v>
      </c>
      <c r="K37" s="433">
        <f>+E37*J37</f>
        <v>2750</v>
      </c>
    </row>
    <row r="38" spans="2:11" x14ac:dyDescent="0.45">
      <c r="B38" s="449"/>
      <c r="C38" s="250"/>
      <c r="D38" s="230"/>
      <c r="E38" s="230"/>
      <c r="F38" s="207" t="s">
        <v>5</v>
      </c>
      <c r="G38" s="213" t="s">
        <v>110</v>
      </c>
      <c r="H38" s="231"/>
      <c r="I38" s="231"/>
      <c r="J38" s="255"/>
      <c r="K38" s="429">
        <v>0</v>
      </c>
    </row>
    <row r="39" spans="2:11" x14ac:dyDescent="0.45">
      <c r="B39" s="449"/>
      <c r="C39" s="250"/>
      <c r="D39" s="238"/>
      <c r="E39" s="238"/>
      <c r="F39" s="239" t="s">
        <v>6</v>
      </c>
      <c r="G39" s="240" t="s">
        <v>111</v>
      </c>
      <c r="H39" s="241"/>
      <c r="I39" s="256"/>
      <c r="J39" s="243"/>
      <c r="K39" s="429">
        <v>0</v>
      </c>
    </row>
    <row r="40" spans="2:11" x14ac:dyDescent="0.45">
      <c r="B40" s="449"/>
      <c r="C40" s="250"/>
      <c r="D40" s="230"/>
      <c r="E40" s="230"/>
      <c r="F40" s="207" t="s">
        <v>112</v>
      </c>
      <c r="G40" s="213" t="s">
        <v>113</v>
      </c>
      <c r="H40" s="244"/>
      <c r="I40" s="245"/>
      <c r="J40" s="246"/>
      <c r="K40" s="429">
        <f>+K35+K38+K39</f>
        <v>59000</v>
      </c>
    </row>
    <row r="41" spans="2:11" x14ac:dyDescent="0.45">
      <c r="B41" s="449"/>
      <c r="C41" s="250"/>
      <c r="D41" s="230"/>
      <c r="E41" s="230"/>
      <c r="F41" s="207" t="s">
        <v>114</v>
      </c>
      <c r="G41" s="213" t="s">
        <v>130</v>
      </c>
      <c r="H41" s="244"/>
      <c r="I41" s="247">
        <v>0.15</v>
      </c>
      <c r="J41" s="246"/>
      <c r="K41" s="429">
        <f>+I41*K40</f>
        <v>8850</v>
      </c>
    </row>
    <row r="42" spans="2:11" x14ac:dyDescent="0.45">
      <c r="B42" s="450"/>
      <c r="C42" s="451"/>
      <c r="D42" s="356"/>
      <c r="E42" s="356"/>
      <c r="F42" s="202" t="s">
        <v>115</v>
      </c>
      <c r="G42" s="436" t="s">
        <v>116</v>
      </c>
      <c r="H42" s="205"/>
      <c r="I42" s="242"/>
      <c r="J42" s="437"/>
      <c r="K42" s="438">
        <f>+K40+K41</f>
        <v>67850</v>
      </c>
    </row>
    <row r="43" spans="2:11" ht="15.5" x14ac:dyDescent="0.45">
      <c r="B43" s="439">
        <v>4</v>
      </c>
      <c r="C43" s="448" t="s">
        <v>185</v>
      </c>
      <c r="D43" s="439"/>
      <c r="E43" s="452">
        <v>1</v>
      </c>
      <c r="F43" s="439" t="s">
        <v>12</v>
      </c>
      <c r="G43" s="442" t="s">
        <v>281</v>
      </c>
      <c r="H43" s="443"/>
      <c r="I43" s="443"/>
      <c r="J43" s="444"/>
      <c r="K43" s="445">
        <f>+K51</f>
        <v>83317.5</v>
      </c>
    </row>
    <row r="44" spans="2:11" x14ac:dyDescent="0.45">
      <c r="B44" s="210"/>
      <c r="C44" s="249"/>
      <c r="D44" s="211"/>
      <c r="E44" s="212"/>
      <c r="F44" s="207" t="s">
        <v>4</v>
      </c>
      <c r="G44" s="213" t="s">
        <v>106</v>
      </c>
      <c r="H44" s="209"/>
      <c r="I44" s="209"/>
      <c r="J44" s="214"/>
      <c r="K44" s="429">
        <f>SUM(K45:K46)</f>
        <v>72450</v>
      </c>
    </row>
    <row r="45" spans="2:11" x14ac:dyDescent="0.45">
      <c r="B45" s="215"/>
      <c r="C45" s="250"/>
      <c r="D45" s="211" t="s">
        <v>107</v>
      </c>
      <c r="E45" s="251">
        <v>0.9</v>
      </c>
      <c r="F45" s="211" t="s">
        <v>108</v>
      </c>
      <c r="G45" s="221" t="s">
        <v>51</v>
      </c>
      <c r="H45" s="209"/>
      <c r="I45" s="209"/>
      <c r="J45" s="252">
        <f>'Analisa Upah'!F5</f>
        <v>75000</v>
      </c>
      <c r="K45" s="337">
        <f>+E45*J45</f>
        <v>67500</v>
      </c>
    </row>
    <row r="46" spans="2:11" x14ac:dyDescent="0.45">
      <c r="B46" s="215"/>
      <c r="C46" s="250"/>
      <c r="D46" s="253" t="s">
        <v>109</v>
      </c>
      <c r="E46" s="223">
        <v>4.4999999999999998E-2</v>
      </c>
      <c r="F46" s="253" t="s">
        <v>108</v>
      </c>
      <c r="G46" s="228" t="s">
        <v>52</v>
      </c>
      <c r="H46" s="229"/>
      <c r="I46" s="229"/>
      <c r="J46" s="254">
        <f>'Analisa Upah'!F12</f>
        <v>110000</v>
      </c>
      <c r="K46" s="433">
        <f>+E46*J46</f>
        <v>4950</v>
      </c>
    </row>
    <row r="47" spans="2:11" x14ac:dyDescent="0.45">
      <c r="B47" s="449"/>
      <c r="C47" s="250"/>
      <c r="D47" s="230"/>
      <c r="E47" s="230"/>
      <c r="F47" s="207" t="s">
        <v>5</v>
      </c>
      <c r="G47" s="213" t="s">
        <v>110</v>
      </c>
      <c r="H47" s="231"/>
      <c r="I47" s="231"/>
      <c r="J47" s="255"/>
      <c r="K47" s="429">
        <v>0</v>
      </c>
    </row>
    <row r="48" spans="2:11" x14ac:dyDescent="0.45">
      <c r="B48" s="449"/>
      <c r="C48" s="250"/>
      <c r="D48" s="238"/>
      <c r="E48" s="238"/>
      <c r="F48" s="239" t="s">
        <v>6</v>
      </c>
      <c r="G48" s="240" t="s">
        <v>111</v>
      </c>
      <c r="H48" s="241"/>
      <c r="I48" s="256"/>
      <c r="J48" s="243"/>
      <c r="K48" s="429">
        <v>0</v>
      </c>
    </row>
    <row r="49" spans="2:11" x14ac:dyDescent="0.45">
      <c r="B49" s="449"/>
      <c r="C49" s="250"/>
      <c r="D49" s="230"/>
      <c r="E49" s="230"/>
      <c r="F49" s="207" t="s">
        <v>112</v>
      </c>
      <c r="G49" s="213" t="s">
        <v>113</v>
      </c>
      <c r="H49" s="244"/>
      <c r="I49" s="245"/>
      <c r="J49" s="246"/>
      <c r="K49" s="429">
        <f>+K44+K47+K48</f>
        <v>72450</v>
      </c>
    </row>
    <row r="50" spans="2:11" x14ac:dyDescent="0.45">
      <c r="B50" s="449"/>
      <c r="C50" s="250"/>
      <c r="D50" s="230"/>
      <c r="E50" s="230"/>
      <c r="F50" s="207" t="s">
        <v>114</v>
      </c>
      <c r="G50" s="213" t="s">
        <v>130</v>
      </c>
      <c r="H50" s="244"/>
      <c r="I50" s="247">
        <v>0.15</v>
      </c>
      <c r="J50" s="246"/>
      <c r="K50" s="429">
        <f>+I50*K49</f>
        <v>10867.5</v>
      </c>
    </row>
    <row r="51" spans="2:11" x14ac:dyDescent="0.45">
      <c r="B51" s="450"/>
      <c r="C51" s="451"/>
      <c r="D51" s="356"/>
      <c r="E51" s="356"/>
      <c r="F51" s="202" t="s">
        <v>115</v>
      </c>
      <c r="G51" s="436" t="s">
        <v>116</v>
      </c>
      <c r="H51" s="205"/>
      <c r="I51" s="242"/>
      <c r="J51" s="437"/>
      <c r="K51" s="438">
        <f>+K49+K50</f>
        <v>83317.5</v>
      </c>
    </row>
    <row r="52" spans="2:11" ht="15.5" x14ac:dyDescent="0.45">
      <c r="B52" s="1069">
        <v>5</v>
      </c>
      <c r="C52" s="1069" t="s">
        <v>20</v>
      </c>
      <c r="D52" s="1069"/>
      <c r="E52" s="1073">
        <v>1</v>
      </c>
      <c r="F52" s="1069" t="s">
        <v>12</v>
      </c>
      <c r="G52" s="457" t="s">
        <v>90</v>
      </c>
      <c r="H52" s="458"/>
      <c r="I52" s="458"/>
      <c r="J52" s="459"/>
      <c r="K52" s="463">
        <f>+K61/3</f>
        <v>16483.333333333332</v>
      </c>
    </row>
    <row r="53" spans="2:11" x14ac:dyDescent="0.45">
      <c r="B53" s="1070"/>
      <c r="C53" s="1070"/>
      <c r="D53" s="1070"/>
      <c r="E53" s="1074"/>
      <c r="F53" s="1070"/>
      <c r="G53" s="460" t="s">
        <v>249</v>
      </c>
      <c r="H53" s="461"/>
      <c r="I53" s="461"/>
      <c r="J53" s="462"/>
      <c r="K53" s="464"/>
    </row>
    <row r="54" spans="2:11" x14ac:dyDescent="0.45">
      <c r="B54" s="454"/>
      <c r="C54" s="260"/>
      <c r="D54" s="211"/>
      <c r="E54" s="261"/>
      <c r="F54" s="206" t="s">
        <v>4</v>
      </c>
      <c r="G54" s="262" t="s">
        <v>106</v>
      </c>
      <c r="H54" s="226"/>
      <c r="I54" s="263"/>
      <c r="J54" s="264"/>
      <c r="K54" s="465">
        <f>SUM(K55:K56)</f>
        <v>43000</v>
      </c>
    </row>
    <row r="55" spans="2:11" x14ac:dyDescent="0.45">
      <c r="B55" s="449"/>
      <c r="C55" s="265"/>
      <c r="D55" s="211" t="s">
        <v>107</v>
      </c>
      <c r="E55" s="266">
        <v>0.5</v>
      </c>
      <c r="F55" s="267" t="s">
        <v>108</v>
      </c>
      <c r="G55" s="235" t="s">
        <v>51</v>
      </c>
      <c r="H55" s="209"/>
      <c r="I55" s="268"/>
      <c r="J55" s="252">
        <f>'Analisa Upah'!F5</f>
        <v>75000</v>
      </c>
      <c r="K55" s="466">
        <f>+E55*J55</f>
        <v>37500</v>
      </c>
    </row>
    <row r="56" spans="2:11" x14ac:dyDescent="0.45">
      <c r="B56" s="449"/>
      <c r="C56" s="265"/>
      <c r="D56" s="269" t="s">
        <v>109</v>
      </c>
      <c r="E56" s="270">
        <v>0.05</v>
      </c>
      <c r="F56" s="271" t="s">
        <v>108</v>
      </c>
      <c r="G56" s="225" t="s">
        <v>52</v>
      </c>
      <c r="H56" s="226"/>
      <c r="I56" s="263"/>
      <c r="J56" s="254">
        <f>'Analisa Upah'!F12</f>
        <v>110000</v>
      </c>
      <c r="K56" s="467">
        <f>+E56*J56</f>
        <v>5500</v>
      </c>
    </row>
    <row r="57" spans="2:11" x14ac:dyDescent="0.45">
      <c r="B57" s="449"/>
      <c r="C57" s="265"/>
      <c r="D57" s="272"/>
      <c r="E57" s="272"/>
      <c r="F57" s="207" t="s">
        <v>5</v>
      </c>
      <c r="G57" s="213" t="s">
        <v>110</v>
      </c>
      <c r="H57" s="231"/>
      <c r="I57" s="231"/>
      <c r="J57" s="255"/>
      <c r="K57" s="465"/>
    </row>
    <row r="58" spans="2:11" x14ac:dyDescent="0.45">
      <c r="B58" s="449"/>
      <c r="C58" s="265"/>
      <c r="D58" s="273"/>
      <c r="E58" s="273"/>
      <c r="F58" s="239" t="s">
        <v>6</v>
      </c>
      <c r="G58" s="240" t="s">
        <v>111</v>
      </c>
      <c r="H58" s="241"/>
      <c r="I58" s="256"/>
      <c r="J58" s="243"/>
      <c r="K58" s="468"/>
    </row>
    <row r="59" spans="2:11" x14ac:dyDescent="0.45">
      <c r="B59" s="449"/>
      <c r="C59" s="265"/>
      <c r="D59" s="272"/>
      <c r="E59" s="272"/>
      <c r="F59" s="207" t="s">
        <v>112</v>
      </c>
      <c r="G59" s="213" t="s">
        <v>113</v>
      </c>
      <c r="H59" s="244"/>
      <c r="I59" s="245"/>
      <c r="J59" s="246"/>
      <c r="K59" s="465">
        <f>+K54+K57+K58</f>
        <v>43000</v>
      </c>
    </row>
    <row r="60" spans="2:11" x14ac:dyDescent="0.45">
      <c r="B60" s="449"/>
      <c r="C60" s="265"/>
      <c r="D60" s="272"/>
      <c r="E60" s="272"/>
      <c r="F60" s="207" t="s">
        <v>114</v>
      </c>
      <c r="G60" s="213" t="s">
        <v>130</v>
      </c>
      <c r="H60" s="244"/>
      <c r="I60" s="247">
        <v>0.15</v>
      </c>
      <c r="J60" s="246"/>
      <c r="K60" s="465">
        <f>+I60*K59</f>
        <v>6450</v>
      </c>
    </row>
    <row r="61" spans="2:11" x14ac:dyDescent="0.45">
      <c r="B61" s="450"/>
      <c r="C61" s="455"/>
      <c r="D61" s="456"/>
      <c r="E61" s="456"/>
      <c r="F61" s="202" t="s">
        <v>115</v>
      </c>
      <c r="G61" s="436" t="s">
        <v>116</v>
      </c>
      <c r="H61" s="205"/>
      <c r="I61" s="242"/>
      <c r="J61" s="437"/>
      <c r="K61" s="469">
        <f>+K59+K60</f>
        <v>49450</v>
      </c>
    </row>
    <row r="62" spans="2:11" x14ac:dyDescent="0.45">
      <c r="B62" s="477">
        <v>6</v>
      </c>
      <c r="C62" s="478" t="s">
        <v>18</v>
      </c>
      <c r="D62" s="479"/>
      <c r="E62" s="480">
        <v>1</v>
      </c>
      <c r="F62" s="439" t="s">
        <v>12</v>
      </c>
      <c r="G62" s="481" t="s">
        <v>209</v>
      </c>
      <c r="H62" s="458"/>
      <c r="I62" s="458"/>
      <c r="J62" s="472"/>
      <c r="K62" s="482">
        <f>+K71</f>
        <v>475640</v>
      </c>
    </row>
    <row r="63" spans="2:11" x14ac:dyDescent="0.45">
      <c r="B63" s="454"/>
      <c r="C63" s="260"/>
      <c r="D63" s="244"/>
      <c r="E63" s="212"/>
      <c r="F63" s="276" t="s">
        <v>4</v>
      </c>
      <c r="G63" s="262" t="s">
        <v>106</v>
      </c>
      <c r="H63" s="209"/>
      <c r="I63" s="209"/>
      <c r="J63" s="280"/>
      <c r="K63" s="473">
        <f>SUM(K64:K65)</f>
        <v>23600</v>
      </c>
    </row>
    <row r="64" spans="2:11" x14ac:dyDescent="0.45">
      <c r="B64" s="449"/>
      <c r="C64" s="265"/>
      <c r="D64" s="288" t="s">
        <v>107</v>
      </c>
      <c r="E64" s="289">
        <v>0.3</v>
      </c>
      <c r="F64" s="217" t="s">
        <v>108</v>
      </c>
      <c r="G64" s="218" t="s">
        <v>51</v>
      </c>
      <c r="H64" s="219"/>
      <c r="I64" s="219"/>
      <c r="J64" s="290">
        <f>'Analisa Upah'!F5</f>
        <v>75000</v>
      </c>
      <c r="K64" s="474">
        <f>+E64*J64</f>
        <v>22500</v>
      </c>
    </row>
    <row r="65" spans="2:11" x14ac:dyDescent="0.45">
      <c r="B65" s="449"/>
      <c r="C65" s="265"/>
      <c r="D65" s="275" t="s">
        <v>109</v>
      </c>
      <c r="E65" s="281">
        <v>0.01</v>
      </c>
      <c r="F65" s="253" t="s">
        <v>108</v>
      </c>
      <c r="G65" s="228" t="s">
        <v>52</v>
      </c>
      <c r="H65" s="229"/>
      <c r="I65" s="229"/>
      <c r="J65" s="283">
        <f>'Analisa Upah'!F12</f>
        <v>110000</v>
      </c>
      <c r="K65" s="475">
        <f>+E65*J65</f>
        <v>1100</v>
      </c>
    </row>
    <row r="66" spans="2:11" x14ac:dyDescent="0.45">
      <c r="B66" s="449"/>
      <c r="C66" s="265"/>
      <c r="D66" s="209"/>
      <c r="E66" s="284"/>
      <c r="F66" s="285" t="s">
        <v>5</v>
      </c>
      <c r="G66" s="286" t="s">
        <v>110</v>
      </c>
      <c r="H66" s="209"/>
      <c r="I66" s="209"/>
      <c r="J66" s="280"/>
      <c r="K66" s="473">
        <f>SUM(K67:K67)</f>
        <v>390000</v>
      </c>
    </row>
    <row r="67" spans="2:11" x14ac:dyDescent="0.45">
      <c r="B67" s="449"/>
      <c r="C67" s="265"/>
      <c r="D67" s="226"/>
      <c r="E67" s="291">
        <v>1.2</v>
      </c>
      <c r="F67" s="269" t="s">
        <v>65</v>
      </c>
      <c r="G67" s="292" t="s">
        <v>117</v>
      </c>
      <c r="H67" s="226"/>
      <c r="I67" s="226"/>
      <c r="J67" s="283">
        <f>'Harga Bahan'!D9</f>
        <v>325000</v>
      </c>
      <c r="K67" s="336">
        <f>+E67*J67</f>
        <v>390000</v>
      </c>
    </row>
    <row r="68" spans="2:11" x14ac:dyDescent="0.45">
      <c r="B68" s="449"/>
      <c r="C68" s="265"/>
      <c r="D68" s="273"/>
      <c r="E68" s="273"/>
      <c r="F68" s="202" t="s">
        <v>6</v>
      </c>
      <c r="G68" s="240" t="s">
        <v>111</v>
      </c>
      <c r="H68" s="241"/>
      <c r="I68" s="256"/>
      <c r="J68" s="293"/>
      <c r="K68" s="429">
        <v>0</v>
      </c>
    </row>
    <row r="69" spans="2:11" x14ac:dyDescent="0.45">
      <c r="B69" s="449"/>
      <c r="C69" s="265"/>
      <c r="D69" s="272"/>
      <c r="E69" s="272"/>
      <c r="F69" s="207" t="s">
        <v>112</v>
      </c>
      <c r="G69" s="213" t="s">
        <v>113</v>
      </c>
      <c r="H69" s="244"/>
      <c r="I69" s="245"/>
      <c r="J69" s="287"/>
      <c r="K69" s="473">
        <f>+K63+K66+K68</f>
        <v>413600</v>
      </c>
    </row>
    <row r="70" spans="2:11" x14ac:dyDescent="0.45">
      <c r="B70" s="449"/>
      <c r="C70" s="265"/>
      <c r="D70" s="272"/>
      <c r="E70" s="272"/>
      <c r="F70" s="207" t="s">
        <v>114</v>
      </c>
      <c r="G70" s="213" t="s">
        <v>130</v>
      </c>
      <c r="H70" s="244"/>
      <c r="I70" s="247">
        <v>0.15</v>
      </c>
      <c r="J70" s="287"/>
      <c r="K70" s="473">
        <f>+I70*K69</f>
        <v>62040</v>
      </c>
    </row>
    <row r="71" spans="2:11" x14ac:dyDescent="0.45">
      <c r="B71" s="450"/>
      <c r="C71" s="455"/>
      <c r="D71" s="456"/>
      <c r="E71" s="456"/>
      <c r="F71" s="202" t="s">
        <v>115</v>
      </c>
      <c r="G71" s="286" t="s">
        <v>116</v>
      </c>
      <c r="H71" s="205"/>
      <c r="I71" s="242"/>
      <c r="J71" s="259"/>
      <c r="K71" s="476">
        <f>+K69+K70</f>
        <v>475640</v>
      </c>
    </row>
    <row r="72" spans="2:11" ht="15.5" x14ac:dyDescent="0.45">
      <c r="B72" s="470">
        <v>7</v>
      </c>
      <c r="C72" s="439" t="s">
        <v>24</v>
      </c>
      <c r="D72" s="448"/>
      <c r="E72" s="452">
        <v>1</v>
      </c>
      <c r="F72" s="448" t="s">
        <v>12</v>
      </c>
      <c r="G72" s="471" t="s">
        <v>128</v>
      </c>
      <c r="H72" s="443"/>
      <c r="I72" s="483"/>
      <c r="J72" s="444"/>
      <c r="K72" s="445">
        <f>+K85</f>
        <v>1043912.5</v>
      </c>
    </row>
    <row r="73" spans="2:11" x14ac:dyDescent="0.45">
      <c r="B73" s="210"/>
      <c r="C73" s="249"/>
      <c r="D73" s="285"/>
      <c r="E73" s="295"/>
      <c r="F73" s="207" t="s">
        <v>4</v>
      </c>
      <c r="G73" s="213" t="s">
        <v>120</v>
      </c>
      <c r="H73" s="231"/>
      <c r="I73" s="232"/>
      <c r="J73" s="296"/>
      <c r="K73" s="429">
        <f>SUM(K74:K77)</f>
        <v>195375</v>
      </c>
    </row>
    <row r="74" spans="2:11" x14ac:dyDescent="0.45">
      <c r="B74" s="273"/>
      <c r="C74" s="297"/>
      <c r="D74" s="211" t="s">
        <v>107</v>
      </c>
      <c r="E74" s="298">
        <v>1.5</v>
      </c>
      <c r="F74" s="267" t="s">
        <v>108</v>
      </c>
      <c r="G74" s="235" t="s">
        <v>51</v>
      </c>
      <c r="H74" s="209"/>
      <c r="I74" s="268"/>
      <c r="J74" s="280">
        <f>'Analisa Upah'!F5</f>
        <v>75000</v>
      </c>
      <c r="K74" s="315">
        <f>ROUND(J74*E74,2)</f>
        <v>112500</v>
      </c>
    </row>
    <row r="75" spans="2:11" x14ac:dyDescent="0.45">
      <c r="B75" s="273"/>
      <c r="C75" s="297"/>
      <c r="D75" s="211" t="s">
        <v>121</v>
      </c>
      <c r="E75" s="299">
        <v>0.75</v>
      </c>
      <c r="F75" s="267" t="s">
        <v>108</v>
      </c>
      <c r="G75" s="235" t="s">
        <v>57</v>
      </c>
      <c r="H75" s="209"/>
      <c r="I75" s="268"/>
      <c r="J75" s="280">
        <f>'Analisa Upah'!F7</f>
        <v>90000</v>
      </c>
      <c r="K75" s="315">
        <f>ROUND(J75*E75,2)</f>
        <v>67500</v>
      </c>
    </row>
    <row r="76" spans="2:11" x14ac:dyDescent="0.45">
      <c r="B76" s="273"/>
      <c r="C76" s="297"/>
      <c r="D76" s="211" t="s">
        <v>122</v>
      </c>
      <c r="E76" s="299">
        <v>7.4999999999999997E-2</v>
      </c>
      <c r="F76" s="267" t="s">
        <v>108</v>
      </c>
      <c r="G76" s="235" t="s">
        <v>123</v>
      </c>
      <c r="H76" s="209"/>
      <c r="I76" s="268"/>
      <c r="J76" s="280">
        <f>'Analisa Upah'!F11</f>
        <v>95000</v>
      </c>
      <c r="K76" s="315">
        <f>ROUND(J76*E76,2)</f>
        <v>7125</v>
      </c>
    </row>
    <row r="77" spans="2:11" x14ac:dyDescent="0.45">
      <c r="B77" s="273"/>
      <c r="C77" s="297"/>
      <c r="D77" s="253" t="s">
        <v>109</v>
      </c>
      <c r="E77" s="300">
        <v>7.4999999999999997E-2</v>
      </c>
      <c r="F77" s="275" t="s">
        <v>108</v>
      </c>
      <c r="G77" s="282" t="s">
        <v>52</v>
      </c>
      <c r="H77" s="229"/>
      <c r="I77" s="277"/>
      <c r="J77" s="283">
        <f>'Analisa Upah'!F12</f>
        <v>110000</v>
      </c>
      <c r="K77" s="475">
        <f>ROUND(J77*E77,2)</f>
        <v>8250</v>
      </c>
    </row>
    <row r="78" spans="2:11" x14ac:dyDescent="0.45">
      <c r="B78" s="215"/>
      <c r="C78" s="250"/>
      <c r="D78" s="285"/>
      <c r="E78" s="295"/>
      <c r="F78" s="207" t="s">
        <v>5</v>
      </c>
      <c r="G78" s="213" t="s">
        <v>124</v>
      </c>
      <c r="H78" s="231"/>
      <c r="I78" s="232"/>
      <c r="J78" s="233"/>
      <c r="K78" s="429">
        <f>SUM(K79:K81)</f>
        <v>712375</v>
      </c>
    </row>
    <row r="79" spans="2:11" x14ac:dyDescent="0.45">
      <c r="B79" s="273"/>
      <c r="C79" s="297"/>
      <c r="D79" s="279"/>
      <c r="E79" s="298">
        <v>1.2</v>
      </c>
      <c r="F79" s="267" t="s">
        <v>65</v>
      </c>
      <c r="G79" s="235" t="s">
        <v>285</v>
      </c>
      <c r="H79" s="209"/>
      <c r="I79" s="268"/>
      <c r="J79" s="280">
        <f>'Harga Bahan'!D6</f>
        <v>300000</v>
      </c>
      <c r="K79" s="315">
        <f>ROUND(J79*E79,2)</f>
        <v>360000</v>
      </c>
    </row>
    <row r="80" spans="2:11" x14ac:dyDescent="0.45">
      <c r="B80" s="273"/>
      <c r="C80" s="297"/>
      <c r="D80" s="279"/>
      <c r="E80" s="280">
        <v>163</v>
      </c>
      <c r="F80" s="267" t="s">
        <v>66</v>
      </c>
      <c r="G80" s="235" t="s">
        <v>125</v>
      </c>
      <c r="H80" s="209"/>
      <c r="I80" s="268"/>
      <c r="J80" s="280">
        <f>'Harga Bahan'!E11</f>
        <v>1125</v>
      </c>
      <c r="K80" s="315">
        <f>ROUND(J80*E80,2)</f>
        <v>183375</v>
      </c>
    </row>
    <row r="81" spans="2:11" x14ac:dyDescent="0.45">
      <c r="B81" s="273"/>
      <c r="C81" s="297"/>
      <c r="D81" s="271"/>
      <c r="E81" s="301">
        <v>0.52</v>
      </c>
      <c r="F81" s="271" t="s">
        <v>65</v>
      </c>
      <c r="G81" s="225" t="s">
        <v>126</v>
      </c>
      <c r="H81" s="226"/>
      <c r="I81" s="263"/>
      <c r="J81" s="283">
        <f>'Harga Bahan'!D9</f>
        <v>325000</v>
      </c>
      <c r="K81" s="475">
        <f>ROUND(J81*E81,2)</f>
        <v>169000</v>
      </c>
    </row>
    <row r="82" spans="2:11" x14ac:dyDescent="0.45">
      <c r="B82" s="238"/>
      <c r="C82" s="256"/>
      <c r="D82" s="273"/>
      <c r="E82" s="273"/>
      <c r="F82" s="202" t="s">
        <v>6</v>
      </c>
      <c r="G82" s="208" t="s">
        <v>111</v>
      </c>
      <c r="H82" s="241"/>
      <c r="I82" s="256"/>
      <c r="J82" s="302"/>
      <c r="K82" s="429">
        <v>0</v>
      </c>
    </row>
    <row r="83" spans="2:11" x14ac:dyDescent="0.45">
      <c r="B83" s="238"/>
      <c r="C83" s="256"/>
      <c r="D83" s="272"/>
      <c r="E83" s="272"/>
      <c r="F83" s="207" t="s">
        <v>112</v>
      </c>
      <c r="G83" s="208" t="s">
        <v>113</v>
      </c>
      <c r="H83" s="244"/>
      <c r="I83" s="245"/>
      <c r="J83" s="246"/>
      <c r="K83" s="429">
        <f>+K82+K78+K73</f>
        <v>907750</v>
      </c>
    </row>
    <row r="84" spans="2:11" x14ac:dyDescent="0.45">
      <c r="B84" s="238"/>
      <c r="C84" s="256"/>
      <c r="D84" s="272"/>
      <c r="E84" s="272"/>
      <c r="F84" s="207" t="s">
        <v>114</v>
      </c>
      <c r="G84" s="257" t="s">
        <v>166</v>
      </c>
      <c r="H84" s="244"/>
      <c r="I84" s="247">
        <v>0.15</v>
      </c>
      <c r="J84" s="246"/>
      <c r="K84" s="429">
        <f>+I84*K83</f>
        <v>136162.5</v>
      </c>
    </row>
    <row r="85" spans="2:11" x14ac:dyDescent="0.45">
      <c r="B85" s="356"/>
      <c r="C85" s="242"/>
      <c r="D85" s="456"/>
      <c r="E85" s="456"/>
      <c r="F85" s="202" t="s">
        <v>115</v>
      </c>
      <c r="G85" s="208" t="s">
        <v>127</v>
      </c>
      <c r="H85" s="205"/>
      <c r="I85" s="242"/>
      <c r="J85" s="437"/>
      <c r="K85" s="438">
        <f>+K83+K84</f>
        <v>1043912.5</v>
      </c>
    </row>
    <row r="86" spans="2:11" ht="15.5" x14ac:dyDescent="0.45">
      <c r="B86" s="478">
        <v>8</v>
      </c>
      <c r="C86" s="478" t="s">
        <v>242</v>
      </c>
      <c r="D86" s="478"/>
      <c r="E86" s="1081">
        <v>1</v>
      </c>
      <c r="F86" s="1069" t="s">
        <v>12</v>
      </c>
      <c r="G86" s="493" t="s">
        <v>241</v>
      </c>
      <c r="H86" s="458"/>
      <c r="I86" s="458"/>
      <c r="J86" s="506"/>
      <c r="K86" s="507">
        <f>+K101</f>
        <v>901784</v>
      </c>
    </row>
    <row r="87" spans="2:11" ht="15.5" x14ac:dyDescent="0.45">
      <c r="B87" s="508"/>
      <c r="C87" s="509"/>
      <c r="D87" s="508"/>
      <c r="E87" s="1082"/>
      <c r="F87" s="1070"/>
      <c r="G87" s="510" t="s">
        <v>240</v>
      </c>
      <c r="H87" s="494"/>
      <c r="I87" s="494"/>
      <c r="J87" s="511"/>
      <c r="K87" s="512"/>
    </row>
    <row r="88" spans="2:11" x14ac:dyDescent="0.45">
      <c r="B88" s="273"/>
      <c r="C88" s="256"/>
      <c r="D88" s="341"/>
      <c r="E88" s="342"/>
      <c r="F88" s="202" t="s">
        <v>4</v>
      </c>
      <c r="G88" s="204" t="s">
        <v>120</v>
      </c>
      <c r="H88" s="226"/>
      <c r="I88" s="226"/>
      <c r="J88" s="304"/>
      <c r="K88" s="503">
        <f>SUM(K89:K92)</f>
        <v>110560</v>
      </c>
    </row>
    <row r="89" spans="2:11" x14ac:dyDescent="0.45">
      <c r="B89" s="273"/>
      <c r="C89" s="256"/>
      <c r="D89" s="279" t="s">
        <v>107</v>
      </c>
      <c r="E89" s="299">
        <v>1.2</v>
      </c>
      <c r="F89" s="211" t="s">
        <v>108</v>
      </c>
      <c r="G89" s="209" t="s">
        <v>51</v>
      </c>
      <c r="H89" s="209"/>
      <c r="I89" s="209"/>
      <c r="J89" s="280">
        <f>'Analisa Upah'!F5</f>
        <v>75000</v>
      </c>
      <c r="K89" s="337">
        <f>ROUND(J89*E89,2)</f>
        <v>90000</v>
      </c>
    </row>
    <row r="90" spans="2:11" x14ac:dyDescent="0.45">
      <c r="B90" s="273"/>
      <c r="C90" s="256"/>
      <c r="D90" s="279" t="s">
        <v>121</v>
      </c>
      <c r="E90" s="299">
        <v>0.2</v>
      </c>
      <c r="F90" s="211" t="s">
        <v>108</v>
      </c>
      <c r="G90" s="209" t="s">
        <v>134</v>
      </c>
      <c r="H90" s="209"/>
      <c r="I90" s="209"/>
      <c r="J90" s="280">
        <f>'Analisa Upah'!F7</f>
        <v>90000</v>
      </c>
      <c r="K90" s="337">
        <f>ROUND(J90*E90,2)</f>
        <v>18000</v>
      </c>
    </row>
    <row r="91" spans="2:11" x14ac:dyDescent="0.45">
      <c r="B91" s="273"/>
      <c r="C91" s="256"/>
      <c r="D91" s="279" t="s">
        <v>122</v>
      </c>
      <c r="E91" s="299">
        <v>0.02</v>
      </c>
      <c r="F91" s="211" t="s">
        <v>108</v>
      </c>
      <c r="G91" s="209" t="s">
        <v>123</v>
      </c>
      <c r="H91" s="209"/>
      <c r="I91" s="209"/>
      <c r="J91" s="280">
        <f>'Analisa Upah'!F11</f>
        <v>95000</v>
      </c>
      <c r="K91" s="337">
        <f>ROUND(J91*E91,2)</f>
        <v>1900</v>
      </c>
    </row>
    <row r="92" spans="2:11" x14ac:dyDescent="0.45">
      <c r="B92" s="273"/>
      <c r="C92" s="256"/>
      <c r="D92" s="343" t="s">
        <v>109</v>
      </c>
      <c r="E92" s="300">
        <v>6.0000000000000001E-3</v>
      </c>
      <c r="F92" s="253" t="s">
        <v>108</v>
      </c>
      <c r="G92" s="229" t="s">
        <v>52</v>
      </c>
      <c r="H92" s="229"/>
      <c r="I92" s="229"/>
      <c r="J92" s="283">
        <f>'Analisa Upah'!F12</f>
        <v>110000</v>
      </c>
      <c r="K92" s="327">
        <f>ROUND(J92*E92,2)</f>
        <v>660</v>
      </c>
    </row>
    <row r="93" spans="2:11" x14ac:dyDescent="0.45">
      <c r="B93" s="273"/>
      <c r="C93" s="256"/>
      <c r="D93" s="344"/>
      <c r="E93" s="299"/>
      <c r="F93" s="207" t="s">
        <v>5</v>
      </c>
      <c r="G93" s="231" t="s">
        <v>124</v>
      </c>
      <c r="H93" s="209"/>
      <c r="I93" s="209"/>
      <c r="J93" s="280"/>
      <c r="K93" s="504">
        <f>SUM(K94:K97)</f>
        <v>673600</v>
      </c>
    </row>
    <row r="94" spans="2:11" x14ac:dyDescent="0.45">
      <c r="B94" s="273"/>
      <c r="C94" s="256"/>
      <c r="D94" s="344"/>
      <c r="E94" s="280">
        <v>230</v>
      </c>
      <c r="F94" s="211" t="s">
        <v>39</v>
      </c>
      <c r="G94" s="209" t="s">
        <v>129</v>
      </c>
      <c r="H94" s="209"/>
      <c r="I94" s="209"/>
      <c r="J94" s="280">
        <f>'Harga Bahan'!E11</f>
        <v>1125</v>
      </c>
      <c r="K94" s="337">
        <f>ROUND(J94*E94,2)</f>
        <v>258750</v>
      </c>
    </row>
    <row r="95" spans="2:11" x14ac:dyDescent="0.45">
      <c r="B95" s="273"/>
      <c r="C95" s="256"/>
      <c r="D95" s="344"/>
      <c r="E95" s="299">
        <v>0.55800000000000005</v>
      </c>
      <c r="F95" s="211" t="s">
        <v>12</v>
      </c>
      <c r="G95" s="209" t="s">
        <v>135</v>
      </c>
      <c r="H95" s="209"/>
      <c r="I95" s="209"/>
      <c r="J95" s="222">
        <f>'Harga Bahan'!D9</f>
        <v>325000</v>
      </c>
      <c r="K95" s="337">
        <f>ROUND(J95*E95,2)</f>
        <v>181350</v>
      </c>
    </row>
    <row r="96" spans="2:11" x14ac:dyDescent="0.45">
      <c r="B96" s="273"/>
      <c r="C96" s="256"/>
      <c r="D96" s="345"/>
      <c r="E96" s="300">
        <v>0.70799999999999996</v>
      </c>
      <c r="F96" s="253" t="s">
        <v>12</v>
      </c>
      <c r="G96" s="229" t="s">
        <v>136</v>
      </c>
      <c r="H96" s="229"/>
      <c r="I96" s="229"/>
      <c r="J96" s="335">
        <f>'Harga Bahan'!D7</f>
        <v>325000</v>
      </c>
      <c r="K96" s="433">
        <f>ROUND(J96*E96,2)</f>
        <v>230100</v>
      </c>
    </row>
    <row r="97" spans="2:11" x14ac:dyDescent="0.45">
      <c r="B97" s="273"/>
      <c r="C97" s="256"/>
      <c r="D97" s="344"/>
      <c r="E97" s="280">
        <v>200</v>
      </c>
      <c r="F97" s="211" t="s">
        <v>81</v>
      </c>
      <c r="G97" s="209" t="s">
        <v>88</v>
      </c>
      <c r="H97" s="209"/>
      <c r="I97" s="209"/>
      <c r="J97" s="222">
        <f>'Harga Bahan'!E134</f>
        <v>17</v>
      </c>
      <c r="K97" s="337">
        <f>ROUND(J97*E97,2)</f>
        <v>3400</v>
      </c>
    </row>
    <row r="98" spans="2:11" x14ac:dyDescent="0.45">
      <c r="B98" s="273"/>
      <c r="C98" s="277"/>
      <c r="D98" s="279"/>
      <c r="E98" s="346"/>
      <c r="F98" s="207" t="s">
        <v>6</v>
      </c>
      <c r="G98" s="208" t="s">
        <v>111</v>
      </c>
      <c r="H98" s="209"/>
      <c r="I98" s="209"/>
      <c r="J98" s="280"/>
      <c r="K98" s="352"/>
    </row>
    <row r="99" spans="2:11" x14ac:dyDescent="0.45">
      <c r="B99" s="273"/>
      <c r="C99" s="277"/>
      <c r="D99" s="279"/>
      <c r="E99" s="346"/>
      <c r="F99" s="207" t="s">
        <v>112</v>
      </c>
      <c r="G99" s="208" t="s">
        <v>113</v>
      </c>
      <c r="H99" s="209"/>
      <c r="I99" s="209"/>
      <c r="J99" s="280"/>
      <c r="K99" s="429">
        <f>+K98+K93+K88</f>
        <v>784160</v>
      </c>
    </row>
    <row r="100" spans="2:11" x14ac:dyDescent="0.45">
      <c r="B100" s="273"/>
      <c r="C100" s="277"/>
      <c r="D100" s="343"/>
      <c r="E100" s="347"/>
      <c r="F100" s="239" t="s">
        <v>114</v>
      </c>
      <c r="G100" s="257" t="s">
        <v>166</v>
      </c>
      <c r="H100" s="229"/>
      <c r="I100" s="348">
        <v>0.15</v>
      </c>
      <c r="J100" s="349"/>
      <c r="K100" s="453">
        <f>+I100*K99</f>
        <v>117624</v>
      </c>
    </row>
    <row r="101" spans="2:11" x14ac:dyDescent="0.45">
      <c r="B101" s="273"/>
      <c r="C101" s="277"/>
      <c r="D101" s="514"/>
      <c r="E101" s="515"/>
      <c r="F101" s="387" t="s">
        <v>115</v>
      </c>
      <c r="G101" s="388" t="s">
        <v>127</v>
      </c>
      <c r="H101" s="306"/>
      <c r="I101" s="306"/>
      <c r="J101" s="516"/>
      <c r="K101" s="485">
        <f>+K100+K99</f>
        <v>901784</v>
      </c>
    </row>
    <row r="102" spans="2:11" ht="15.5" x14ac:dyDescent="0.45">
      <c r="B102" s="477">
        <v>9</v>
      </c>
      <c r="C102" s="478" t="s">
        <v>43</v>
      </c>
      <c r="D102" s="478"/>
      <c r="E102" s="480">
        <v>1</v>
      </c>
      <c r="F102" s="486" t="s">
        <v>12</v>
      </c>
      <c r="G102" s="487" t="s">
        <v>244</v>
      </c>
      <c r="H102" s="458"/>
      <c r="I102" s="506"/>
      <c r="J102" s="518"/>
      <c r="K102" s="519">
        <f>+K117</f>
        <v>1115149.25</v>
      </c>
    </row>
    <row r="103" spans="2:11" ht="15.5" x14ac:dyDescent="0.45">
      <c r="B103" s="508"/>
      <c r="C103" s="520"/>
      <c r="D103" s="508"/>
      <c r="E103" s="521"/>
      <c r="F103" s="508"/>
      <c r="G103" s="510" t="s">
        <v>243</v>
      </c>
      <c r="H103" s="494"/>
      <c r="I103" s="494"/>
      <c r="J103" s="522"/>
      <c r="K103" s="512"/>
    </row>
    <row r="104" spans="2:11" x14ac:dyDescent="0.45">
      <c r="B104" s="273"/>
      <c r="C104" s="256"/>
      <c r="D104" s="341"/>
      <c r="E104" s="350"/>
      <c r="F104" s="206" t="s">
        <v>4</v>
      </c>
      <c r="G104" s="274" t="s">
        <v>120</v>
      </c>
      <c r="H104" s="226"/>
      <c r="I104" s="263"/>
      <c r="J104" s="264"/>
      <c r="K104" s="503">
        <f>SUM(K105:K108)</f>
        <v>160290</v>
      </c>
    </row>
    <row r="105" spans="2:11" x14ac:dyDescent="0.45">
      <c r="B105" s="273"/>
      <c r="C105" s="256"/>
      <c r="D105" s="279" t="s">
        <v>107</v>
      </c>
      <c r="E105" s="299">
        <v>1.65</v>
      </c>
      <c r="F105" s="267" t="s">
        <v>108</v>
      </c>
      <c r="G105" s="339" t="s">
        <v>51</v>
      </c>
      <c r="H105" s="209"/>
      <c r="I105" s="268"/>
      <c r="J105" s="280">
        <f>'Analisa Upah'!F5</f>
        <v>75000</v>
      </c>
      <c r="K105" s="337">
        <f>ROUND(J105*E105,2)</f>
        <v>123750</v>
      </c>
    </row>
    <row r="106" spans="2:11" x14ac:dyDescent="0.45">
      <c r="B106" s="273"/>
      <c r="C106" s="256"/>
      <c r="D106" s="279" t="s">
        <v>121</v>
      </c>
      <c r="E106" s="299">
        <v>0.27500000000000002</v>
      </c>
      <c r="F106" s="267" t="s">
        <v>108</v>
      </c>
      <c r="G106" s="339" t="s">
        <v>134</v>
      </c>
      <c r="H106" s="209"/>
      <c r="I106" s="268"/>
      <c r="J106" s="280">
        <f>'Analisa Upah'!F7</f>
        <v>90000</v>
      </c>
      <c r="K106" s="337">
        <f>ROUND(J106*E106,2)</f>
        <v>24750</v>
      </c>
    </row>
    <row r="107" spans="2:11" x14ac:dyDescent="0.45">
      <c r="B107" s="273"/>
      <c r="C107" s="256"/>
      <c r="D107" s="279" t="s">
        <v>122</v>
      </c>
      <c r="E107" s="299">
        <v>2.8000000000000001E-2</v>
      </c>
      <c r="F107" s="267" t="s">
        <v>108</v>
      </c>
      <c r="G107" s="339" t="s">
        <v>123</v>
      </c>
      <c r="H107" s="209"/>
      <c r="I107" s="268"/>
      <c r="J107" s="280">
        <f>'Analisa Upah'!F11</f>
        <v>95000</v>
      </c>
      <c r="K107" s="337">
        <f>ROUND(J107*E107,2)</f>
        <v>2660</v>
      </c>
    </row>
    <row r="108" spans="2:11" x14ac:dyDescent="0.45">
      <c r="B108" s="273"/>
      <c r="C108" s="256"/>
      <c r="D108" s="343" t="s">
        <v>109</v>
      </c>
      <c r="E108" s="300">
        <v>8.3000000000000004E-2</v>
      </c>
      <c r="F108" s="275" t="s">
        <v>108</v>
      </c>
      <c r="G108" s="351" t="s">
        <v>52</v>
      </c>
      <c r="H108" s="229"/>
      <c r="I108" s="277"/>
      <c r="J108" s="283">
        <f>'Analisa Upah'!F12</f>
        <v>110000</v>
      </c>
      <c r="K108" s="517">
        <f>ROUND(J108*E108,2)</f>
        <v>9130</v>
      </c>
    </row>
    <row r="109" spans="2:11" x14ac:dyDescent="0.45">
      <c r="B109" s="273"/>
      <c r="C109" s="256"/>
      <c r="D109" s="344"/>
      <c r="E109" s="352"/>
      <c r="F109" s="285" t="s">
        <v>5</v>
      </c>
      <c r="G109" s="353" t="s">
        <v>124</v>
      </c>
      <c r="H109" s="209"/>
      <c r="I109" s="268"/>
      <c r="J109" s="252"/>
      <c r="K109" s="504">
        <f>SUM(K110:K113)</f>
        <v>809405</v>
      </c>
    </row>
    <row r="110" spans="2:11" x14ac:dyDescent="0.45">
      <c r="B110" s="273"/>
      <c r="C110" s="256"/>
      <c r="D110" s="344"/>
      <c r="E110" s="222">
        <v>384</v>
      </c>
      <c r="F110" s="267" t="s">
        <v>39</v>
      </c>
      <c r="G110" s="339" t="s">
        <v>129</v>
      </c>
      <c r="H110" s="209"/>
      <c r="I110" s="268"/>
      <c r="J110" s="280">
        <f>'Harga Bahan'!E11</f>
        <v>1125</v>
      </c>
      <c r="K110" s="337">
        <f>ROUND(E110*J110,2)</f>
        <v>432000</v>
      </c>
    </row>
    <row r="111" spans="2:11" x14ac:dyDescent="0.45">
      <c r="B111" s="273"/>
      <c r="C111" s="256"/>
      <c r="D111" s="344"/>
      <c r="E111" s="222">
        <v>0.43</v>
      </c>
      <c r="F111" s="267" t="s">
        <v>39</v>
      </c>
      <c r="G111" s="339" t="s">
        <v>135</v>
      </c>
      <c r="H111" s="209"/>
      <c r="I111" s="268"/>
      <c r="J111" s="222">
        <f>'Harga Bahan'!D9</f>
        <v>325000</v>
      </c>
      <c r="K111" s="337">
        <f>ROUND(E111*J111,2)</f>
        <v>139750</v>
      </c>
    </row>
    <row r="112" spans="2:11" x14ac:dyDescent="0.45">
      <c r="B112" s="273"/>
      <c r="C112" s="256"/>
      <c r="D112" s="344"/>
      <c r="E112" s="222">
        <v>0.72</v>
      </c>
      <c r="F112" s="267" t="s">
        <v>39</v>
      </c>
      <c r="G112" s="339" t="s">
        <v>136</v>
      </c>
      <c r="H112" s="209"/>
      <c r="I112" s="268"/>
      <c r="J112" s="222">
        <f>'Harga Bahan'!D7</f>
        <v>325000</v>
      </c>
      <c r="K112" s="337">
        <f>ROUND(E112*J112,2)</f>
        <v>234000</v>
      </c>
    </row>
    <row r="113" spans="2:11" x14ac:dyDescent="0.45">
      <c r="B113" s="273"/>
      <c r="C113" s="256"/>
      <c r="D113" s="345"/>
      <c r="E113" s="354">
        <v>215</v>
      </c>
      <c r="F113" s="275" t="s">
        <v>81</v>
      </c>
      <c r="G113" s="351" t="s">
        <v>88</v>
      </c>
      <c r="H113" s="229"/>
      <c r="I113" s="277"/>
      <c r="J113" s="301">
        <f>'Harga Bahan'!E134</f>
        <v>17</v>
      </c>
      <c r="K113" s="517">
        <f>ROUND(E113*J113,2)</f>
        <v>3655</v>
      </c>
    </row>
    <row r="114" spans="2:11" x14ac:dyDescent="0.45">
      <c r="B114" s="273"/>
      <c r="C114" s="277"/>
      <c r="D114" s="279"/>
      <c r="E114" s="346"/>
      <c r="F114" s="207" t="s">
        <v>6</v>
      </c>
      <c r="G114" s="208" t="s">
        <v>111</v>
      </c>
      <c r="H114" s="209"/>
      <c r="I114" s="268"/>
      <c r="J114" s="236"/>
      <c r="K114" s="352"/>
    </row>
    <row r="115" spans="2:11" x14ac:dyDescent="0.45">
      <c r="B115" s="273"/>
      <c r="C115" s="277"/>
      <c r="D115" s="279"/>
      <c r="E115" s="346"/>
      <c r="F115" s="207" t="s">
        <v>112</v>
      </c>
      <c r="G115" s="208" t="s">
        <v>113</v>
      </c>
      <c r="H115" s="209"/>
      <c r="I115" s="268"/>
      <c r="J115" s="236"/>
      <c r="K115" s="429">
        <f>+K114+K109+K104</f>
        <v>969695</v>
      </c>
    </row>
    <row r="116" spans="2:11" x14ac:dyDescent="0.45">
      <c r="B116" s="273"/>
      <c r="C116" s="277"/>
      <c r="D116" s="343"/>
      <c r="E116" s="347"/>
      <c r="F116" s="239" t="s">
        <v>114</v>
      </c>
      <c r="G116" s="257" t="s">
        <v>166</v>
      </c>
      <c r="H116" s="229"/>
      <c r="I116" s="355">
        <v>0.15</v>
      </c>
      <c r="J116" s="258"/>
      <c r="K116" s="453">
        <f>+I116*K115</f>
        <v>145454.25</v>
      </c>
    </row>
    <row r="117" spans="2:11" x14ac:dyDescent="0.45">
      <c r="B117" s="456"/>
      <c r="C117" s="263"/>
      <c r="D117" s="279"/>
      <c r="E117" s="346"/>
      <c r="F117" s="207" t="s">
        <v>115</v>
      </c>
      <c r="G117" s="208" t="s">
        <v>127</v>
      </c>
      <c r="H117" s="209"/>
      <c r="I117" s="268"/>
      <c r="J117" s="236"/>
      <c r="K117" s="429">
        <f>+K116+K115</f>
        <v>1115149.25</v>
      </c>
    </row>
    <row r="118" spans="2:11" ht="15.5" x14ac:dyDescent="0.45">
      <c r="B118" s="470">
        <v>10</v>
      </c>
      <c r="C118" s="439" t="s">
        <v>44</v>
      </c>
      <c r="D118" s="477"/>
      <c r="E118" s="478">
        <v>10</v>
      </c>
      <c r="F118" s="486" t="s">
        <v>39</v>
      </c>
      <c r="G118" s="487" t="s">
        <v>634</v>
      </c>
      <c r="H118" s="458"/>
      <c r="I118" s="506"/>
      <c r="J118" s="518"/>
      <c r="K118" s="489">
        <f>K130</f>
        <v>14444.575000000001</v>
      </c>
    </row>
    <row r="119" spans="2:11" x14ac:dyDescent="0.45">
      <c r="B119" s="404"/>
      <c r="C119" s="307"/>
      <c r="D119" s="344"/>
      <c r="E119" s="284"/>
      <c r="F119" s="285" t="s">
        <v>4</v>
      </c>
      <c r="G119" s="353" t="s">
        <v>120</v>
      </c>
      <c r="H119" s="209"/>
      <c r="I119" s="268"/>
      <c r="J119" s="237"/>
      <c r="K119" s="465">
        <f>SUM(K120:K123)</f>
        <v>1265.5</v>
      </c>
    </row>
    <row r="120" spans="2:11" ht="15.5" x14ac:dyDescent="0.45">
      <c r="B120" s="253"/>
      <c r="C120" s="277"/>
      <c r="D120" s="279" t="s">
        <v>107</v>
      </c>
      <c r="E120" s="340">
        <v>7.0000000000000001E-3</v>
      </c>
      <c r="F120" s="267" t="s">
        <v>108</v>
      </c>
      <c r="G120" s="339" t="s">
        <v>51</v>
      </c>
      <c r="H120" s="209"/>
      <c r="I120" s="268"/>
      <c r="J120" s="280">
        <f>'Analisa Upah'!F5</f>
        <v>75000</v>
      </c>
      <c r="K120" s="466">
        <f>ROUND(E120*J120,2)</f>
        <v>525</v>
      </c>
    </row>
    <row r="121" spans="2:11" ht="15.5" x14ac:dyDescent="0.45">
      <c r="B121" s="253"/>
      <c r="C121" s="277"/>
      <c r="D121" s="279" t="s">
        <v>121</v>
      </c>
      <c r="E121" s="340">
        <v>7.0000000000000001E-3</v>
      </c>
      <c r="F121" s="267" t="s">
        <v>108</v>
      </c>
      <c r="G121" s="339" t="s">
        <v>58</v>
      </c>
      <c r="H121" s="209"/>
      <c r="I121" s="268"/>
      <c r="J121" s="280">
        <f>'Analisa Upah'!F8</f>
        <v>90000</v>
      </c>
      <c r="K121" s="466">
        <f>ROUND(E121*J121,2)</f>
        <v>630</v>
      </c>
    </row>
    <row r="122" spans="2:11" ht="15.5" x14ac:dyDescent="0.45">
      <c r="B122" s="253"/>
      <c r="C122" s="277"/>
      <c r="D122" s="279" t="s">
        <v>122</v>
      </c>
      <c r="E122" s="340">
        <v>6.9999999999999999E-4</v>
      </c>
      <c r="F122" s="267" t="s">
        <v>108</v>
      </c>
      <c r="G122" s="339" t="s">
        <v>123</v>
      </c>
      <c r="H122" s="209"/>
      <c r="I122" s="268"/>
      <c r="J122" s="280">
        <f>'Analisa Upah'!F11</f>
        <v>95000</v>
      </c>
      <c r="K122" s="466">
        <f>ROUND(E122*J122,2)</f>
        <v>66.5</v>
      </c>
    </row>
    <row r="123" spans="2:11" ht="15.5" x14ac:dyDescent="0.45">
      <c r="B123" s="253"/>
      <c r="C123" s="277"/>
      <c r="D123" s="343" t="s">
        <v>109</v>
      </c>
      <c r="E123" s="357">
        <v>4.0000000000000002E-4</v>
      </c>
      <c r="F123" s="275" t="s">
        <v>108</v>
      </c>
      <c r="G123" s="351" t="s">
        <v>52</v>
      </c>
      <c r="H123" s="229"/>
      <c r="I123" s="277"/>
      <c r="J123" s="283">
        <f>'Analisa Upah'!F12</f>
        <v>110000</v>
      </c>
      <c r="K123" s="523">
        <f>ROUND(E123*J123,2)</f>
        <v>44</v>
      </c>
    </row>
    <row r="124" spans="2:11" x14ac:dyDescent="0.45">
      <c r="B124" s="253"/>
      <c r="C124" s="277"/>
      <c r="D124" s="344"/>
      <c r="E124" s="352"/>
      <c r="F124" s="285" t="s">
        <v>5</v>
      </c>
      <c r="G124" s="353" t="s">
        <v>124</v>
      </c>
      <c r="H124" s="209"/>
      <c r="I124" s="268"/>
      <c r="J124" s="237"/>
      <c r="K124" s="465">
        <f>SUM(K125:K126)</f>
        <v>11295</v>
      </c>
    </row>
    <row r="125" spans="2:11" x14ac:dyDescent="0.45">
      <c r="B125" s="253"/>
      <c r="C125" s="277"/>
      <c r="D125" s="344"/>
      <c r="E125" s="222">
        <v>1.05</v>
      </c>
      <c r="F125" s="267" t="s">
        <v>39</v>
      </c>
      <c r="G125" s="339" t="s">
        <v>635</v>
      </c>
      <c r="H125" s="209"/>
      <c r="I125" s="268"/>
      <c r="J125" s="252">
        <f>'Harga Bahan'!D48</f>
        <v>10500</v>
      </c>
      <c r="K125" s="466">
        <f>ROUND(E125*J125,2)</f>
        <v>11025</v>
      </c>
    </row>
    <row r="126" spans="2:11" x14ac:dyDescent="0.45">
      <c r="B126" s="253"/>
      <c r="C126" s="277"/>
      <c r="D126" s="345"/>
      <c r="E126" s="358">
        <v>1.4999999999999999E-2</v>
      </c>
      <c r="F126" s="275" t="s">
        <v>39</v>
      </c>
      <c r="G126" s="351" t="s">
        <v>443</v>
      </c>
      <c r="H126" s="229"/>
      <c r="I126" s="277"/>
      <c r="J126" s="254">
        <f>'Harga Bahan'!D51</f>
        <v>18000</v>
      </c>
      <c r="K126" s="523">
        <f>ROUND(E126*J126,2)</f>
        <v>270</v>
      </c>
    </row>
    <row r="127" spans="2:11" x14ac:dyDescent="0.45">
      <c r="B127" s="273"/>
      <c r="C127" s="277"/>
      <c r="D127" s="279"/>
      <c r="E127" s="346"/>
      <c r="F127" s="207" t="s">
        <v>6</v>
      </c>
      <c r="G127" s="208" t="s">
        <v>111</v>
      </c>
      <c r="H127" s="209"/>
      <c r="I127" s="268"/>
      <c r="J127" s="237"/>
      <c r="K127" s="524"/>
    </row>
    <row r="128" spans="2:11" x14ac:dyDescent="0.45">
      <c r="B128" s="273"/>
      <c r="C128" s="277"/>
      <c r="D128" s="279"/>
      <c r="E128" s="346"/>
      <c r="F128" s="207" t="s">
        <v>112</v>
      </c>
      <c r="G128" s="208" t="s">
        <v>113</v>
      </c>
      <c r="H128" s="209"/>
      <c r="I128" s="268"/>
      <c r="J128" s="237"/>
      <c r="K128" s="465">
        <f>+K127+K124+K119</f>
        <v>12560.5</v>
      </c>
    </row>
    <row r="129" spans="2:11" x14ac:dyDescent="0.45">
      <c r="B129" s="273"/>
      <c r="C129" s="277"/>
      <c r="D129" s="343"/>
      <c r="E129" s="347"/>
      <c r="F129" s="239" t="s">
        <v>114</v>
      </c>
      <c r="G129" s="257" t="str">
        <f>G116</f>
        <v>Overhead &amp; Profit</v>
      </c>
      <c r="H129" s="229"/>
      <c r="I129" s="355">
        <v>0.15</v>
      </c>
      <c r="J129" s="278"/>
      <c r="K129" s="513">
        <f>+I129*K128</f>
        <v>1884.0749999999998</v>
      </c>
    </row>
    <row r="130" spans="2:11" x14ac:dyDescent="0.45">
      <c r="B130" s="456"/>
      <c r="C130" s="263"/>
      <c r="D130" s="279"/>
      <c r="E130" s="346"/>
      <c r="F130" s="207" t="s">
        <v>115</v>
      </c>
      <c r="G130" s="208" t="s">
        <v>127</v>
      </c>
      <c r="H130" s="209"/>
      <c r="I130" s="268"/>
      <c r="J130" s="237"/>
      <c r="K130" s="465">
        <f>+K129+K128</f>
        <v>14444.575000000001</v>
      </c>
    </row>
    <row r="131" spans="2:11" ht="15.5" x14ac:dyDescent="0.45">
      <c r="B131" s="470">
        <v>12</v>
      </c>
      <c r="C131" s="439" t="s">
        <v>45</v>
      </c>
      <c r="D131" s="477"/>
      <c r="E131" s="452">
        <v>1</v>
      </c>
      <c r="F131" s="486" t="s">
        <v>30</v>
      </c>
      <c r="G131" s="487" t="s">
        <v>138</v>
      </c>
      <c r="H131" s="458"/>
      <c r="I131" s="506"/>
      <c r="J131" s="518"/>
      <c r="K131" s="489">
        <f>+K144</f>
        <v>155399.5</v>
      </c>
    </row>
    <row r="132" spans="2:11" x14ac:dyDescent="0.45">
      <c r="B132" s="404"/>
      <c r="C132" s="307"/>
      <c r="D132" s="344"/>
      <c r="E132" s="359"/>
      <c r="F132" s="285" t="s">
        <v>4</v>
      </c>
      <c r="G132" s="353" t="s">
        <v>120</v>
      </c>
      <c r="H132" s="209"/>
      <c r="I132" s="268"/>
      <c r="J132" s="237"/>
      <c r="K132" s="465">
        <f>SUM(K133:K136)</f>
        <v>67730</v>
      </c>
    </row>
    <row r="133" spans="2:11" ht="15.5" x14ac:dyDescent="0.45">
      <c r="B133" s="253"/>
      <c r="C133" s="277"/>
      <c r="D133" s="279" t="s">
        <v>107</v>
      </c>
      <c r="E133" s="222">
        <v>0.52</v>
      </c>
      <c r="F133" s="267" t="s">
        <v>108</v>
      </c>
      <c r="G133" s="339" t="s">
        <v>51</v>
      </c>
      <c r="H133" s="209"/>
      <c r="I133" s="268"/>
      <c r="J133" s="280">
        <f>'Analisa Upah'!F5</f>
        <v>75000</v>
      </c>
      <c r="K133" s="466">
        <f>ROUND(E133*J133,2)</f>
        <v>39000</v>
      </c>
    </row>
    <row r="134" spans="2:11" ht="15.5" x14ac:dyDescent="0.45">
      <c r="B134" s="253"/>
      <c r="C134" s="277"/>
      <c r="D134" s="279" t="s">
        <v>121</v>
      </c>
      <c r="E134" s="222">
        <v>0.26</v>
      </c>
      <c r="F134" s="267" t="s">
        <v>108</v>
      </c>
      <c r="G134" s="339" t="s">
        <v>56</v>
      </c>
      <c r="H134" s="209"/>
      <c r="I134" s="268"/>
      <c r="J134" s="280">
        <f>'Analisa Upah'!F6</f>
        <v>90000</v>
      </c>
      <c r="K134" s="466">
        <f>ROUND(E134*J134,2)</f>
        <v>23400</v>
      </c>
    </row>
    <row r="135" spans="2:11" ht="15.5" x14ac:dyDescent="0.45">
      <c r="B135" s="253"/>
      <c r="C135" s="277"/>
      <c r="D135" s="279" t="s">
        <v>122</v>
      </c>
      <c r="E135" s="299">
        <v>2.5999999999999999E-2</v>
      </c>
      <c r="F135" s="267" t="s">
        <v>108</v>
      </c>
      <c r="G135" s="339" t="s">
        <v>123</v>
      </c>
      <c r="H135" s="209"/>
      <c r="I135" s="268"/>
      <c r="J135" s="280">
        <f>'Analisa Upah'!F11</f>
        <v>95000</v>
      </c>
      <c r="K135" s="466">
        <f>ROUND(E135*J135,2)</f>
        <v>2470</v>
      </c>
    </row>
    <row r="136" spans="2:11" ht="15.5" x14ac:dyDescent="0.45">
      <c r="B136" s="253"/>
      <c r="C136" s="277"/>
      <c r="D136" s="343" t="s">
        <v>109</v>
      </c>
      <c r="E136" s="358">
        <v>2.5999999999999999E-2</v>
      </c>
      <c r="F136" s="275" t="s">
        <v>108</v>
      </c>
      <c r="G136" s="351" t="s">
        <v>52</v>
      </c>
      <c r="H136" s="229"/>
      <c r="I136" s="277"/>
      <c r="J136" s="283">
        <f>'Analisa Upah'!F12</f>
        <v>110000</v>
      </c>
      <c r="K136" s="523">
        <f>ROUND(E136*J136,2)</f>
        <v>2860</v>
      </c>
    </row>
    <row r="137" spans="2:11" x14ac:dyDescent="0.45">
      <c r="B137" s="253"/>
      <c r="C137" s="277"/>
      <c r="D137" s="344"/>
      <c r="E137" s="352"/>
      <c r="F137" s="285" t="s">
        <v>5</v>
      </c>
      <c r="G137" s="353" t="s">
        <v>139</v>
      </c>
      <c r="H137" s="209"/>
      <c r="I137" s="268"/>
      <c r="J137" s="237"/>
      <c r="K137" s="465">
        <f>SUM(K138:K140)</f>
        <v>67400</v>
      </c>
    </row>
    <row r="138" spans="2:11" x14ac:dyDescent="0.45">
      <c r="B138" s="253"/>
      <c r="C138" s="277"/>
      <c r="D138" s="344"/>
      <c r="E138" s="222">
        <v>0.02</v>
      </c>
      <c r="F138" s="267" t="s">
        <v>65</v>
      </c>
      <c r="G138" s="339" t="s">
        <v>140</v>
      </c>
      <c r="H138" s="209"/>
      <c r="I138" s="268"/>
      <c r="J138" s="252">
        <f>'Harga Bahan'!D28</f>
        <v>3000000</v>
      </c>
      <c r="K138" s="466">
        <f>ROUND(E138*J138,2)</f>
        <v>60000</v>
      </c>
    </row>
    <row r="139" spans="2:11" x14ac:dyDescent="0.45">
      <c r="B139" s="253"/>
      <c r="C139" s="277"/>
      <c r="D139" s="344"/>
      <c r="E139" s="298">
        <v>0.3</v>
      </c>
      <c r="F139" s="267" t="s">
        <v>39</v>
      </c>
      <c r="G139" s="339" t="s">
        <v>141</v>
      </c>
      <c r="H139" s="209"/>
      <c r="I139" s="268"/>
      <c r="J139" s="280">
        <f>'Harga Bahan'!D117</f>
        <v>20000</v>
      </c>
      <c r="K139" s="466">
        <f>ROUND(E139*J139,2)</f>
        <v>6000</v>
      </c>
    </row>
    <row r="140" spans="2:11" x14ac:dyDescent="0.45">
      <c r="B140" s="253"/>
      <c r="C140" s="277"/>
      <c r="D140" s="345"/>
      <c r="E140" s="360">
        <v>0.1</v>
      </c>
      <c r="F140" s="275" t="s">
        <v>132</v>
      </c>
      <c r="G140" s="351" t="s">
        <v>142</v>
      </c>
      <c r="H140" s="229"/>
      <c r="I140" s="277"/>
      <c r="J140" s="283">
        <f>'Harga Bahan'!D128</f>
        <v>14000</v>
      </c>
      <c r="K140" s="491">
        <f>+E140*J140</f>
        <v>1400</v>
      </c>
    </row>
    <row r="141" spans="2:11" x14ac:dyDescent="0.45">
      <c r="B141" s="273"/>
      <c r="C141" s="277"/>
      <c r="D141" s="279"/>
      <c r="E141" s="346"/>
      <c r="F141" s="207" t="s">
        <v>6</v>
      </c>
      <c r="G141" s="208" t="s">
        <v>111</v>
      </c>
      <c r="H141" s="209"/>
      <c r="I141" s="268"/>
      <c r="J141" s="236"/>
      <c r="K141" s="524"/>
    </row>
    <row r="142" spans="2:11" x14ac:dyDescent="0.45">
      <c r="B142" s="273"/>
      <c r="C142" s="277"/>
      <c r="D142" s="279"/>
      <c r="E142" s="346"/>
      <c r="F142" s="207" t="s">
        <v>112</v>
      </c>
      <c r="G142" s="208" t="s">
        <v>113</v>
      </c>
      <c r="H142" s="209"/>
      <c r="I142" s="268"/>
      <c r="J142" s="236"/>
      <c r="K142" s="465">
        <f>+K141+K137+K132</f>
        <v>135130</v>
      </c>
    </row>
    <row r="143" spans="2:11" x14ac:dyDescent="0.45">
      <c r="B143" s="273"/>
      <c r="C143" s="277"/>
      <c r="D143" s="343"/>
      <c r="E143" s="347"/>
      <c r="F143" s="239" t="s">
        <v>114</v>
      </c>
      <c r="G143" s="257" t="e">
        <f>#REF!</f>
        <v>#REF!</v>
      </c>
      <c r="H143" s="229"/>
      <c r="I143" s="355">
        <v>0.15</v>
      </c>
      <c r="J143" s="258"/>
      <c r="K143" s="513">
        <f>+I143*K142</f>
        <v>20269.5</v>
      </c>
    </row>
    <row r="144" spans="2:11" x14ac:dyDescent="0.45">
      <c r="B144" s="456"/>
      <c r="C144" s="263"/>
      <c r="D144" s="279"/>
      <c r="E144" s="346"/>
      <c r="F144" s="207" t="s">
        <v>115</v>
      </c>
      <c r="G144" s="208" t="s">
        <v>127</v>
      </c>
      <c r="H144" s="209"/>
      <c r="I144" s="268"/>
      <c r="J144" s="236"/>
      <c r="K144" s="465">
        <f>+K143+K142</f>
        <v>155399.5</v>
      </c>
    </row>
    <row r="145" spans="2:11" ht="15.5" x14ac:dyDescent="0.45">
      <c r="B145" s="470">
        <v>13</v>
      </c>
      <c r="C145" s="439" t="s">
        <v>47</v>
      </c>
      <c r="D145" s="478"/>
      <c r="E145" s="452">
        <v>1</v>
      </c>
      <c r="F145" s="478" t="s">
        <v>30</v>
      </c>
      <c r="G145" s="493" t="s">
        <v>92</v>
      </c>
      <c r="H145" s="458"/>
      <c r="I145" s="458"/>
      <c r="J145" s="526"/>
      <c r="K145" s="489">
        <f>+K158</f>
        <v>165749.5</v>
      </c>
    </row>
    <row r="146" spans="2:11" x14ac:dyDescent="0.45">
      <c r="B146" s="404"/>
      <c r="C146" s="307"/>
      <c r="D146" s="230"/>
      <c r="E146" s="359"/>
      <c r="F146" s="207" t="s">
        <v>4</v>
      </c>
      <c r="G146" s="231" t="s">
        <v>120</v>
      </c>
      <c r="H146" s="209"/>
      <c r="I146" s="209"/>
      <c r="J146" s="280"/>
      <c r="K146" s="465">
        <f>SUM(K147:K150)</f>
        <v>67730</v>
      </c>
    </row>
    <row r="147" spans="2:11" ht="15.5" x14ac:dyDescent="0.45">
      <c r="B147" s="253"/>
      <c r="C147" s="277"/>
      <c r="D147" s="211" t="s">
        <v>107</v>
      </c>
      <c r="E147" s="222">
        <v>0.52</v>
      </c>
      <c r="F147" s="211" t="s">
        <v>108</v>
      </c>
      <c r="G147" s="209" t="s">
        <v>51</v>
      </c>
      <c r="H147" s="209"/>
      <c r="I147" s="209"/>
      <c r="J147" s="280">
        <f>'Analisa Upah'!F5</f>
        <v>75000</v>
      </c>
      <c r="K147" s="466">
        <f>ROUND(E147*J147,2)</f>
        <v>39000</v>
      </c>
    </row>
    <row r="148" spans="2:11" ht="15.5" x14ac:dyDescent="0.45">
      <c r="B148" s="253"/>
      <c r="C148" s="277"/>
      <c r="D148" s="211" t="s">
        <v>121</v>
      </c>
      <c r="E148" s="222">
        <v>0.26</v>
      </c>
      <c r="F148" s="211" t="s">
        <v>108</v>
      </c>
      <c r="G148" s="209" t="s">
        <v>56</v>
      </c>
      <c r="H148" s="209"/>
      <c r="I148" s="209"/>
      <c r="J148" s="280">
        <f>'Analisa Upah'!F6</f>
        <v>90000</v>
      </c>
      <c r="K148" s="466">
        <f>ROUND(E148*J148,2)</f>
        <v>23400</v>
      </c>
    </row>
    <row r="149" spans="2:11" ht="15.5" x14ac:dyDescent="0.45">
      <c r="B149" s="253"/>
      <c r="C149" s="277"/>
      <c r="D149" s="211" t="s">
        <v>122</v>
      </c>
      <c r="E149" s="299">
        <v>2.5999999999999999E-2</v>
      </c>
      <c r="F149" s="211" t="s">
        <v>108</v>
      </c>
      <c r="G149" s="209" t="s">
        <v>123</v>
      </c>
      <c r="H149" s="209"/>
      <c r="I149" s="209"/>
      <c r="J149" s="280">
        <f>'Analisa Upah'!F11</f>
        <v>95000</v>
      </c>
      <c r="K149" s="466">
        <f>ROUND(E149*J149,2)</f>
        <v>2470</v>
      </c>
    </row>
    <row r="150" spans="2:11" ht="15.5" x14ac:dyDescent="0.45">
      <c r="B150" s="253"/>
      <c r="C150" s="277"/>
      <c r="D150" s="253" t="s">
        <v>109</v>
      </c>
      <c r="E150" s="300">
        <v>2.5999999999999999E-2</v>
      </c>
      <c r="F150" s="253" t="s">
        <v>108</v>
      </c>
      <c r="G150" s="229" t="s">
        <v>52</v>
      </c>
      <c r="H150" s="229"/>
      <c r="I150" s="229"/>
      <c r="J150" s="283">
        <f>'Analisa Upah'!F12</f>
        <v>110000</v>
      </c>
      <c r="K150" s="523">
        <f>ROUND(E150*J150,2)</f>
        <v>2860</v>
      </c>
    </row>
    <row r="151" spans="2:11" x14ac:dyDescent="0.45">
      <c r="B151" s="253"/>
      <c r="C151" s="277"/>
      <c r="D151" s="230"/>
      <c r="E151" s="361"/>
      <c r="F151" s="207" t="s">
        <v>5</v>
      </c>
      <c r="G151" s="231" t="s">
        <v>139</v>
      </c>
      <c r="H151" s="209"/>
      <c r="I151" s="209"/>
      <c r="J151" s="280"/>
      <c r="K151" s="465">
        <f>SUM(K152:K154)</f>
        <v>76400</v>
      </c>
    </row>
    <row r="152" spans="2:11" x14ac:dyDescent="0.45">
      <c r="B152" s="253"/>
      <c r="C152" s="277"/>
      <c r="D152" s="230"/>
      <c r="E152" s="299">
        <v>2.3E-2</v>
      </c>
      <c r="F152" s="211" t="s">
        <v>65</v>
      </c>
      <c r="G152" s="209" t="s">
        <v>143</v>
      </c>
      <c r="H152" s="209"/>
      <c r="I152" s="209"/>
      <c r="J152" s="252">
        <f>'Harga Bahan'!D29</f>
        <v>3000000</v>
      </c>
      <c r="K152" s="466">
        <f>ROUND(E152*J152,2)</f>
        <v>69000</v>
      </c>
    </row>
    <row r="153" spans="2:11" x14ac:dyDescent="0.45">
      <c r="B153" s="253"/>
      <c r="C153" s="277"/>
      <c r="D153" s="230"/>
      <c r="E153" s="298">
        <v>0.3</v>
      </c>
      <c r="F153" s="211" t="s">
        <v>39</v>
      </c>
      <c r="G153" s="209" t="s">
        <v>141</v>
      </c>
      <c r="H153" s="209"/>
      <c r="I153" s="209"/>
      <c r="J153" s="280">
        <f>'Harga Bahan'!D117</f>
        <v>20000</v>
      </c>
      <c r="K153" s="466">
        <f>ROUND(E153*J153,2)</f>
        <v>6000</v>
      </c>
    </row>
    <row r="154" spans="2:11" x14ac:dyDescent="0.45">
      <c r="B154" s="253"/>
      <c r="C154" s="277"/>
      <c r="D154" s="238"/>
      <c r="E154" s="318">
        <v>0.1</v>
      </c>
      <c r="F154" s="253" t="s">
        <v>132</v>
      </c>
      <c r="G154" s="229" t="s">
        <v>142</v>
      </c>
      <c r="H154" s="229"/>
      <c r="I154" s="229"/>
      <c r="J154" s="283">
        <f>'Harga Bahan'!D128</f>
        <v>14000</v>
      </c>
      <c r="K154" s="523">
        <f>ROUND(E154*J154,2)</f>
        <v>1400</v>
      </c>
    </row>
    <row r="155" spans="2:11" x14ac:dyDescent="0.45">
      <c r="B155" s="273"/>
      <c r="C155" s="277"/>
      <c r="D155" s="211"/>
      <c r="E155" s="346"/>
      <c r="F155" s="207" t="s">
        <v>6</v>
      </c>
      <c r="G155" s="208" t="s">
        <v>111</v>
      </c>
      <c r="H155" s="209"/>
      <c r="I155" s="209"/>
      <c r="J155" s="280"/>
      <c r="K155" s="524"/>
    </row>
    <row r="156" spans="2:11" x14ac:dyDescent="0.45">
      <c r="B156" s="273"/>
      <c r="C156" s="277"/>
      <c r="D156" s="211"/>
      <c r="E156" s="346"/>
      <c r="F156" s="207" t="s">
        <v>112</v>
      </c>
      <c r="G156" s="208" t="s">
        <v>113</v>
      </c>
      <c r="H156" s="209"/>
      <c r="I156" s="209"/>
      <c r="J156" s="280"/>
      <c r="K156" s="465">
        <f>+K155+K151+K146</f>
        <v>144130</v>
      </c>
    </row>
    <row r="157" spans="2:11" x14ac:dyDescent="0.45">
      <c r="B157" s="273"/>
      <c r="C157" s="277"/>
      <c r="D157" s="253"/>
      <c r="E157" s="347"/>
      <c r="F157" s="239" t="s">
        <v>114</v>
      </c>
      <c r="G157" s="257" t="e">
        <f>G143</f>
        <v>#REF!</v>
      </c>
      <c r="H157" s="229"/>
      <c r="I157" s="348">
        <v>0.15</v>
      </c>
      <c r="J157" s="349"/>
      <c r="K157" s="513">
        <f>+I157*K156</f>
        <v>21619.5</v>
      </c>
    </row>
    <row r="158" spans="2:11" x14ac:dyDescent="0.45">
      <c r="B158" s="456"/>
      <c r="C158" s="263"/>
      <c r="D158" s="211"/>
      <c r="E158" s="346"/>
      <c r="F158" s="207" t="s">
        <v>115</v>
      </c>
      <c r="G158" s="208" t="s">
        <v>127</v>
      </c>
      <c r="H158" s="209"/>
      <c r="I158" s="209"/>
      <c r="J158" s="280"/>
      <c r="K158" s="465">
        <f>+K157+K156</f>
        <v>165749.5</v>
      </c>
    </row>
    <row r="159" spans="2:11" ht="15.5" x14ac:dyDescent="0.45">
      <c r="B159" s="470">
        <v>14</v>
      </c>
      <c r="C159" s="439" t="s">
        <v>46</v>
      </c>
      <c r="D159" s="477"/>
      <c r="E159" s="452">
        <v>1</v>
      </c>
      <c r="F159" s="478" t="s">
        <v>30</v>
      </c>
      <c r="G159" s="493" t="s">
        <v>93</v>
      </c>
      <c r="H159" s="458"/>
      <c r="I159" s="458"/>
      <c r="J159" s="526"/>
      <c r="K159" s="489">
        <f>+K175</f>
        <v>399067.25</v>
      </c>
    </row>
    <row r="160" spans="2:11" x14ac:dyDescent="0.45">
      <c r="B160" s="404"/>
      <c r="C160" s="307"/>
      <c r="D160" s="344"/>
      <c r="E160" s="359"/>
      <c r="F160" s="207" t="s">
        <v>4</v>
      </c>
      <c r="G160" s="231" t="s">
        <v>120</v>
      </c>
      <c r="H160" s="209"/>
      <c r="I160" s="209"/>
      <c r="J160" s="280"/>
      <c r="K160" s="465">
        <f>SUM(K161:K164)</f>
        <v>85965</v>
      </c>
    </row>
    <row r="161" spans="2:11" ht="15.5" x14ac:dyDescent="0.45">
      <c r="B161" s="253"/>
      <c r="C161" s="277"/>
      <c r="D161" s="279" t="s">
        <v>107</v>
      </c>
      <c r="E161" s="222">
        <v>0.66</v>
      </c>
      <c r="F161" s="211" t="s">
        <v>108</v>
      </c>
      <c r="G161" s="209" t="s">
        <v>51</v>
      </c>
      <c r="H161" s="209"/>
      <c r="I161" s="209"/>
      <c r="J161" s="280">
        <f>'Analisa Upah'!F5</f>
        <v>75000</v>
      </c>
      <c r="K161" s="466">
        <f>ROUND(E161*J161,2)</f>
        <v>49500</v>
      </c>
    </row>
    <row r="162" spans="2:11" ht="15.5" x14ac:dyDescent="0.45">
      <c r="B162" s="253"/>
      <c r="C162" s="277"/>
      <c r="D162" s="279" t="s">
        <v>121</v>
      </c>
      <c r="E162" s="222">
        <v>0.33</v>
      </c>
      <c r="F162" s="211" t="s">
        <v>108</v>
      </c>
      <c r="G162" s="209" t="s">
        <v>56</v>
      </c>
      <c r="H162" s="209"/>
      <c r="I162" s="209"/>
      <c r="J162" s="280">
        <f>'Analisa Upah'!F6</f>
        <v>90000</v>
      </c>
      <c r="K162" s="466">
        <f>ROUND(E162*J162,2)</f>
        <v>29700</v>
      </c>
    </row>
    <row r="163" spans="2:11" ht="15.5" x14ac:dyDescent="0.45">
      <c r="B163" s="253"/>
      <c r="C163" s="277"/>
      <c r="D163" s="279" t="s">
        <v>122</v>
      </c>
      <c r="E163" s="299">
        <v>3.3000000000000002E-2</v>
      </c>
      <c r="F163" s="211" t="s">
        <v>108</v>
      </c>
      <c r="G163" s="209" t="s">
        <v>123</v>
      </c>
      <c r="H163" s="209"/>
      <c r="I163" s="209"/>
      <c r="J163" s="280">
        <f>'Analisa Upah'!F11</f>
        <v>95000</v>
      </c>
      <c r="K163" s="466">
        <f>ROUND(E163*J163,2)</f>
        <v>3135</v>
      </c>
    </row>
    <row r="164" spans="2:11" ht="15.5" x14ac:dyDescent="0.45">
      <c r="B164" s="253"/>
      <c r="C164" s="277"/>
      <c r="D164" s="343" t="s">
        <v>109</v>
      </c>
      <c r="E164" s="300">
        <v>3.3000000000000002E-2</v>
      </c>
      <c r="F164" s="253" t="s">
        <v>108</v>
      </c>
      <c r="G164" s="229" t="s">
        <v>52</v>
      </c>
      <c r="H164" s="229"/>
      <c r="I164" s="229"/>
      <c r="J164" s="283">
        <f>'Analisa Upah'!F12</f>
        <v>110000</v>
      </c>
      <c r="K164" s="523">
        <f>ROUND(E164*J164,2)</f>
        <v>3630</v>
      </c>
    </row>
    <row r="165" spans="2:11" x14ac:dyDescent="0.45">
      <c r="B165" s="253"/>
      <c r="C165" s="277"/>
      <c r="D165" s="344"/>
      <c r="E165" s="361"/>
      <c r="F165" s="207" t="s">
        <v>5</v>
      </c>
      <c r="G165" s="231" t="s">
        <v>139</v>
      </c>
      <c r="H165" s="209"/>
      <c r="I165" s="209"/>
      <c r="J165" s="280"/>
      <c r="K165" s="465">
        <f>SUM(K166:K171)</f>
        <v>261050</v>
      </c>
    </row>
    <row r="166" spans="2:11" x14ac:dyDescent="0.45">
      <c r="B166" s="253"/>
      <c r="C166" s="277"/>
      <c r="D166" s="344"/>
      <c r="E166" s="222">
        <v>0.04</v>
      </c>
      <c r="F166" s="362" t="s">
        <v>65</v>
      </c>
      <c r="G166" s="363" t="s">
        <v>143</v>
      </c>
      <c r="H166" s="267"/>
      <c r="I166" s="267"/>
      <c r="J166" s="252">
        <f>'Harga Bahan'!D29</f>
        <v>3000000</v>
      </c>
      <c r="K166" s="466">
        <f t="shared" ref="K166:K171" si="1">ROUND(E166*J166,2)</f>
        <v>120000</v>
      </c>
    </row>
    <row r="167" spans="2:11" x14ac:dyDescent="0.45">
      <c r="B167" s="253"/>
      <c r="C167" s="277"/>
      <c r="D167" s="344"/>
      <c r="E167" s="298">
        <v>0.4</v>
      </c>
      <c r="F167" s="211" t="s">
        <v>39</v>
      </c>
      <c r="G167" s="209" t="s">
        <v>141</v>
      </c>
      <c r="H167" s="209"/>
      <c r="I167" s="209"/>
      <c r="J167" s="280">
        <f>'Harga Bahan'!D117</f>
        <v>20000</v>
      </c>
      <c r="K167" s="466">
        <f t="shared" si="1"/>
        <v>8000</v>
      </c>
    </row>
    <row r="168" spans="2:11" x14ac:dyDescent="0.45">
      <c r="B168" s="253"/>
      <c r="C168" s="277"/>
      <c r="D168" s="344"/>
      <c r="E168" s="298">
        <v>0.2</v>
      </c>
      <c r="F168" s="211" t="s">
        <v>132</v>
      </c>
      <c r="G168" s="209" t="s">
        <v>142</v>
      </c>
      <c r="H168" s="209"/>
      <c r="I168" s="209"/>
      <c r="J168" s="280">
        <f>'Harga Bahan'!D128</f>
        <v>14000</v>
      </c>
      <c r="K168" s="466">
        <f t="shared" si="1"/>
        <v>2800</v>
      </c>
    </row>
    <row r="169" spans="2:11" x14ac:dyDescent="0.45">
      <c r="B169" s="253"/>
      <c r="C169" s="277"/>
      <c r="D169" s="344"/>
      <c r="E169" s="364">
        <v>1.4999999999999999E-2</v>
      </c>
      <c r="F169" s="211" t="s">
        <v>65</v>
      </c>
      <c r="G169" s="209" t="s">
        <v>152</v>
      </c>
      <c r="H169" s="209"/>
      <c r="I169" s="209"/>
      <c r="J169" s="252">
        <f>'Harga Bahan'!D28</f>
        <v>3000000</v>
      </c>
      <c r="K169" s="466">
        <f t="shared" si="1"/>
        <v>45000</v>
      </c>
    </row>
    <row r="170" spans="2:11" x14ac:dyDescent="0.45">
      <c r="B170" s="253"/>
      <c r="C170" s="277"/>
      <c r="D170" s="344"/>
      <c r="E170" s="222">
        <v>0.35</v>
      </c>
      <c r="F170" s="211" t="s">
        <v>133</v>
      </c>
      <c r="G170" s="209" t="s">
        <v>144</v>
      </c>
      <c r="H170" s="209"/>
      <c r="I170" s="209"/>
      <c r="J170" s="280">
        <f>'Harga Bahan'!D75</f>
        <v>115000</v>
      </c>
      <c r="K170" s="466">
        <f t="shared" si="1"/>
        <v>40250</v>
      </c>
    </row>
    <row r="171" spans="2:11" x14ac:dyDescent="0.45">
      <c r="B171" s="253"/>
      <c r="C171" s="277"/>
      <c r="D171" s="345"/>
      <c r="E171" s="365">
        <v>2</v>
      </c>
      <c r="F171" s="253" t="s">
        <v>145</v>
      </c>
      <c r="G171" s="229" t="s">
        <v>170</v>
      </c>
      <c r="H171" s="229"/>
      <c r="I171" s="229"/>
      <c r="J171" s="349">
        <f>'Harga Bahan'!D31</f>
        <v>22500</v>
      </c>
      <c r="K171" s="466">
        <f t="shared" si="1"/>
        <v>45000</v>
      </c>
    </row>
    <row r="172" spans="2:11" x14ac:dyDescent="0.45">
      <c r="B172" s="273"/>
      <c r="C172" s="277"/>
      <c r="D172" s="279"/>
      <c r="E172" s="346"/>
      <c r="F172" s="207" t="s">
        <v>6</v>
      </c>
      <c r="G172" s="208" t="s">
        <v>111</v>
      </c>
      <c r="H172" s="209"/>
      <c r="I172" s="209"/>
      <c r="J172" s="280"/>
      <c r="K172" s="524"/>
    </row>
    <row r="173" spans="2:11" x14ac:dyDescent="0.45">
      <c r="B173" s="273"/>
      <c r="C173" s="277"/>
      <c r="D173" s="279"/>
      <c r="E173" s="346"/>
      <c r="F173" s="207" t="s">
        <v>112</v>
      </c>
      <c r="G173" s="208" t="s">
        <v>113</v>
      </c>
      <c r="H173" s="209"/>
      <c r="I173" s="209"/>
      <c r="J173" s="280"/>
      <c r="K173" s="465">
        <f>+K172+K165+K160</f>
        <v>347015</v>
      </c>
    </row>
    <row r="174" spans="2:11" x14ac:dyDescent="0.45">
      <c r="B174" s="273"/>
      <c r="C174" s="277"/>
      <c r="D174" s="343"/>
      <c r="E174" s="347"/>
      <c r="F174" s="239" t="s">
        <v>114</v>
      </c>
      <c r="G174" s="257" t="e">
        <f>G157</f>
        <v>#REF!</v>
      </c>
      <c r="H174" s="229"/>
      <c r="I174" s="348">
        <v>0.15</v>
      </c>
      <c r="J174" s="349"/>
      <c r="K174" s="513">
        <f>+I174*K173</f>
        <v>52052.25</v>
      </c>
    </row>
    <row r="175" spans="2:11" x14ac:dyDescent="0.45">
      <c r="B175" s="456"/>
      <c r="C175" s="263"/>
      <c r="D175" s="279"/>
      <c r="E175" s="346"/>
      <c r="F175" s="207" t="s">
        <v>115</v>
      </c>
      <c r="G175" s="208" t="s">
        <v>127</v>
      </c>
      <c r="H175" s="209"/>
      <c r="I175" s="209"/>
      <c r="J175" s="280"/>
      <c r="K175" s="465">
        <f>+K174+K173</f>
        <v>399067.25</v>
      </c>
    </row>
    <row r="176" spans="2:11" ht="15.5" x14ac:dyDescent="0.45">
      <c r="B176" s="470">
        <v>15</v>
      </c>
      <c r="C176" s="439" t="s">
        <v>48</v>
      </c>
      <c r="D176" s="477"/>
      <c r="E176" s="452">
        <v>1</v>
      </c>
      <c r="F176" s="478" t="s">
        <v>30</v>
      </c>
      <c r="G176" s="493" t="s">
        <v>146</v>
      </c>
      <c r="H176" s="458"/>
      <c r="I176" s="458"/>
      <c r="J176" s="526"/>
      <c r="K176" s="489">
        <f>+K192</f>
        <v>409417.25</v>
      </c>
    </row>
    <row r="177" spans="2:11" x14ac:dyDescent="0.45">
      <c r="B177" s="404"/>
      <c r="C177" s="307"/>
      <c r="D177" s="344"/>
      <c r="E177" s="359"/>
      <c r="F177" s="207" t="s">
        <v>4</v>
      </c>
      <c r="G177" s="231" t="s">
        <v>120</v>
      </c>
      <c r="H177" s="209"/>
      <c r="I177" s="209"/>
      <c r="J177" s="280"/>
      <c r="K177" s="465">
        <f>SUM(K178:K181)</f>
        <v>85965</v>
      </c>
    </row>
    <row r="178" spans="2:11" ht="15.5" x14ac:dyDescent="0.45">
      <c r="B178" s="253"/>
      <c r="C178" s="277"/>
      <c r="D178" s="279" t="s">
        <v>107</v>
      </c>
      <c r="E178" s="222">
        <v>0.66</v>
      </c>
      <c r="F178" s="211" t="s">
        <v>108</v>
      </c>
      <c r="G178" s="209" t="s">
        <v>51</v>
      </c>
      <c r="H178" s="209"/>
      <c r="I178" s="209"/>
      <c r="J178" s="280">
        <f>'Analisa Upah'!F5</f>
        <v>75000</v>
      </c>
      <c r="K178" s="466">
        <f>ROUND(E178*J178,2)</f>
        <v>49500</v>
      </c>
    </row>
    <row r="179" spans="2:11" ht="15.5" x14ac:dyDescent="0.45">
      <c r="B179" s="253"/>
      <c r="C179" s="277"/>
      <c r="D179" s="279" t="s">
        <v>121</v>
      </c>
      <c r="E179" s="222">
        <v>0.33</v>
      </c>
      <c r="F179" s="211" t="s">
        <v>108</v>
      </c>
      <c r="G179" s="209" t="s">
        <v>56</v>
      </c>
      <c r="H179" s="209"/>
      <c r="I179" s="209"/>
      <c r="J179" s="280">
        <f>'Analisa Upah'!F6</f>
        <v>90000</v>
      </c>
      <c r="K179" s="466">
        <f>ROUND(E179*J179,2)</f>
        <v>29700</v>
      </c>
    </row>
    <row r="180" spans="2:11" ht="15.5" x14ac:dyDescent="0.45">
      <c r="B180" s="253"/>
      <c r="C180" s="277"/>
      <c r="D180" s="279" t="s">
        <v>122</v>
      </c>
      <c r="E180" s="299">
        <v>3.3000000000000002E-2</v>
      </c>
      <c r="F180" s="211" t="s">
        <v>108</v>
      </c>
      <c r="G180" s="209" t="s">
        <v>123</v>
      </c>
      <c r="H180" s="209"/>
      <c r="I180" s="209"/>
      <c r="J180" s="280">
        <f>'Analisa Upah'!F11</f>
        <v>95000</v>
      </c>
      <c r="K180" s="466">
        <f>ROUND(E180*J180,2)</f>
        <v>3135</v>
      </c>
    </row>
    <row r="181" spans="2:11" ht="15.5" x14ac:dyDescent="0.45">
      <c r="B181" s="253"/>
      <c r="C181" s="277"/>
      <c r="D181" s="343" t="s">
        <v>109</v>
      </c>
      <c r="E181" s="300">
        <v>3.3000000000000002E-2</v>
      </c>
      <c r="F181" s="253" t="s">
        <v>108</v>
      </c>
      <c r="G181" s="229" t="s">
        <v>52</v>
      </c>
      <c r="H181" s="229"/>
      <c r="I181" s="229"/>
      <c r="J181" s="283">
        <f>'Analisa Upah'!F12</f>
        <v>110000</v>
      </c>
      <c r="K181" s="523">
        <f>ROUND(E181*J181,2)</f>
        <v>3630</v>
      </c>
    </row>
    <row r="182" spans="2:11" x14ac:dyDescent="0.45">
      <c r="B182" s="253"/>
      <c r="C182" s="277"/>
      <c r="D182" s="344"/>
      <c r="E182" s="361"/>
      <c r="F182" s="207" t="s">
        <v>5</v>
      </c>
      <c r="G182" s="231" t="s">
        <v>139</v>
      </c>
      <c r="H182" s="209"/>
      <c r="I182" s="209"/>
      <c r="J182" s="280"/>
      <c r="K182" s="465">
        <f>SUM(K183:K188)</f>
        <v>270050</v>
      </c>
    </row>
    <row r="183" spans="2:11" ht="15.5" x14ac:dyDescent="0.45">
      <c r="B183" s="253"/>
      <c r="C183" s="277"/>
      <c r="D183" s="339"/>
      <c r="E183" s="366">
        <v>0.04</v>
      </c>
      <c r="F183" s="362" t="s">
        <v>65</v>
      </c>
      <c r="G183" s="367" t="s">
        <v>143</v>
      </c>
      <c r="H183" s="209"/>
      <c r="I183" s="209"/>
      <c r="J183" s="252">
        <f>'Harga Bahan'!D29</f>
        <v>3000000</v>
      </c>
      <c r="K183" s="466">
        <f>+E183*J183</f>
        <v>120000</v>
      </c>
    </row>
    <row r="184" spans="2:11" x14ac:dyDescent="0.45">
      <c r="B184" s="253"/>
      <c r="C184" s="277"/>
      <c r="D184" s="344"/>
      <c r="E184" s="298">
        <v>0.4</v>
      </c>
      <c r="F184" s="211" t="s">
        <v>39</v>
      </c>
      <c r="G184" s="209" t="s">
        <v>141</v>
      </c>
      <c r="H184" s="209"/>
      <c r="I184" s="209"/>
      <c r="J184" s="280">
        <f>'Harga Bahan'!D117</f>
        <v>20000</v>
      </c>
      <c r="K184" s="466">
        <f t="shared" ref="K184:K188" si="2">+E184*J184</f>
        <v>8000</v>
      </c>
    </row>
    <row r="185" spans="2:11" x14ac:dyDescent="0.45">
      <c r="B185" s="253"/>
      <c r="C185" s="277"/>
      <c r="D185" s="344"/>
      <c r="E185" s="298">
        <v>0.2</v>
      </c>
      <c r="F185" s="211" t="s">
        <v>132</v>
      </c>
      <c r="G185" s="209" t="s">
        <v>142</v>
      </c>
      <c r="H185" s="209"/>
      <c r="I185" s="209"/>
      <c r="J185" s="280">
        <f>'Harga Bahan'!D128</f>
        <v>14000</v>
      </c>
      <c r="K185" s="466">
        <f t="shared" si="2"/>
        <v>2800</v>
      </c>
    </row>
    <row r="186" spans="2:11" x14ac:dyDescent="0.45">
      <c r="B186" s="253"/>
      <c r="C186" s="277"/>
      <c r="D186" s="344"/>
      <c r="E186" s="299">
        <v>1.7999999999999999E-2</v>
      </c>
      <c r="F186" s="211" t="s">
        <v>65</v>
      </c>
      <c r="G186" s="209" t="s">
        <v>152</v>
      </c>
      <c r="H186" s="209"/>
      <c r="I186" s="209"/>
      <c r="J186" s="252">
        <f>'Harga Bahan'!D28</f>
        <v>3000000</v>
      </c>
      <c r="K186" s="466">
        <f t="shared" si="2"/>
        <v>53999.999999999993</v>
      </c>
    </row>
    <row r="187" spans="2:11" x14ac:dyDescent="0.45">
      <c r="B187" s="253"/>
      <c r="C187" s="277"/>
      <c r="D187" s="344"/>
      <c r="E187" s="222">
        <v>0.35</v>
      </c>
      <c r="F187" s="211" t="s">
        <v>133</v>
      </c>
      <c r="G187" s="209" t="s">
        <v>147</v>
      </c>
      <c r="H187" s="209"/>
      <c r="I187" s="209"/>
      <c r="J187" s="280">
        <f>'Harga Bahan'!D75</f>
        <v>115000</v>
      </c>
      <c r="K187" s="466">
        <f t="shared" si="2"/>
        <v>40250</v>
      </c>
    </row>
    <row r="188" spans="2:11" x14ac:dyDescent="0.45">
      <c r="B188" s="253"/>
      <c r="C188" s="277"/>
      <c r="D188" s="345"/>
      <c r="E188" s="365">
        <v>2</v>
      </c>
      <c r="F188" s="253" t="s">
        <v>145</v>
      </c>
      <c r="G188" s="229" t="str">
        <f>G171</f>
        <v>Dolken Kayu Galam diameter 8 - 10 cm / 4 m</v>
      </c>
      <c r="H188" s="229"/>
      <c r="I188" s="229"/>
      <c r="J188" s="349">
        <f>'Harga Bahan'!D31</f>
        <v>22500</v>
      </c>
      <c r="K188" s="466">
        <f t="shared" si="2"/>
        <v>45000</v>
      </c>
    </row>
    <row r="189" spans="2:11" x14ac:dyDescent="0.45">
      <c r="B189" s="273"/>
      <c r="C189" s="277"/>
      <c r="D189" s="279"/>
      <c r="E189" s="346"/>
      <c r="F189" s="207" t="s">
        <v>6</v>
      </c>
      <c r="G189" s="208" t="s">
        <v>111</v>
      </c>
      <c r="H189" s="209"/>
      <c r="I189" s="209"/>
      <c r="J189" s="280"/>
      <c r="K189" s="524"/>
    </row>
    <row r="190" spans="2:11" x14ac:dyDescent="0.45">
      <c r="B190" s="273"/>
      <c r="C190" s="277"/>
      <c r="D190" s="279"/>
      <c r="E190" s="346"/>
      <c r="F190" s="207" t="s">
        <v>112</v>
      </c>
      <c r="G190" s="208" t="s">
        <v>113</v>
      </c>
      <c r="H190" s="209"/>
      <c r="I190" s="209"/>
      <c r="J190" s="280"/>
      <c r="K190" s="465">
        <f>+K189+K182+K177</f>
        <v>356015</v>
      </c>
    </row>
    <row r="191" spans="2:11" x14ac:dyDescent="0.45">
      <c r="B191" s="273"/>
      <c r="C191" s="277"/>
      <c r="D191" s="343"/>
      <c r="E191" s="347"/>
      <c r="F191" s="239" t="s">
        <v>114</v>
      </c>
      <c r="G191" s="257" t="e">
        <f>G174</f>
        <v>#REF!</v>
      </c>
      <c r="H191" s="229"/>
      <c r="I191" s="348">
        <v>0.15</v>
      </c>
      <c r="J191" s="349"/>
      <c r="K191" s="513">
        <f>+I191*K190</f>
        <v>53402.25</v>
      </c>
    </row>
    <row r="192" spans="2:11" x14ac:dyDescent="0.45">
      <c r="B192" s="273"/>
      <c r="C192" s="277"/>
      <c r="D192" s="514"/>
      <c r="E192" s="515"/>
      <c r="F192" s="387" t="s">
        <v>115</v>
      </c>
      <c r="G192" s="388" t="s">
        <v>127</v>
      </c>
      <c r="H192" s="306"/>
      <c r="I192" s="306"/>
      <c r="J192" s="516"/>
      <c r="K192" s="527">
        <f>+K191+K190</f>
        <v>409417.25</v>
      </c>
    </row>
    <row r="193" spans="2:11" ht="15.5" x14ac:dyDescent="0.45">
      <c r="B193" s="439">
        <v>16</v>
      </c>
      <c r="C193" s="439" t="s">
        <v>190</v>
      </c>
      <c r="D193" s="477"/>
      <c r="E193" s="452">
        <v>1</v>
      </c>
      <c r="F193" s="486" t="s">
        <v>31</v>
      </c>
      <c r="G193" s="487" t="s">
        <v>245</v>
      </c>
      <c r="H193" s="458"/>
      <c r="I193" s="506"/>
      <c r="J193" s="518"/>
      <c r="K193" s="488">
        <f>+K212</f>
        <v>78596.75</v>
      </c>
    </row>
    <row r="194" spans="2:11" x14ac:dyDescent="0.45">
      <c r="B194" s="404"/>
      <c r="C194" s="307"/>
      <c r="D194" s="344"/>
      <c r="E194" s="359"/>
      <c r="F194" s="207" t="s">
        <v>4</v>
      </c>
      <c r="G194" s="231" t="s">
        <v>120</v>
      </c>
      <c r="H194" s="209"/>
      <c r="I194" s="268"/>
      <c r="J194" s="237"/>
      <c r="K194" s="429">
        <f>SUM(K195:K200)</f>
        <v>20460</v>
      </c>
    </row>
    <row r="195" spans="2:11" ht="15.5" x14ac:dyDescent="0.45">
      <c r="B195" s="253"/>
      <c r="C195" s="277"/>
      <c r="D195" s="279" t="s">
        <v>107</v>
      </c>
      <c r="E195" s="222">
        <v>0.18</v>
      </c>
      <c r="F195" s="267" t="s">
        <v>108</v>
      </c>
      <c r="G195" s="339" t="s">
        <v>51</v>
      </c>
      <c r="H195" s="209"/>
      <c r="I195" s="268"/>
      <c r="J195" s="280">
        <f>'Analisa Upah'!F5</f>
        <v>75000</v>
      </c>
      <c r="K195" s="337">
        <f t="shared" ref="K195:K200" si="3">ROUND(E195*J195,2)</f>
        <v>13500</v>
      </c>
    </row>
    <row r="196" spans="2:11" ht="15.5" x14ac:dyDescent="0.45">
      <c r="B196" s="253"/>
      <c r="C196" s="277"/>
      <c r="D196" s="279" t="str">
        <f>D197</f>
        <v>L.02</v>
      </c>
      <c r="E196" s="222">
        <v>0.02</v>
      </c>
      <c r="F196" s="267" t="s">
        <v>108</v>
      </c>
      <c r="G196" s="339" t="s">
        <v>57</v>
      </c>
      <c r="H196" s="209"/>
      <c r="I196" s="268"/>
      <c r="J196" s="280">
        <f>'Analisa Upah'!F7</f>
        <v>90000</v>
      </c>
      <c r="K196" s="337">
        <f t="shared" si="3"/>
        <v>1800</v>
      </c>
    </row>
    <row r="197" spans="2:11" ht="15.5" x14ac:dyDescent="0.45">
      <c r="B197" s="253"/>
      <c r="C197" s="277"/>
      <c r="D197" s="279" t="s">
        <v>121</v>
      </c>
      <c r="E197" s="222">
        <v>0.02</v>
      </c>
      <c r="F197" s="267" t="s">
        <v>108</v>
      </c>
      <c r="G197" s="339" t="s">
        <v>56</v>
      </c>
      <c r="H197" s="209"/>
      <c r="I197" s="268"/>
      <c r="J197" s="280">
        <f>'Analisa Upah'!F6</f>
        <v>90000</v>
      </c>
      <c r="K197" s="337">
        <f t="shared" si="3"/>
        <v>1800</v>
      </c>
    </row>
    <row r="198" spans="2:11" ht="15.5" x14ac:dyDescent="0.45">
      <c r="B198" s="253"/>
      <c r="C198" s="277"/>
      <c r="D198" s="279" t="str">
        <f>D197</f>
        <v>L.02</v>
      </c>
      <c r="E198" s="222">
        <v>0.02</v>
      </c>
      <c r="F198" s="267" t="s">
        <v>108</v>
      </c>
      <c r="G198" s="339" t="s">
        <v>58</v>
      </c>
      <c r="H198" s="209"/>
      <c r="I198" s="268"/>
      <c r="J198" s="280">
        <f>'Analisa Upah'!F8</f>
        <v>90000</v>
      </c>
      <c r="K198" s="337">
        <f t="shared" si="3"/>
        <v>1800</v>
      </c>
    </row>
    <row r="199" spans="2:11" ht="15.5" x14ac:dyDescent="0.45">
      <c r="B199" s="253"/>
      <c r="C199" s="277"/>
      <c r="D199" s="279" t="s">
        <v>122</v>
      </c>
      <c r="E199" s="299">
        <v>6.0000000000000001E-3</v>
      </c>
      <c r="F199" s="267" t="s">
        <v>108</v>
      </c>
      <c r="G199" s="339" t="s">
        <v>123</v>
      </c>
      <c r="H199" s="209"/>
      <c r="I199" s="268"/>
      <c r="J199" s="280">
        <f>'Analisa Upah'!F11</f>
        <v>95000</v>
      </c>
      <c r="K199" s="337">
        <f t="shared" si="3"/>
        <v>570</v>
      </c>
    </row>
    <row r="200" spans="2:11" ht="15.5" x14ac:dyDescent="0.45">
      <c r="B200" s="253"/>
      <c r="C200" s="277"/>
      <c r="D200" s="343" t="s">
        <v>109</v>
      </c>
      <c r="E200" s="358">
        <v>8.9999999999999993E-3</v>
      </c>
      <c r="F200" s="275" t="s">
        <v>108</v>
      </c>
      <c r="G200" s="351" t="s">
        <v>52</v>
      </c>
      <c r="H200" s="229"/>
      <c r="I200" s="277"/>
      <c r="J200" s="283">
        <f>'Analisa Upah'!F12</f>
        <v>110000</v>
      </c>
      <c r="K200" s="517">
        <f t="shared" si="3"/>
        <v>990</v>
      </c>
    </row>
    <row r="201" spans="2:11" x14ac:dyDescent="0.45">
      <c r="B201" s="253"/>
      <c r="C201" s="277"/>
      <c r="D201" s="344"/>
      <c r="E201" s="361"/>
      <c r="F201" s="285" t="s">
        <v>5</v>
      </c>
      <c r="G201" s="353" t="s">
        <v>139</v>
      </c>
      <c r="H201" s="209"/>
      <c r="I201" s="268"/>
      <c r="J201" s="237"/>
      <c r="K201" s="429">
        <f>SUM(K202:K208)</f>
        <v>47885</v>
      </c>
    </row>
    <row r="202" spans="2:11" x14ac:dyDescent="0.45">
      <c r="B202" s="253"/>
      <c r="C202" s="277"/>
      <c r="D202" s="344"/>
      <c r="E202" s="299">
        <v>2E-3</v>
      </c>
      <c r="F202" s="267" t="s">
        <v>65</v>
      </c>
      <c r="G202" s="339" t="s">
        <v>140</v>
      </c>
      <c r="H202" s="209"/>
      <c r="I202" s="268"/>
      <c r="J202" s="280">
        <f>J183</f>
        <v>3000000</v>
      </c>
      <c r="K202" s="337">
        <f t="shared" ref="K202:K208" si="4">+E202*J202</f>
        <v>6000</v>
      </c>
    </row>
    <row r="203" spans="2:11" x14ac:dyDescent="0.45">
      <c r="B203" s="253"/>
      <c r="C203" s="277"/>
      <c r="D203" s="344"/>
      <c r="E203" s="222">
        <v>0.01</v>
      </c>
      <c r="F203" s="267" t="s">
        <v>39</v>
      </c>
      <c r="G203" s="339" t="s">
        <v>148</v>
      </c>
      <c r="H203" s="209"/>
      <c r="I203" s="268"/>
      <c r="J203" s="280">
        <f>J184</f>
        <v>20000</v>
      </c>
      <c r="K203" s="337">
        <f t="shared" si="4"/>
        <v>200</v>
      </c>
    </row>
    <row r="204" spans="2:11" x14ac:dyDescent="0.45">
      <c r="B204" s="253"/>
      <c r="C204" s="277"/>
      <c r="D204" s="344"/>
      <c r="E204" s="280">
        <v>3</v>
      </c>
      <c r="F204" s="211" t="s">
        <v>39</v>
      </c>
      <c r="G204" s="209" t="s">
        <v>149</v>
      </c>
      <c r="H204" s="209"/>
      <c r="I204" s="268"/>
      <c r="J204" s="252">
        <f>'Harga Bahan'!D48</f>
        <v>10500</v>
      </c>
      <c r="K204" s="337">
        <f t="shared" si="4"/>
        <v>31500</v>
      </c>
    </row>
    <row r="205" spans="2:11" x14ac:dyDescent="0.45">
      <c r="B205" s="253"/>
      <c r="C205" s="277"/>
      <c r="D205" s="344"/>
      <c r="E205" s="299">
        <v>4.4999999999999998E-2</v>
      </c>
      <c r="F205" s="267" t="s">
        <v>39</v>
      </c>
      <c r="G205" s="339" t="s">
        <v>137</v>
      </c>
      <c r="H205" s="209"/>
      <c r="I205" s="268"/>
      <c r="J205" s="280">
        <f>'Harga Bahan'!D51</f>
        <v>18000</v>
      </c>
      <c r="K205" s="337">
        <f t="shared" si="4"/>
        <v>810</v>
      </c>
    </row>
    <row r="206" spans="2:11" x14ac:dyDescent="0.45">
      <c r="B206" s="253"/>
      <c r="C206" s="277"/>
      <c r="D206" s="344"/>
      <c r="E206" s="280">
        <v>4</v>
      </c>
      <c r="F206" s="267" t="s">
        <v>39</v>
      </c>
      <c r="G206" s="339" t="s">
        <v>129</v>
      </c>
      <c r="H206" s="209"/>
      <c r="I206" s="268"/>
      <c r="J206" s="280">
        <f>'Harga Bahan'!E11</f>
        <v>1125</v>
      </c>
      <c r="K206" s="337">
        <f t="shared" si="4"/>
        <v>4500</v>
      </c>
    </row>
    <row r="207" spans="2:11" x14ac:dyDescent="0.45">
      <c r="B207" s="253"/>
      <c r="C207" s="277"/>
      <c r="D207" s="344"/>
      <c r="E207" s="299">
        <v>6.0000000000000001E-3</v>
      </c>
      <c r="F207" s="267" t="s">
        <v>65</v>
      </c>
      <c r="G207" s="339" t="s">
        <v>150</v>
      </c>
      <c r="H207" s="209"/>
      <c r="I207" s="268"/>
      <c r="J207" s="280">
        <f>'Harga Bahan'!D9</f>
        <v>325000</v>
      </c>
      <c r="K207" s="337">
        <f t="shared" si="4"/>
        <v>1950</v>
      </c>
    </row>
    <row r="208" spans="2:11" x14ac:dyDescent="0.45">
      <c r="B208" s="253"/>
      <c r="C208" s="277"/>
      <c r="D208" s="371"/>
      <c r="E208" s="303">
        <v>8.9999999999999993E-3</v>
      </c>
      <c r="F208" s="372" t="s">
        <v>65</v>
      </c>
      <c r="G208" s="373" t="s">
        <v>151</v>
      </c>
      <c r="H208" s="374"/>
      <c r="I208" s="375"/>
      <c r="J208" s="376">
        <f>'Harga Bahan'!D7</f>
        <v>325000</v>
      </c>
      <c r="K208" s="517">
        <f t="shared" si="4"/>
        <v>2925</v>
      </c>
    </row>
    <row r="209" spans="2:11" x14ac:dyDescent="0.45">
      <c r="B209" s="273"/>
      <c r="C209" s="277"/>
      <c r="D209" s="279"/>
      <c r="E209" s="346"/>
      <c r="F209" s="207" t="s">
        <v>6</v>
      </c>
      <c r="G209" s="208" t="s">
        <v>111</v>
      </c>
      <c r="H209" s="209"/>
      <c r="I209" s="268"/>
      <c r="J209" s="209"/>
      <c r="K209" s="352"/>
    </row>
    <row r="210" spans="2:11" x14ac:dyDescent="0.45">
      <c r="B210" s="273"/>
      <c r="C210" s="277"/>
      <c r="D210" s="279"/>
      <c r="E210" s="346"/>
      <c r="F210" s="207" t="s">
        <v>112</v>
      </c>
      <c r="G210" s="208" t="s">
        <v>113</v>
      </c>
      <c r="H210" s="209"/>
      <c r="I210" s="268"/>
      <c r="J210" s="209"/>
      <c r="K210" s="429">
        <f>+K209+K201+K194</f>
        <v>68345</v>
      </c>
    </row>
    <row r="211" spans="2:11" x14ac:dyDescent="0.45">
      <c r="B211" s="273"/>
      <c r="C211" s="277"/>
      <c r="D211" s="343"/>
      <c r="E211" s="347"/>
      <c r="F211" s="239" t="s">
        <v>114</v>
      </c>
      <c r="G211" s="257" t="s">
        <v>166</v>
      </c>
      <c r="H211" s="229"/>
      <c r="I211" s="355">
        <v>0.15</v>
      </c>
      <c r="J211" s="229"/>
      <c r="K211" s="453">
        <f>+I211*K210</f>
        <v>10251.75</v>
      </c>
    </row>
    <row r="212" spans="2:11" x14ac:dyDescent="0.45">
      <c r="B212" s="456"/>
      <c r="C212" s="263"/>
      <c r="D212" s="279"/>
      <c r="E212" s="346"/>
      <c r="F212" s="207" t="s">
        <v>115</v>
      </c>
      <c r="G212" s="208" t="s">
        <v>127</v>
      </c>
      <c r="H212" s="209"/>
      <c r="I212" s="268"/>
      <c r="J212" s="209"/>
      <c r="K212" s="429">
        <f>+K211+K210</f>
        <v>78596.75</v>
      </c>
    </row>
    <row r="213" spans="2:11" ht="15.5" x14ac:dyDescent="0.45">
      <c r="B213" s="439">
        <v>17</v>
      </c>
      <c r="C213" s="439" t="s">
        <v>28</v>
      </c>
      <c r="D213" s="477"/>
      <c r="E213" s="452">
        <v>1</v>
      </c>
      <c r="F213" s="486" t="s">
        <v>31</v>
      </c>
      <c r="G213" s="487" t="s">
        <v>94</v>
      </c>
      <c r="H213" s="458"/>
      <c r="I213" s="506"/>
      <c r="J213" s="518"/>
      <c r="K213" s="489">
        <f>+K232</f>
        <v>110253.375</v>
      </c>
    </row>
    <row r="214" spans="2:11" x14ac:dyDescent="0.45">
      <c r="B214" s="404"/>
      <c r="C214" s="307"/>
      <c r="D214" s="344"/>
      <c r="E214" s="359"/>
      <c r="F214" s="207" t="s">
        <v>4</v>
      </c>
      <c r="G214" s="231" t="s">
        <v>120</v>
      </c>
      <c r="H214" s="209"/>
      <c r="I214" s="268"/>
      <c r="J214" s="237"/>
      <c r="K214" s="465">
        <f>SUM(K215:K220)</f>
        <v>33785</v>
      </c>
    </row>
    <row r="215" spans="2:11" ht="15.5" x14ac:dyDescent="0.45">
      <c r="B215" s="253"/>
      <c r="C215" s="277"/>
      <c r="D215" s="279" t="s">
        <v>107</v>
      </c>
      <c r="E215" s="299">
        <v>0.29699999999999999</v>
      </c>
      <c r="F215" s="267" t="s">
        <v>108</v>
      </c>
      <c r="G215" s="339" t="s">
        <v>51</v>
      </c>
      <c r="H215" s="209"/>
      <c r="I215" s="268"/>
      <c r="J215" s="280">
        <f>J195</f>
        <v>75000</v>
      </c>
      <c r="K215" s="466">
        <f t="shared" ref="K215:K220" si="5">ROUND(E215*J215,2)</f>
        <v>22275</v>
      </c>
    </row>
    <row r="216" spans="2:11" ht="15.5" x14ac:dyDescent="0.45">
      <c r="B216" s="253"/>
      <c r="C216" s="277"/>
      <c r="D216" s="279" t="str">
        <f>D217</f>
        <v>L.02</v>
      </c>
      <c r="E216" s="299">
        <v>3.3000000000000002E-2</v>
      </c>
      <c r="F216" s="267" t="s">
        <v>108</v>
      </c>
      <c r="G216" s="339" t="s">
        <v>57</v>
      </c>
      <c r="H216" s="209"/>
      <c r="I216" s="268"/>
      <c r="J216" s="280">
        <f t="shared" ref="J216:J220" si="6">J196</f>
        <v>90000</v>
      </c>
      <c r="K216" s="466">
        <f t="shared" si="5"/>
        <v>2970</v>
      </c>
    </row>
    <row r="217" spans="2:11" ht="15.5" x14ac:dyDescent="0.45">
      <c r="B217" s="253"/>
      <c r="C217" s="277"/>
      <c r="D217" s="279" t="s">
        <v>121</v>
      </c>
      <c r="E217" s="299">
        <v>3.3000000000000002E-2</v>
      </c>
      <c r="F217" s="267" t="s">
        <v>108</v>
      </c>
      <c r="G217" s="339" t="s">
        <v>56</v>
      </c>
      <c r="H217" s="209"/>
      <c r="I217" s="268"/>
      <c r="J217" s="280">
        <f t="shared" si="6"/>
        <v>90000</v>
      </c>
      <c r="K217" s="466">
        <f t="shared" si="5"/>
        <v>2970</v>
      </c>
    </row>
    <row r="218" spans="2:11" ht="15.5" x14ac:dyDescent="0.45">
      <c r="B218" s="253"/>
      <c r="C218" s="277"/>
      <c r="D218" s="279" t="str">
        <f>D217</f>
        <v>L.02</v>
      </c>
      <c r="E218" s="299">
        <v>3.3000000000000002E-2</v>
      </c>
      <c r="F218" s="267" t="s">
        <v>108</v>
      </c>
      <c r="G218" s="339" t="s">
        <v>58</v>
      </c>
      <c r="H218" s="209"/>
      <c r="I218" s="268"/>
      <c r="J218" s="280">
        <f t="shared" si="6"/>
        <v>90000</v>
      </c>
      <c r="K218" s="466">
        <f t="shared" si="5"/>
        <v>2970</v>
      </c>
    </row>
    <row r="219" spans="2:11" ht="15.5" x14ac:dyDescent="0.45">
      <c r="B219" s="253"/>
      <c r="C219" s="277"/>
      <c r="D219" s="279" t="s">
        <v>122</v>
      </c>
      <c r="E219" s="222">
        <v>0.01</v>
      </c>
      <c r="F219" s="267" t="s">
        <v>108</v>
      </c>
      <c r="G219" s="339" t="s">
        <v>123</v>
      </c>
      <c r="H219" s="209"/>
      <c r="I219" s="268"/>
      <c r="J219" s="280">
        <f t="shared" si="6"/>
        <v>95000</v>
      </c>
      <c r="K219" s="466">
        <f t="shared" si="5"/>
        <v>950</v>
      </c>
    </row>
    <row r="220" spans="2:11" ht="15.5" x14ac:dyDescent="0.45">
      <c r="B220" s="253"/>
      <c r="C220" s="277"/>
      <c r="D220" s="343" t="s">
        <v>109</v>
      </c>
      <c r="E220" s="358">
        <v>1.4999999999999999E-2</v>
      </c>
      <c r="F220" s="275" t="s">
        <v>108</v>
      </c>
      <c r="G220" s="351" t="s">
        <v>52</v>
      </c>
      <c r="H220" s="229"/>
      <c r="I220" s="277"/>
      <c r="J220" s="280">
        <f t="shared" si="6"/>
        <v>110000</v>
      </c>
      <c r="K220" s="523">
        <f t="shared" si="5"/>
        <v>1650</v>
      </c>
    </row>
    <row r="221" spans="2:11" x14ac:dyDescent="0.45">
      <c r="B221" s="253"/>
      <c r="C221" s="277"/>
      <c r="D221" s="344"/>
      <c r="E221" s="361"/>
      <c r="F221" s="285" t="s">
        <v>5</v>
      </c>
      <c r="G221" s="353" t="s">
        <v>139</v>
      </c>
      <c r="H221" s="209"/>
      <c r="I221" s="268"/>
      <c r="J221" s="237"/>
      <c r="K221" s="465">
        <f>SUM(K222:K228)</f>
        <v>62087.5</v>
      </c>
    </row>
    <row r="222" spans="2:11" x14ac:dyDescent="0.45">
      <c r="B222" s="253"/>
      <c r="C222" s="277"/>
      <c r="D222" s="344"/>
      <c r="E222" s="299">
        <v>3.0000000000000001E-3</v>
      </c>
      <c r="F222" s="267" t="s">
        <v>65</v>
      </c>
      <c r="G222" s="339" t="s">
        <v>140</v>
      </c>
      <c r="H222" s="209"/>
      <c r="I222" s="268"/>
      <c r="J222" s="280">
        <f>J202</f>
        <v>3000000</v>
      </c>
      <c r="K222" s="466">
        <f t="shared" ref="K222:K228" si="7">+E222*J222</f>
        <v>9000</v>
      </c>
    </row>
    <row r="223" spans="2:11" x14ac:dyDescent="0.45">
      <c r="B223" s="253"/>
      <c r="C223" s="277"/>
      <c r="D223" s="344"/>
      <c r="E223" s="222">
        <v>0.02</v>
      </c>
      <c r="F223" s="267" t="s">
        <v>39</v>
      </c>
      <c r="G223" s="339" t="s">
        <v>148</v>
      </c>
      <c r="H223" s="209"/>
      <c r="I223" s="268"/>
      <c r="J223" s="280">
        <f t="shared" ref="J223:J228" si="8">J203</f>
        <v>20000</v>
      </c>
      <c r="K223" s="466">
        <f t="shared" si="7"/>
        <v>400</v>
      </c>
    </row>
    <row r="224" spans="2:11" x14ac:dyDescent="0.45">
      <c r="B224" s="253"/>
      <c r="C224" s="277"/>
      <c r="D224" s="344"/>
      <c r="E224" s="298">
        <v>3.6</v>
      </c>
      <c r="F224" s="211" t="s">
        <v>39</v>
      </c>
      <c r="G224" s="209" t="s">
        <v>149</v>
      </c>
      <c r="H224" s="209"/>
      <c r="I224" s="268"/>
      <c r="J224" s="280">
        <f t="shared" si="8"/>
        <v>10500</v>
      </c>
      <c r="K224" s="466">
        <f t="shared" si="7"/>
        <v>37800</v>
      </c>
    </row>
    <row r="225" spans="2:11" x14ac:dyDescent="0.45">
      <c r="B225" s="253"/>
      <c r="C225" s="277"/>
      <c r="D225" s="344"/>
      <c r="E225" s="222">
        <v>0.05</v>
      </c>
      <c r="F225" s="267" t="s">
        <v>39</v>
      </c>
      <c r="G225" s="339" t="s">
        <v>137</v>
      </c>
      <c r="H225" s="209"/>
      <c r="I225" s="268"/>
      <c r="J225" s="280">
        <f t="shared" si="8"/>
        <v>18000</v>
      </c>
      <c r="K225" s="466">
        <f t="shared" si="7"/>
        <v>900</v>
      </c>
    </row>
    <row r="226" spans="2:11" x14ac:dyDescent="0.45">
      <c r="B226" s="253"/>
      <c r="C226" s="277"/>
      <c r="D226" s="344"/>
      <c r="E226" s="298">
        <v>5.5</v>
      </c>
      <c r="F226" s="267" t="s">
        <v>39</v>
      </c>
      <c r="G226" s="339" t="s">
        <v>129</v>
      </c>
      <c r="H226" s="209"/>
      <c r="I226" s="268"/>
      <c r="J226" s="280">
        <f t="shared" si="8"/>
        <v>1125</v>
      </c>
      <c r="K226" s="466">
        <f t="shared" si="7"/>
        <v>6187.5</v>
      </c>
    </row>
    <row r="227" spans="2:11" x14ac:dyDescent="0.45">
      <c r="B227" s="253"/>
      <c r="C227" s="277"/>
      <c r="D227" s="344"/>
      <c r="E227" s="299">
        <v>8.9999999999999993E-3</v>
      </c>
      <c r="F227" s="267" t="s">
        <v>65</v>
      </c>
      <c r="G227" s="339" t="s">
        <v>150</v>
      </c>
      <c r="H227" s="209"/>
      <c r="I227" s="268"/>
      <c r="J227" s="280">
        <f t="shared" si="8"/>
        <v>325000</v>
      </c>
      <c r="K227" s="466">
        <f t="shared" si="7"/>
        <v>2925</v>
      </c>
    </row>
    <row r="228" spans="2:11" x14ac:dyDescent="0.45">
      <c r="B228" s="253"/>
      <c r="C228" s="277"/>
      <c r="D228" s="371"/>
      <c r="E228" s="303">
        <v>1.4999999999999999E-2</v>
      </c>
      <c r="F228" s="372" t="s">
        <v>65</v>
      </c>
      <c r="G228" s="373" t="s">
        <v>151</v>
      </c>
      <c r="H228" s="374"/>
      <c r="I228" s="375"/>
      <c r="J228" s="280">
        <f t="shared" si="8"/>
        <v>325000</v>
      </c>
      <c r="K228" s="523">
        <f t="shared" si="7"/>
        <v>4875</v>
      </c>
    </row>
    <row r="229" spans="2:11" x14ac:dyDescent="0.45">
      <c r="B229" s="273"/>
      <c r="C229" s="277"/>
      <c r="D229" s="279"/>
      <c r="E229" s="346"/>
      <c r="F229" s="207" t="s">
        <v>6</v>
      </c>
      <c r="G229" s="208" t="s">
        <v>111</v>
      </c>
      <c r="H229" s="209"/>
      <c r="I229" s="268"/>
      <c r="J229" s="209"/>
      <c r="K229" s="524"/>
    </row>
    <row r="230" spans="2:11" x14ac:dyDescent="0.45">
      <c r="B230" s="273"/>
      <c r="C230" s="277"/>
      <c r="D230" s="279"/>
      <c r="E230" s="346"/>
      <c r="F230" s="207" t="s">
        <v>112</v>
      </c>
      <c r="G230" s="208" t="s">
        <v>113</v>
      </c>
      <c r="H230" s="209"/>
      <c r="I230" s="268"/>
      <c r="J230" s="209"/>
      <c r="K230" s="465">
        <f>+K229+K221+K214</f>
        <v>95872.5</v>
      </c>
    </row>
    <row r="231" spans="2:11" x14ac:dyDescent="0.45">
      <c r="B231" s="273"/>
      <c r="C231" s="277"/>
      <c r="D231" s="343"/>
      <c r="E231" s="347"/>
      <c r="F231" s="239" t="s">
        <v>114</v>
      </c>
      <c r="G231" s="257" t="s">
        <v>166</v>
      </c>
      <c r="H231" s="229"/>
      <c r="I231" s="355">
        <v>0.15</v>
      </c>
      <c r="J231" s="229"/>
      <c r="K231" s="513">
        <f>+I231*K230</f>
        <v>14380.875</v>
      </c>
    </row>
    <row r="232" spans="2:11" x14ac:dyDescent="0.45">
      <c r="B232" s="456"/>
      <c r="C232" s="263"/>
      <c r="D232" s="279"/>
      <c r="E232" s="346"/>
      <c r="F232" s="207" t="s">
        <v>115</v>
      </c>
      <c r="G232" s="208" t="s">
        <v>127</v>
      </c>
      <c r="H232" s="209"/>
      <c r="I232" s="268"/>
      <c r="J232" s="209"/>
      <c r="K232" s="465">
        <f>+K231+K230</f>
        <v>110253.375</v>
      </c>
    </row>
    <row r="233" spans="2:11" ht="15.5" x14ac:dyDescent="0.45">
      <c r="B233" s="1075">
        <v>18</v>
      </c>
      <c r="C233" s="1077" t="s">
        <v>25</v>
      </c>
      <c r="D233" s="495"/>
      <c r="E233" s="1083">
        <v>9</v>
      </c>
      <c r="F233" s="1075" t="s">
        <v>30</v>
      </c>
      <c r="G233" s="496" t="s">
        <v>441</v>
      </c>
      <c r="H233" s="497"/>
      <c r="I233" s="497"/>
      <c r="J233" s="498"/>
      <c r="K233" s="530">
        <f>+K247</f>
        <v>130539.375</v>
      </c>
    </row>
    <row r="234" spans="2:11" ht="15.5" x14ac:dyDescent="0.45">
      <c r="B234" s="1076"/>
      <c r="C234" s="1078"/>
      <c r="D234" s="499"/>
      <c r="E234" s="1084"/>
      <c r="F234" s="1076"/>
      <c r="G234" s="500" t="s">
        <v>176</v>
      </c>
      <c r="H234" s="501"/>
      <c r="I234" s="501"/>
      <c r="J234" s="502"/>
      <c r="K234" s="531"/>
    </row>
    <row r="235" spans="2:11" ht="15.5" x14ac:dyDescent="0.45">
      <c r="B235" s="492"/>
      <c r="C235" s="307"/>
      <c r="D235" s="211"/>
      <c r="E235" s="308"/>
      <c r="F235" s="207" t="s">
        <v>4</v>
      </c>
      <c r="G235" s="213" t="s">
        <v>120</v>
      </c>
      <c r="H235" s="209"/>
      <c r="I235" s="209"/>
      <c r="J235" s="309"/>
      <c r="K235" s="465">
        <f>SUM(K236:K239)</f>
        <v>34100</v>
      </c>
    </row>
    <row r="236" spans="2:11" ht="15.5" x14ac:dyDescent="0.45">
      <c r="B236" s="338"/>
      <c r="C236" s="277"/>
      <c r="D236" s="211" t="s">
        <v>107</v>
      </c>
      <c r="E236" s="310">
        <v>0.3</v>
      </c>
      <c r="F236" s="211" t="s">
        <v>108</v>
      </c>
      <c r="G236" s="221" t="s">
        <v>51</v>
      </c>
      <c r="H236" s="209"/>
      <c r="I236" s="209"/>
      <c r="J236" s="280">
        <f>'Analisa Upah'!F5</f>
        <v>75000</v>
      </c>
      <c r="K236" s="466">
        <f>ROUND(J236*E236,2)</f>
        <v>22500</v>
      </c>
    </row>
    <row r="237" spans="2:11" ht="15.5" x14ac:dyDescent="0.45">
      <c r="B237" s="338"/>
      <c r="C237" s="277"/>
      <c r="D237" s="211" t="s">
        <v>121</v>
      </c>
      <c r="E237" s="311">
        <v>0.1</v>
      </c>
      <c r="F237" s="211" t="s">
        <v>108</v>
      </c>
      <c r="G237" s="221" t="s">
        <v>57</v>
      </c>
      <c r="H237" s="209"/>
      <c r="I237" s="209"/>
      <c r="J237" s="280">
        <f>'Analisa Upah'!F7</f>
        <v>90000</v>
      </c>
      <c r="K237" s="466">
        <f>ROUND(J237*E237,2)</f>
        <v>9000</v>
      </c>
    </row>
    <row r="238" spans="2:11" ht="15.5" x14ac:dyDescent="0.45">
      <c r="B238" s="338"/>
      <c r="C238" s="277"/>
      <c r="D238" s="211" t="s">
        <v>122</v>
      </c>
      <c r="E238" s="310">
        <v>0.01</v>
      </c>
      <c r="F238" s="211" t="s">
        <v>108</v>
      </c>
      <c r="G238" s="221" t="s">
        <v>123</v>
      </c>
      <c r="H238" s="209"/>
      <c r="I238" s="209"/>
      <c r="J238" s="280">
        <f>'Analisa Upah'!F11</f>
        <v>95000</v>
      </c>
      <c r="K238" s="466">
        <f>ROUND(J238*E238,2)</f>
        <v>950</v>
      </c>
    </row>
    <row r="239" spans="2:11" ht="15.5" x14ac:dyDescent="0.45">
      <c r="B239" s="338"/>
      <c r="C239" s="277"/>
      <c r="D239" s="269" t="s">
        <v>109</v>
      </c>
      <c r="E239" s="312">
        <v>1.4999999999999999E-2</v>
      </c>
      <c r="F239" s="253" t="s">
        <v>108</v>
      </c>
      <c r="G239" s="228" t="s">
        <v>52</v>
      </c>
      <c r="H239" s="229"/>
      <c r="I239" s="229"/>
      <c r="J239" s="283">
        <f>'Analisa Upah'!F12</f>
        <v>110000</v>
      </c>
      <c r="K239" s="525">
        <f>ROUND(J239*E239,2)</f>
        <v>1650</v>
      </c>
    </row>
    <row r="240" spans="2:11" ht="15.5" x14ac:dyDescent="0.45">
      <c r="B240" s="338"/>
      <c r="C240" s="277"/>
      <c r="D240" s="211"/>
      <c r="E240" s="308"/>
      <c r="F240" s="207" t="s">
        <v>5</v>
      </c>
      <c r="G240" s="213" t="s">
        <v>124</v>
      </c>
      <c r="H240" s="209"/>
      <c r="I240" s="209"/>
      <c r="J240" s="280"/>
      <c r="K240" s="465">
        <f>SUM(K241:K243)</f>
        <v>79412.5</v>
      </c>
    </row>
    <row r="241" spans="2:11" ht="15.5" x14ac:dyDescent="0.45">
      <c r="B241" s="338"/>
      <c r="C241" s="277"/>
      <c r="D241" s="211"/>
      <c r="E241" s="313">
        <v>70</v>
      </c>
      <c r="F241" s="211" t="s">
        <v>34</v>
      </c>
      <c r="G241" s="221" t="s">
        <v>279</v>
      </c>
      <c r="H241" s="209"/>
      <c r="I241" s="209"/>
      <c r="J241" s="280">
        <f>'Harga Bahan'!D8</f>
        <v>750</v>
      </c>
      <c r="K241" s="466">
        <f>ROUND(J241*E241,2)</f>
        <v>52500</v>
      </c>
    </row>
    <row r="242" spans="2:11" ht="15.5" x14ac:dyDescent="0.45">
      <c r="B242" s="338"/>
      <c r="C242" s="277"/>
      <c r="D242" s="211"/>
      <c r="E242" s="313">
        <v>11.5</v>
      </c>
      <c r="F242" s="211" t="s">
        <v>66</v>
      </c>
      <c r="G242" s="221" t="s">
        <v>129</v>
      </c>
      <c r="H242" s="209"/>
      <c r="I242" s="209"/>
      <c r="J242" s="280">
        <f>'Harga Bahan'!E11</f>
        <v>1125</v>
      </c>
      <c r="K242" s="466">
        <f>ROUND(J242*E242,2)</f>
        <v>12937.5</v>
      </c>
    </row>
    <row r="243" spans="2:11" ht="15.5" x14ac:dyDescent="0.45">
      <c r="B243" s="338"/>
      <c r="C243" s="277"/>
      <c r="D243" s="269"/>
      <c r="E243" s="314">
        <v>4.2999999999999997E-2</v>
      </c>
      <c r="F243" s="269" t="s">
        <v>65</v>
      </c>
      <c r="G243" s="292" t="s">
        <v>126</v>
      </c>
      <c r="H243" s="226"/>
      <c r="I243" s="226"/>
      <c r="J243" s="283">
        <f>'Harga Bahan'!D9</f>
        <v>325000</v>
      </c>
      <c r="K243" s="525">
        <f>ROUND(J243*E243,2)</f>
        <v>13975</v>
      </c>
    </row>
    <row r="244" spans="2:11" x14ac:dyDescent="0.45">
      <c r="B244" s="238"/>
      <c r="C244" s="256"/>
      <c r="D244" s="273"/>
      <c r="E244" s="273"/>
      <c r="F244" s="202" t="s">
        <v>6</v>
      </c>
      <c r="G244" s="208" t="s">
        <v>111</v>
      </c>
      <c r="H244" s="241"/>
      <c r="I244" s="256"/>
      <c r="J244" s="243"/>
      <c r="K244" s="465">
        <v>0</v>
      </c>
    </row>
    <row r="245" spans="2:11" x14ac:dyDescent="0.45">
      <c r="B245" s="238"/>
      <c r="C245" s="256"/>
      <c r="D245" s="272"/>
      <c r="E245" s="272"/>
      <c r="F245" s="207" t="s">
        <v>112</v>
      </c>
      <c r="G245" s="208" t="s">
        <v>113</v>
      </c>
      <c r="H245" s="244"/>
      <c r="I245" s="245"/>
      <c r="J245" s="246"/>
      <c r="K245" s="465">
        <f>+K244+K240+K235</f>
        <v>113512.5</v>
      </c>
    </row>
    <row r="246" spans="2:11" x14ac:dyDescent="0.45">
      <c r="B246" s="238"/>
      <c r="C246" s="256"/>
      <c r="D246" s="272"/>
      <c r="E246" s="272"/>
      <c r="F246" s="207" t="s">
        <v>114</v>
      </c>
      <c r="G246" s="257" t="s">
        <v>130</v>
      </c>
      <c r="H246" s="244"/>
      <c r="I246" s="247">
        <v>0.15</v>
      </c>
      <c r="J246" s="246"/>
      <c r="K246" s="465">
        <f>+I246*K245</f>
        <v>17026.875</v>
      </c>
    </row>
    <row r="247" spans="2:11" x14ac:dyDescent="0.45">
      <c r="B247" s="356"/>
      <c r="C247" s="242"/>
      <c r="D247" s="456"/>
      <c r="E247" s="456"/>
      <c r="F247" s="202" t="s">
        <v>115</v>
      </c>
      <c r="G247" s="208" t="s">
        <v>127</v>
      </c>
      <c r="H247" s="205"/>
      <c r="I247" s="242"/>
      <c r="J247" s="437"/>
      <c r="K247" s="469">
        <f>+K245+K246</f>
        <v>130539.375</v>
      </c>
    </row>
    <row r="248" spans="2:11" x14ac:dyDescent="0.45">
      <c r="B248" s="477">
        <v>19</v>
      </c>
      <c r="C248" s="439" t="s">
        <v>26</v>
      </c>
      <c r="D248" s="532"/>
      <c r="E248" s="452">
        <v>1</v>
      </c>
      <c r="F248" s="486" t="s">
        <v>30</v>
      </c>
      <c r="G248" s="487" t="s">
        <v>289</v>
      </c>
      <c r="H248" s="458"/>
      <c r="I248" s="458"/>
      <c r="J248" s="533"/>
      <c r="K248" s="534">
        <f>+K260</f>
        <v>61979.25</v>
      </c>
    </row>
    <row r="249" spans="2:11" x14ac:dyDescent="0.45">
      <c r="B249" s="425"/>
      <c r="C249" s="305"/>
      <c r="D249" s="316"/>
      <c r="E249" s="284"/>
      <c r="F249" s="285" t="s">
        <v>4</v>
      </c>
      <c r="G249" s="286" t="s">
        <v>120</v>
      </c>
      <c r="H249" s="209"/>
      <c r="I249" s="268"/>
      <c r="J249" s="317"/>
      <c r="K249" s="535">
        <f>SUM(K250:K253)</f>
        <v>39075</v>
      </c>
    </row>
    <row r="250" spans="2:11" x14ac:dyDescent="0.45">
      <c r="B250" s="238"/>
      <c r="C250" s="256"/>
      <c r="D250" s="275" t="s">
        <v>107</v>
      </c>
      <c r="E250" s="318">
        <v>0.3</v>
      </c>
      <c r="F250" s="275" t="s">
        <v>108</v>
      </c>
      <c r="G250" s="282" t="s">
        <v>51</v>
      </c>
      <c r="H250" s="229"/>
      <c r="I250" s="277"/>
      <c r="J250" s="319">
        <f>'Analisa Upah'!F5</f>
        <v>75000</v>
      </c>
      <c r="K250" s="491">
        <f>ROUND(J250*E250,2)</f>
        <v>22500</v>
      </c>
    </row>
    <row r="251" spans="2:11" x14ac:dyDescent="0.45">
      <c r="B251" s="238"/>
      <c r="C251" s="256"/>
      <c r="D251" s="320" t="s">
        <v>121</v>
      </c>
      <c r="E251" s="321">
        <v>0.15</v>
      </c>
      <c r="F251" s="320" t="s">
        <v>108</v>
      </c>
      <c r="G251" s="322" t="s">
        <v>131</v>
      </c>
      <c r="H251" s="323"/>
      <c r="I251" s="324"/>
      <c r="J251" s="325">
        <f>'Analisa Upah'!F7</f>
        <v>90000</v>
      </c>
      <c r="K251" s="491">
        <f>ROUND(J251*E251,2)</f>
        <v>13500</v>
      </c>
    </row>
    <row r="252" spans="2:11" x14ac:dyDescent="0.45">
      <c r="B252" s="238"/>
      <c r="C252" s="256"/>
      <c r="D252" s="320" t="s">
        <v>122</v>
      </c>
      <c r="E252" s="326">
        <v>1.4999999999999999E-2</v>
      </c>
      <c r="F252" s="320" t="s">
        <v>108</v>
      </c>
      <c r="G252" s="322" t="s">
        <v>123</v>
      </c>
      <c r="H252" s="323"/>
      <c r="I252" s="324"/>
      <c r="J252" s="325">
        <f>'Analisa Upah'!F11</f>
        <v>95000</v>
      </c>
      <c r="K252" s="491">
        <f>ROUND(J252*E252,2)</f>
        <v>1425</v>
      </c>
    </row>
    <row r="253" spans="2:11" x14ac:dyDescent="0.45">
      <c r="B253" s="238"/>
      <c r="C253" s="256"/>
      <c r="D253" s="275" t="s">
        <v>109</v>
      </c>
      <c r="E253" s="300">
        <v>1.4999999999999999E-2</v>
      </c>
      <c r="F253" s="275" t="s">
        <v>108</v>
      </c>
      <c r="G253" s="282" t="s">
        <v>52</v>
      </c>
      <c r="H253" s="229"/>
      <c r="I253" s="277"/>
      <c r="J253" s="327">
        <f>'Analisa Upah'!F12</f>
        <v>110000</v>
      </c>
      <c r="K253" s="491">
        <f>ROUND(J253*E253,2)</f>
        <v>1650</v>
      </c>
    </row>
    <row r="254" spans="2:11" x14ac:dyDescent="0.45">
      <c r="B254" s="238"/>
      <c r="C254" s="256"/>
      <c r="D254" s="316"/>
      <c r="E254" s="284"/>
      <c r="F254" s="285" t="s">
        <v>5</v>
      </c>
      <c r="G254" s="286" t="s">
        <v>124</v>
      </c>
      <c r="H254" s="209"/>
      <c r="I254" s="268"/>
      <c r="J254" s="317"/>
      <c r="K254" s="535">
        <f>SUM(K255:K256)</f>
        <v>14820</v>
      </c>
    </row>
    <row r="255" spans="2:11" x14ac:dyDescent="0.45">
      <c r="B255" s="238"/>
      <c r="C255" s="256"/>
      <c r="D255" s="294"/>
      <c r="E255" s="300">
        <v>6.24</v>
      </c>
      <c r="F255" s="275" t="s">
        <v>39</v>
      </c>
      <c r="G255" s="282" t="s">
        <v>129</v>
      </c>
      <c r="H255" s="229"/>
      <c r="I255" s="277"/>
      <c r="J255" s="319">
        <f>'Harga Bahan'!E11</f>
        <v>1125</v>
      </c>
      <c r="K255" s="491">
        <f>ROUND(J255*E255,2)</f>
        <v>7020</v>
      </c>
    </row>
    <row r="256" spans="2:11" x14ac:dyDescent="0.45">
      <c r="B256" s="238"/>
      <c r="C256" s="256"/>
      <c r="D256" s="328"/>
      <c r="E256" s="329">
        <v>2.4E-2</v>
      </c>
      <c r="F256" s="330" t="s">
        <v>65</v>
      </c>
      <c r="G256" s="331" t="s">
        <v>126</v>
      </c>
      <c r="H256" s="332"/>
      <c r="I256" s="333"/>
      <c r="J256" s="334">
        <f>'Harga Bahan'!D9</f>
        <v>325000</v>
      </c>
      <c r="K256" s="491">
        <f>ROUND(J256*E256,2)</f>
        <v>7800</v>
      </c>
    </row>
    <row r="257" spans="2:11" x14ac:dyDescent="0.45">
      <c r="B257" s="238"/>
      <c r="C257" s="256"/>
      <c r="D257" s="273"/>
      <c r="E257" s="273"/>
      <c r="F257" s="202" t="s">
        <v>6</v>
      </c>
      <c r="G257" s="208" t="s">
        <v>111</v>
      </c>
      <c r="H257" s="241"/>
      <c r="I257" s="256"/>
      <c r="J257" s="241"/>
      <c r="K257" s="465">
        <v>0</v>
      </c>
    </row>
    <row r="258" spans="2:11" x14ac:dyDescent="0.45">
      <c r="B258" s="238"/>
      <c r="C258" s="256"/>
      <c r="D258" s="272"/>
      <c r="E258" s="272"/>
      <c r="F258" s="207" t="s">
        <v>112</v>
      </c>
      <c r="G258" s="208" t="s">
        <v>113</v>
      </c>
      <c r="H258" s="244"/>
      <c r="I258" s="245"/>
      <c r="J258" s="244"/>
      <c r="K258" s="465">
        <f>+K257+K254+K249</f>
        <v>53895</v>
      </c>
    </row>
    <row r="259" spans="2:11" x14ac:dyDescent="0.45">
      <c r="B259" s="238"/>
      <c r="C259" s="256"/>
      <c r="D259" s="272"/>
      <c r="E259" s="272"/>
      <c r="F259" s="207" t="s">
        <v>114</v>
      </c>
      <c r="G259" s="257" t="s">
        <v>130</v>
      </c>
      <c r="H259" s="244"/>
      <c r="I259" s="247">
        <v>0.15</v>
      </c>
      <c r="J259" s="244"/>
      <c r="K259" s="465">
        <f>+I259*K258</f>
        <v>8084.25</v>
      </c>
    </row>
    <row r="260" spans="2:11" x14ac:dyDescent="0.45">
      <c r="B260" s="238"/>
      <c r="C260" s="256"/>
      <c r="D260" s="273"/>
      <c r="E260" s="273"/>
      <c r="F260" s="239" t="s">
        <v>115</v>
      </c>
      <c r="G260" s="388" t="s">
        <v>127</v>
      </c>
      <c r="H260" s="241"/>
      <c r="I260" s="256"/>
      <c r="J260" s="241"/>
      <c r="K260" s="513">
        <f>+K258+K259</f>
        <v>61979.25</v>
      </c>
    </row>
    <row r="261" spans="2:11" x14ac:dyDescent="0.45">
      <c r="B261" s="439">
        <v>20</v>
      </c>
      <c r="C261" s="529" t="s">
        <v>29</v>
      </c>
      <c r="D261" s="532"/>
      <c r="E261" s="452">
        <v>1</v>
      </c>
      <c r="F261" s="439" t="s">
        <v>30</v>
      </c>
      <c r="G261" s="493" t="s">
        <v>239</v>
      </c>
      <c r="H261" s="458"/>
      <c r="I261" s="458"/>
      <c r="J261" s="533"/>
      <c r="K261" s="528">
        <f>+K272</f>
        <v>34162.1875</v>
      </c>
    </row>
    <row r="262" spans="2:11" x14ac:dyDescent="0.45">
      <c r="B262" s="425"/>
      <c r="C262" s="305"/>
      <c r="D262" s="244"/>
      <c r="E262" s="284"/>
      <c r="F262" s="207" t="s">
        <v>4</v>
      </c>
      <c r="G262" s="213" t="s">
        <v>120</v>
      </c>
      <c r="H262" s="209"/>
      <c r="I262" s="209"/>
      <c r="J262" s="337"/>
      <c r="K262" s="465">
        <f>SUM(K263:K266)</f>
        <v>26050</v>
      </c>
    </row>
    <row r="263" spans="2:11" x14ac:dyDescent="0.45">
      <c r="B263" s="238"/>
      <c r="C263" s="256"/>
      <c r="D263" s="279" t="s">
        <v>107</v>
      </c>
      <c r="E263" s="222">
        <v>0.2</v>
      </c>
      <c r="F263" s="211" t="s">
        <v>108</v>
      </c>
      <c r="G263" s="221" t="s">
        <v>51</v>
      </c>
      <c r="H263" s="209"/>
      <c r="I263" s="209"/>
      <c r="J263" s="337">
        <f>'Analisa Upah'!F5</f>
        <v>75000</v>
      </c>
      <c r="K263" s="490">
        <f>ROUND(J263*E263,2)</f>
        <v>15000</v>
      </c>
    </row>
    <row r="264" spans="2:11" x14ac:dyDescent="0.45">
      <c r="B264" s="238"/>
      <c r="C264" s="256"/>
      <c r="D264" s="279" t="s">
        <v>121</v>
      </c>
      <c r="E264" s="222">
        <v>0.1</v>
      </c>
      <c r="F264" s="211" t="s">
        <v>108</v>
      </c>
      <c r="G264" s="221" t="s">
        <v>131</v>
      </c>
      <c r="H264" s="209"/>
      <c r="I264" s="209"/>
      <c r="J264" s="337">
        <f>'Analisa Upah'!F7</f>
        <v>90000</v>
      </c>
      <c r="K264" s="490">
        <f>ROUND(J264*E264,2)</f>
        <v>9000</v>
      </c>
    </row>
    <row r="265" spans="2:11" x14ac:dyDescent="0.45">
      <c r="B265" s="238"/>
      <c r="C265" s="256"/>
      <c r="D265" s="279" t="s">
        <v>122</v>
      </c>
      <c r="E265" s="299">
        <v>0.01</v>
      </c>
      <c r="F265" s="211" t="s">
        <v>108</v>
      </c>
      <c r="G265" s="221" t="s">
        <v>123</v>
      </c>
      <c r="H265" s="209"/>
      <c r="I265" s="209"/>
      <c r="J265" s="337">
        <f>'Analisa Upah'!F11</f>
        <v>95000</v>
      </c>
      <c r="K265" s="490">
        <f>ROUND(J265*E265,2)</f>
        <v>950</v>
      </c>
    </row>
    <row r="266" spans="2:11" x14ac:dyDescent="0.45">
      <c r="B266" s="238"/>
      <c r="C266" s="256"/>
      <c r="D266" s="275" t="s">
        <v>109</v>
      </c>
      <c r="E266" s="300">
        <v>0.01</v>
      </c>
      <c r="F266" s="253" t="s">
        <v>108</v>
      </c>
      <c r="G266" s="228" t="s">
        <v>52</v>
      </c>
      <c r="H266" s="229"/>
      <c r="I266" s="229"/>
      <c r="J266" s="327">
        <f>'Analisa Upah'!F12</f>
        <v>110000</v>
      </c>
      <c r="K266" s="491">
        <f>ROUND(J266*E266,2)</f>
        <v>1100</v>
      </c>
    </row>
    <row r="267" spans="2:11" x14ac:dyDescent="0.45">
      <c r="B267" s="238"/>
      <c r="C267" s="256"/>
      <c r="D267" s="267"/>
      <c r="E267" s="284"/>
      <c r="F267" s="207" t="s">
        <v>5</v>
      </c>
      <c r="G267" s="213" t="s">
        <v>124</v>
      </c>
      <c r="H267" s="209"/>
      <c r="I267" s="209"/>
      <c r="J267" s="337"/>
      <c r="K267" s="465">
        <f>+K268</f>
        <v>3656.25</v>
      </c>
    </row>
    <row r="268" spans="2:11" x14ac:dyDescent="0.45">
      <c r="B268" s="238"/>
      <c r="C268" s="256"/>
      <c r="D268" s="203"/>
      <c r="E268" s="301">
        <v>3.25</v>
      </c>
      <c r="F268" s="269" t="s">
        <v>39</v>
      </c>
      <c r="G268" s="292" t="s">
        <v>129</v>
      </c>
      <c r="H268" s="226"/>
      <c r="I268" s="226"/>
      <c r="J268" s="337">
        <f>'Harga Bahan'!E11</f>
        <v>1125</v>
      </c>
      <c r="K268" s="491">
        <f>ROUND(J268*E268,2)</f>
        <v>3656.25</v>
      </c>
    </row>
    <row r="269" spans="2:11" x14ac:dyDescent="0.45">
      <c r="B269" s="238"/>
      <c r="C269" s="256"/>
      <c r="D269" s="273"/>
      <c r="E269" s="273"/>
      <c r="F269" s="202" t="s">
        <v>6</v>
      </c>
      <c r="G269" s="208" t="s">
        <v>111</v>
      </c>
      <c r="H269" s="241"/>
      <c r="I269" s="256"/>
      <c r="J269" s="241"/>
      <c r="K269" s="465">
        <v>0</v>
      </c>
    </row>
    <row r="270" spans="2:11" x14ac:dyDescent="0.45">
      <c r="B270" s="238"/>
      <c r="C270" s="256"/>
      <c r="D270" s="272"/>
      <c r="E270" s="272"/>
      <c r="F270" s="207" t="s">
        <v>112</v>
      </c>
      <c r="G270" s="208" t="s">
        <v>113</v>
      </c>
      <c r="H270" s="244"/>
      <c r="I270" s="245"/>
      <c r="J270" s="244"/>
      <c r="K270" s="465">
        <f>+K269+K267+K262</f>
        <v>29706.25</v>
      </c>
    </row>
    <row r="271" spans="2:11" x14ac:dyDescent="0.45">
      <c r="B271" s="238"/>
      <c r="C271" s="256"/>
      <c r="D271" s="272"/>
      <c r="E271" s="272"/>
      <c r="F271" s="207" t="s">
        <v>114</v>
      </c>
      <c r="G271" s="257" t="s">
        <v>130</v>
      </c>
      <c r="H271" s="244"/>
      <c r="I271" s="247">
        <v>0.15</v>
      </c>
      <c r="J271" s="244"/>
      <c r="K271" s="465">
        <f>+I271*K270</f>
        <v>4455.9375</v>
      </c>
    </row>
    <row r="272" spans="2:11" x14ac:dyDescent="0.45">
      <c r="B272" s="356"/>
      <c r="C272" s="242"/>
      <c r="D272" s="456"/>
      <c r="E272" s="456"/>
      <c r="F272" s="202" t="s">
        <v>115</v>
      </c>
      <c r="G272" s="208" t="s">
        <v>127</v>
      </c>
      <c r="H272" s="205"/>
      <c r="I272" s="242"/>
      <c r="J272" s="205"/>
      <c r="K272" s="469">
        <f>+K270+K271</f>
        <v>34162.1875</v>
      </c>
    </row>
    <row r="273" spans="2:11" ht="15.5" x14ac:dyDescent="0.45">
      <c r="B273" s="439">
        <v>21</v>
      </c>
      <c r="C273" s="448" t="s">
        <v>260</v>
      </c>
      <c r="D273" s="536"/>
      <c r="E273" s="486">
        <v>1</v>
      </c>
      <c r="F273" s="478" t="s">
        <v>30</v>
      </c>
      <c r="G273" s="493" t="s">
        <v>261</v>
      </c>
      <c r="H273" s="458"/>
      <c r="I273" s="458"/>
      <c r="J273" s="542"/>
      <c r="K273" s="519">
        <f>+K287</f>
        <v>369972.25</v>
      </c>
    </row>
    <row r="274" spans="2:11" x14ac:dyDescent="0.45">
      <c r="B274" s="239"/>
      <c r="C274" s="229"/>
      <c r="D274" s="230"/>
      <c r="E274" s="417"/>
      <c r="F274" s="207" t="s">
        <v>4</v>
      </c>
      <c r="G274" s="231" t="s">
        <v>120</v>
      </c>
      <c r="H274" s="209"/>
      <c r="I274" s="209"/>
      <c r="J274" s="352"/>
      <c r="K274" s="504">
        <f>SUM(K275:K278)</f>
        <v>32665</v>
      </c>
    </row>
    <row r="275" spans="2:11" ht="15.5" x14ac:dyDescent="0.45">
      <c r="B275" s="239"/>
      <c r="C275" s="229"/>
      <c r="D275" s="253" t="s">
        <v>107</v>
      </c>
      <c r="E275" s="418">
        <v>0.25</v>
      </c>
      <c r="F275" s="253" t="s">
        <v>108</v>
      </c>
      <c r="G275" s="229" t="s">
        <v>51</v>
      </c>
      <c r="H275" s="229"/>
      <c r="I275" s="229"/>
      <c r="J275" s="403">
        <f>'Analisa Upah'!F5</f>
        <v>75000</v>
      </c>
      <c r="K275" s="432">
        <f>ROUND(J275*E275,2)</f>
        <v>18750</v>
      </c>
    </row>
    <row r="276" spans="2:11" ht="15.5" x14ac:dyDescent="0.45">
      <c r="B276" s="239"/>
      <c r="C276" s="229"/>
      <c r="D276" s="377" t="s">
        <v>121</v>
      </c>
      <c r="E276" s="419">
        <v>0.125</v>
      </c>
      <c r="F276" s="377" t="s">
        <v>108</v>
      </c>
      <c r="G276" s="323" t="s">
        <v>57</v>
      </c>
      <c r="H276" s="323"/>
      <c r="I276" s="323"/>
      <c r="J276" s="420">
        <f>'Analisa Upah'!F7</f>
        <v>90000</v>
      </c>
      <c r="K276" s="325">
        <f>ROUND(J276*E276,2)</f>
        <v>11250</v>
      </c>
    </row>
    <row r="277" spans="2:11" ht="15.5" x14ac:dyDescent="0.45">
      <c r="B277" s="338"/>
      <c r="C277" s="229"/>
      <c r="D277" s="377" t="s">
        <v>122</v>
      </c>
      <c r="E277" s="419">
        <v>1.2999999999999999E-2</v>
      </c>
      <c r="F277" s="377" t="s">
        <v>108</v>
      </c>
      <c r="G277" s="323" t="s">
        <v>123</v>
      </c>
      <c r="H277" s="323"/>
      <c r="I277" s="323"/>
      <c r="J277" s="420">
        <f>'Analisa Upah'!F11</f>
        <v>95000</v>
      </c>
      <c r="K277" s="325">
        <f>ROUND(J277*E277,2)</f>
        <v>1235</v>
      </c>
    </row>
    <row r="278" spans="2:11" ht="15.5" x14ac:dyDescent="0.45">
      <c r="B278" s="338"/>
      <c r="C278" s="229"/>
      <c r="D278" s="253" t="s">
        <v>109</v>
      </c>
      <c r="E278" s="418">
        <v>1.2999999999999999E-2</v>
      </c>
      <c r="F278" s="253" t="s">
        <v>108</v>
      </c>
      <c r="G278" s="229" t="s">
        <v>52</v>
      </c>
      <c r="H278" s="229"/>
      <c r="I278" s="229"/>
      <c r="J278" s="403">
        <f>'Analisa Upah'!F12</f>
        <v>110000</v>
      </c>
      <c r="K278" s="334">
        <f>ROUND(J278*E278,2)</f>
        <v>1430</v>
      </c>
    </row>
    <row r="279" spans="2:11" x14ac:dyDescent="0.45">
      <c r="B279" s="338"/>
      <c r="C279" s="229"/>
      <c r="D279" s="230"/>
      <c r="E279" s="421"/>
      <c r="F279" s="207" t="s">
        <v>5</v>
      </c>
      <c r="G279" s="231" t="s">
        <v>124</v>
      </c>
      <c r="H279" s="209"/>
      <c r="I279" s="209"/>
      <c r="J279" s="398"/>
      <c r="K279" s="504">
        <f>SUM(K280:K283)</f>
        <v>289050</v>
      </c>
    </row>
    <row r="280" spans="2:11" x14ac:dyDescent="0.45">
      <c r="B280" s="338"/>
      <c r="C280" s="229"/>
      <c r="D280" s="238"/>
      <c r="E280" s="413">
        <v>1</v>
      </c>
      <c r="F280" s="253" t="s">
        <v>30</v>
      </c>
      <c r="G280" s="229" t="s">
        <v>262</v>
      </c>
      <c r="H280" s="229"/>
      <c r="I280" s="229"/>
      <c r="J280" s="403">
        <f>'Harga Bahan'!D45</f>
        <v>240000</v>
      </c>
      <c r="K280" s="325">
        <f>ROUND(J280*E280,2)</f>
        <v>240000</v>
      </c>
    </row>
    <row r="281" spans="2:11" x14ac:dyDescent="0.45">
      <c r="B281" s="338"/>
      <c r="C281" s="229"/>
      <c r="D281" s="422"/>
      <c r="E281" s="423">
        <v>9.8000000000000007</v>
      </c>
      <c r="F281" s="377" t="s">
        <v>39</v>
      </c>
      <c r="G281" s="323" t="s">
        <v>129</v>
      </c>
      <c r="H281" s="323"/>
      <c r="I281" s="323"/>
      <c r="J281" s="420">
        <f>'Harga Bahan'!E11</f>
        <v>1125</v>
      </c>
      <c r="K281" s="325">
        <f>ROUND(J281*E281,2)</f>
        <v>11025</v>
      </c>
    </row>
    <row r="282" spans="2:11" x14ac:dyDescent="0.45">
      <c r="B282" s="338"/>
      <c r="C282" s="229"/>
      <c r="D282" s="422"/>
      <c r="E282" s="419">
        <v>4.4999999999999998E-2</v>
      </c>
      <c r="F282" s="377" t="s">
        <v>65</v>
      </c>
      <c r="G282" s="323" t="s">
        <v>126</v>
      </c>
      <c r="H282" s="323"/>
      <c r="I282" s="323"/>
      <c r="J282" s="420">
        <f>'Harga Bahan'!D9</f>
        <v>325000</v>
      </c>
      <c r="K282" s="325">
        <f>ROUND(J282*E282,2)</f>
        <v>14625</v>
      </c>
    </row>
    <row r="283" spans="2:11" x14ac:dyDescent="0.45">
      <c r="B283" s="338"/>
      <c r="C283" s="229"/>
      <c r="D283" s="356"/>
      <c r="E283" s="418">
        <v>1.3</v>
      </c>
      <c r="F283" s="269" t="s">
        <v>39</v>
      </c>
      <c r="G283" s="229" t="s">
        <v>64</v>
      </c>
      <c r="H283" s="229"/>
      <c r="I283" s="229"/>
      <c r="J283" s="403">
        <f>'Harga Bahan'!D46</f>
        <v>18000</v>
      </c>
      <c r="K283" s="334">
        <f>ROUND(J283*E283,2)</f>
        <v>23400</v>
      </c>
    </row>
    <row r="284" spans="2:11" ht="15.5" x14ac:dyDescent="0.45">
      <c r="B284" s="239"/>
      <c r="C284" s="229"/>
      <c r="D284" s="211"/>
      <c r="E284" s="267"/>
      <c r="F284" s="207" t="s">
        <v>6</v>
      </c>
      <c r="G284" s="208" t="s">
        <v>111</v>
      </c>
      <c r="H284" s="209"/>
      <c r="I284" s="209"/>
      <c r="J284" s="398"/>
      <c r="K284" s="517">
        <f>ROUND(J284*E284,2)</f>
        <v>0</v>
      </c>
    </row>
    <row r="285" spans="2:11" ht="15.5" x14ac:dyDescent="0.45">
      <c r="B285" s="239"/>
      <c r="C285" s="229"/>
      <c r="D285" s="211"/>
      <c r="E285" s="267"/>
      <c r="F285" s="207" t="s">
        <v>112</v>
      </c>
      <c r="G285" s="208" t="s">
        <v>113</v>
      </c>
      <c r="H285" s="209"/>
      <c r="I285" s="209"/>
      <c r="J285" s="398"/>
      <c r="K285" s="429">
        <f>+K284+K279+K274</f>
        <v>321715</v>
      </c>
    </row>
    <row r="286" spans="2:11" ht="15.5" x14ac:dyDescent="0.45">
      <c r="B286" s="239"/>
      <c r="C286" s="229"/>
      <c r="D286" s="253"/>
      <c r="E286" s="275"/>
      <c r="F286" s="239" t="s">
        <v>114</v>
      </c>
      <c r="G286" s="257" t="s">
        <v>166</v>
      </c>
      <c r="H286" s="229"/>
      <c r="I286" s="348">
        <v>0.15</v>
      </c>
      <c r="J286" s="403"/>
      <c r="K286" s="453">
        <f>+I286*K285</f>
        <v>48257.25</v>
      </c>
    </row>
    <row r="287" spans="2:11" ht="15.5" x14ac:dyDescent="0.45">
      <c r="B287" s="202"/>
      <c r="C287" s="263"/>
      <c r="D287" s="211"/>
      <c r="E287" s="267"/>
      <c r="F287" s="207" t="s">
        <v>115</v>
      </c>
      <c r="G287" s="208" t="s">
        <v>127</v>
      </c>
      <c r="H287" s="209"/>
      <c r="I287" s="209"/>
      <c r="J287" s="398"/>
      <c r="K287" s="429">
        <f>+K286+K285</f>
        <v>369972.25</v>
      </c>
    </row>
    <row r="288" spans="2:11" ht="15.5" x14ac:dyDescent="0.45">
      <c r="B288" s="439">
        <v>22</v>
      </c>
      <c r="C288" s="448" t="s">
        <v>27</v>
      </c>
      <c r="D288" s="536"/>
      <c r="E288" s="486">
        <v>1</v>
      </c>
      <c r="F288" s="478" t="s">
        <v>30</v>
      </c>
      <c r="G288" s="493" t="s">
        <v>97</v>
      </c>
      <c r="H288" s="458"/>
      <c r="I288" s="458"/>
      <c r="J288" s="537"/>
      <c r="K288" s="489">
        <f>+K302</f>
        <v>211887.5</v>
      </c>
    </row>
    <row r="289" spans="2:11" x14ac:dyDescent="0.45">
      <c r="B289" s="387"/>
      <c r="C289" s="229"/>
      <c r="D289" s="230"/>
      <c r="E289" s="308"/>
      <c r="F289" s="207" t="s">
        <v>4</v>
      </c>
      <c r="G289" s="231" t="s">
        <v>120</v>
      </c>
      <c r="H289" s="209"/>
      <c r="I289" s="209"/>
      <c r="J289" s="398"/>
      <c r="K289" s="465">
        <f>SUM(K290:K293)</f>
        <v>91175</v>
      </c>
    </row>
    <row r="290" spans="2:11" ht="15.5" x14ac:dyDescent="0.45">
      <c r="B290" s="239"/>
      <c r="C290" s="229"/>
      <c r="D290" s="253" t="s">
        <v>107</v>
      </c>
      <c r="E290" s="413">
        <v>0.7</v>
      </c>
      <c r="F290" s="253" t="s">
        <v>108</v>
      </c>
      <c r="G290" s="229" t="s">
        <v>51</v>
      </c>
      <c r="H290" s="229"/>
      <c r="I290" s="229"/>
      <c r="J290" s="403">
        <f>'Analisa Upah'!F5</f>
        <v>75000</v>
      </c>
      <c r="K290" s="543">
        <f>ROUND(J290*E290,2)</f>
        <v>52500</v>
      </c>
    </row>
    <row r="291" spans="2:11" ht="15.5" x14ac:dyDescent="0.45">
      <c r="B291" s="239"/>
      <c r="C291" s="229"/>
      <c r="D291" s="377" t="s">
        <v>121</v>
      </c>
      <c r="E291" s="424">
        <v>0.35</v>
      </c>
      <c r="F291" s="377" t="s">
        <v>108</v>
      </c>
      <c r="G291" s="323" t="s">
        <v>57</v>
      </c>
      <c r="H291" s="323"/>
      <c r="I291" s="323"/>
      <c r="J291" s="420">
        <f>'Analisa Upah'!F7</f>
        <v>90000</v>
      </c>
      <c r="K291" s="543">
        <f>ROUND(J291*E291,2)</f>
        <v>31500</v>
      </c>
    </row>
    <row r="292" spans="2:11" ht="15.5" x14ac:dyDescent="0.45">
      <c r="B292" s="338"/>
      <c r="C292" s="229"/>
      <c r="D292" s="377" t="s">
        <v>122</v>
      </c>
      <c r="E292" s="419">
        <v>3.5000000000000003E-2</v>
      </c>
      <c r="F292" s="377" t="s">
        <v>108</v>
      </c>
      <c r="G292" s="323" t="s">
        <v>123</v>
      </c>
      <c r="H292" s="323"/>
      <c r="I292" s="323"/>
      <c r="J292" s="420">
        <f>'Analisa Upah'!F11</f>
        <v>95000</v>
      </c>
      <c r="K292" s="543">
        <f>ROUND(J292*E292,2)</f>
        <v>3325</v>
      </c>
    </row>
    <row r="293" spans="2:11" ht="15.5" x14ac:dyDescent="0.45">
      <c r="B293" s="338"/>
      <c r="C293" s="229"/>
      <c r="D293" s="253" t="s">
        <v>109</v>
      </c>
      <c r="E293" s="418">
        <v>3.5000000000000003E-2</v>
      </c>
      <c r="F293" s="253" t="s">
        <v>108</v>
      </c>
      <c r="G293" s="229" t="s">
        <v>52</v>
      </c>
      <c r="H293" s="229"/>
      <c r="I293" s="229"/>
      <c r="J293" s="403">
        <f>'Analisa Upah'!F12</f>
        <v>110000</v>
      </c>
      <c r="K293" s="543">
        <f>ROUND(J293*E293,2)</f>
        <v>3850</v>
      </c>
    </row>
    <row r="294" spans="2:11" x14ac:dyDescent="0.45">
      <c r="B294" s="338"/>
      <c r="C294" s="229"/>
      <c r="D294" s="230"/>
      <c r="E294" s="421"/>
      <c r="F294" s="207" t="s">
        <v>5</v>
      </c>
      <c r="G294" s="231" t="s">
        <v>124</v>
      </c>
      <c r="H294" s="209"/>
      <c r="I294" s="209"/>
      <c r="J294" s="398"/>
      <c r="K294" s="465">
        <f>SUM(K295:K298)</f>
        <v>93075</v>
      </c>
    </row>
    <row r="295" spans="2:11" x14ac:dyDescent="0.45">
      <c r="B295" s="338"/>
      <c r="C295" s="229"/>
      <c r="D295" s="425"/>
      <c r="E295" s="413">
        <v>1.05</v>
      </c>
      <c r="F295" s="253" t="s">
        <v>451</v>
      </c>
      <c r="G295" s="229" t="s">
        <v>165</v>
      </c>
      <c r="H295" s="229"/>
      <c r="I295" s="229"/>
      <c r="J295" s="426">
        <f>'Harga Bahan'!D39</f>
        <v>55000</v>
      </c>
      <c r="K295" s="543">
        <f>ROUND(J295*E295,2)</f>
        <v>57750</v>
      </c>
    </row>
    <row r="296" spans="2:11" x14ac:dyDescent="0.45">
      <c r="B296" s="338"/>
      <c r="C296" s="229"/>
      <c r="D296" s="422"/>
      <c r="E296" s="424">
        <v>10.4</v>
      </c>
      <c r="F296" s="377" t="s">
        <v>39</v>
      </c>
      <c r="G296" s="323" t="s">
        <v>129</v>
      </c>
      <c r="H296" s="323"/>
      <c r="I296" s="323"/>
      <c r="J296" s="420">
        <f>'Harga Bahan'!E11</f>
        <v>1125</v>
      </c>
      <c r="K296" s="543">
        <f>ROUND(J296*E296,2)</f>
        <v>11700</v>
      </c>
    </row>
    <row r="297" spans="2:11" x14ac:dyDescent="0.45">
      <c r="B297" s="338"/>
      <c r="C297" s="229"/>
      <c r="D297" s="422"/>
      <c r="E297" s="419">
        <v>0.5</v>
      </c>
      <c r="F297" s="377" t="s">
        <v>39</v>
      </c>
      <c r="G297" s="323" t="s">
        <v>64</v>
      </c>
      <c r="H297" s="323"/>
      <c r="I297" s="323"/>
      <c r="J297" s="420">
        <f>'Harga Bahan'!D46</f>
        <v>18000</v>
      </c>
      <c r="K297" s="543">
        <f>ROUND(J297*E297,2)</f>
        <v>9000</v>
      </c>
    </row>
    <row r="298" spans="2:11" x14ac:dyDescent="0.45">
      <c r="B298" s="338"/>
      <c r="C298" s="229"/>
      <c r="D298" s="356"/>
      <c r="E298" s="418">
        <v>4.4999999999999998E-2</v>
      </c>
      <c r="F298" s="269" t="s">
        <v>65</v>
      </c>
      <c r="G298" s="229" t="s">
        <v>126</v>
      </c>
      <c r="H298" s="229"/>
      <c r="I298" s="229"/>
      <c r="J298" s="401">
        <f>'Harga Bahan'!D9</f>
        <v>325000</v>
      </c>
      <c r="K298" s="543">
        <f>ROUND(J298*E298,2)</f>
        <v>14625</v>
      </c>
    </row>
    <row r="299" spans="2:11" ht="15.5" x14ac:dyDescent="0.45">
      <c r="B299" s="239"/>
      <c r="C299" s="229"/>
      <c r="D299" s="211"/>
      <c r="E299" s="267"/>
      <c r="F299" s="207" t="s">
        <v>6</v>
      </c>
      <c r="G299" s="208" t="s">
        <v>111</v>
      </c>
      <c r="H299" s="209"/>
      <c r="I299" s="209"/>
      <c r="J299" s="398"/>
      <c r="K299" s="524"/>
    </row>
    <row r="300" spans="2:11" ht="15.5" x14ac:dyDescent="0.45">
      <c r="B300" s="239"/>
      <c r="C300" s="229"/>
      <c r="D300" s="211"/>
      <c r="E300" s="267"/>
      <c r="F300" s="207" t="s">
        <v>112</v>
      </c>
      <c r="G300" s="208" t="s">
        <v>113</v>
      </c>
      <c r="H300" s="209"/>
      <c r="I300" s="209"/>
      <c r="J300" s="398"/>
      <c r="K300" s="465">
        <f>+K299+K294+K289</f>
        <v>184250</v>
      </c>
    </row>
    <row r="301" spans="2:11" ht="15.5" x14ac:dyDescent="0.45">
      <c r="B301" s="239"/>
      <c r="C301" s="229"/>
      <c r="D301" s="253"/>
      <c r="E301" s="275"/>
      <c r="F301" s="239" t="s">
        <v>114</v>
      </c>
      <c r="G301" s="257" t="s">
        <v>166</v>
      </c>
      <c r="H301" s="229"/>
      <c r="I301" s="348">
        <v>0.15</v>
      </c>
      <c r="J301" s="403"/>
      <c r="K301" s="513">
        <f>+I301*K300</f>
        <v>27637.5</v>
      </c>
    </row>
    <row r="302" spans="2:11" ht="15.5" x14ac:dyDescent="0.45">
      <c r="B302" s="202"/>
      <c r="C302" s="226"/>
      <c r="D302" s="211"/>
      <c r="E302" s="267"/>
      <c r="F302" s="207" t="s">
        <v>115</v>
      </c>
      <c r="G302" s="208" t="s">
        <v>127</v>
      </c>
      <c r="H302" s="209"/>
      <c r="I302" s="209"/>
      <c r="J302" s="398"/>
      <c r="K302" s="465">
        <f>+K301+K300</f>
        <v>211887.5</v>
      </c>
    </row>
    <row r="303" spans="2:11" x14ac:dyDescent="0.45">
      <c r="B303" s="439">
        <v>23</v>
      </c>
      <c r="C303" s="529" t="s">
        <v>38</v>
      </c>
      <c r="D303" s="553"/>
      <c r="E303" s="478">
        <v>1</v>
      </c>
      <c r="F303" s="478" t="s">
        <v>39</v>
      </c>
      <c r="G303" s="493" t="s">
        <v>95</v>
      </c>
      <c r="H303" s="458"/>
      <c r="I303" s="458"/>
      <c r="J303" s="554"/>
      <c r="K303" s="488">
        <f>+K315</f>
        <v>30262.25</v>
      </c>
    </row>
    <row r="304" spans="2:11" x14ac:dyDescent="0.45">
      <c r="B304" s="545"/>
      <c r="C304" s="277"/>
      <c r="D304" s="344"/>
      <c r="E304" s="284"/>
      <c r="F304" s="207" t="s">
        <v>4</v>
      </c>
      <c r="G304" s="231" t="s">
        <v>120</v>
      </c>
      <c r="H304" s="209"/>
      <c r="I304" s="209"/>
      <c r="J304" s="396"/>
      <c r="K304" s="429">
        <f>SUM(K305:K308)</f>
        <v>10800</v>
      </c>
    </row>
    <row r="305" spans="2:11" ht="15.5" x14ac:dyDescent="0.45">
      <c r="B305" s="545"/>
      <c r="C305" s="277"/>
      <c r="D305" s="279" t="s">
        <v>107</v>
      </c>
      <c r="E305" s="397">
        <v>0.06</v>
      </c>
      <c r="F305" s="211" t="s">
        <v>108</v>
      </c>
      <c r="G305" s="209" t="s">
        <v>51</v>
      </c>
      <c r="H305" s="209"/>
      <c r="I305" s="209"/>
      <c r="J305" s="398">
        <f>'Analisa Upah'!F5</f>
        <v>75000</v>
      </c>
      <c r="K305" s="337">
        <f>ROUND(J305*E305,2)</f>
        <v>4500</v>
      </c>
    </row>
    <row r="306" spans="2:11" ht="15.5" x14ac:dyDescent="0.45">
      <c r="B306" s="545"/>
      <c r="C306" s="277"/>
      <c r="D306" s="279" t="s">
        <v>121</v>
      </c>
      <c r="E306" s="397">
        <v>0.06</v>
      </c>
      <c r="F306" s="211" t="s">
        <v>108</v>
      </c>
      <c r="G306" s="209" t="s">
        <v>58</v>
      </c>
      <c r="H306" s="209"/>
      <c r="I306" s="209"/>
      <c r="J306" s="398">
        <f>'Analisa Upah'!F8</f>
        <v>90000</v>
      </c>
      <c r="K306" s="337">
        <f>ROUND(J306*E306,2)</f>
        <v>5400</v>
      </c>
    </row>
    <row r="307" spans="2:11" ht="15.5" x14ac:dyDescent="0.45">
      <c r="B307" s="545"/>
      <c r="C307" s="277"/>
      <c r="D307" s="279" t="s">
        <v>122</v>
      </c>
      <c r="E307" s="399">
        <v>6.0000000000000001E-3</v>
      </c>
      <c r="F307" s="211" t="s">
        <v>108</v>
      </c>
      <c r="G307" s="209" t="s">
        <v>123</v>
      </c>
      <c r="H307" s="209"/>
      <c r="I307" s="209"/>
      <c r="J307" s="398">
        <f>'Analisa Upah'!F11</f>
        <v>95000</v>
      </c>
      <c r="K307" s="337">
        <f>ROUND(J307*E307,2)</f>
        <v>570</v>
      </c>
    </row>
    <row r="308" spans="2:11" ht="15.5" x14ac:dyDescent="0.45">
      <c r="B308" s="545"/>
      <c r="C308" s="277"/>
      <c r="D308" s="343" t="s">
        <v>109</v>
      </c>
      <c r="E308" s="400">
        <v>3.0000000000000001E-3</v>
      </c>
      <c r="F308" s="253" t="s">
        <v>108</v>
      </c>
      <c r="G308" s="229" t="s">
        <v>52</v>
      </c>
      <c r="H308" s="229"/>
      <c r="I308" s="229"/>
      <c r="J308" s="401">
        <f>'Analisa Upah'!F12</f>
        <v>110000</v>
      </c>
      <c r="K308" s="337">
        <f>ROUND(J308*E308,2)</f>
        <v>330</v>
      </c>
    </row>
    <row r="309" spans="2:11" x14ac:dyDescent="0.45">
      <c r="B309" s="545"/>
      <c r="C309" s="277"/>
      <c r="D309" s="344"/>
      <c r="E309" s="352"/>
      <c r="F309" s="207" t="s">
        <v>5</v>
      </c>
      <c r="G309" s="231" t="s">
        <v>124</v>
      </c>
      <c r="H309" s="209"/>
      <c r="I309" s="209"/>
      <c r="J309" s="398"/>
      <c r="K309" s="429">
        <f>SUM(K310:K311)</f>
        <v>15515</v>
      </c>
    </row>
    <row r="310" spans="2:11" x14ac:dyDescent="0.45">
      <c r="B310" s="545"/>
      <c r="C310" s="277"/>
      <c r="D310" s="341"/>
      <c r="E310" s="397">
        <v>1.1499999999999999</v>
      </c>
      <c r="F310" s="269" t="s">
        <v>39</v>
      </c>
      <c r="G310" s="226" t="s">
        <v>74</v>
      </c>
      <c r="H310" s="226"/>
      <c r="I310" s="226"/>
      <c r="J310" s="398">
        <f>'Harga Bahan'!D50</f>
        <v>12500</v>
      </c>
      <c r="K310" s="337">
        <f>ROUND(J310*E310,2)</f>
        <v>14375</v>
      </c>
    </row>
    <row r="311" spans="2:11" x14ac:dyDescent="0.45">
      <c r="B311" s="545"/>
      <c r="C311" s="277"/>
      <c r="D311" s="341"/>
      <c r="E311" s="402">
        <v>0.06</v>
      </c>
      <c r="F311" s="269" t="s">
        <v>39</v>
      </c>
      <c r="G311" s="226" t="s">
        <v>156</v>
      </c>
      <c r="H311" s="226"/>
      <c r="I311" s="226"/>
      <c r="J311" s="401">
        <f>'Harga Bahan'!D92</f>
        <v>19000</v>
      </c>
      <c r="K311" s="337">
        <f>ROUND(J311*E311,2)</f>
        <v>1140</v>
      </c>
    </row>
    <row r="312" spans="2:11" ht="15.5" x14ac:dyDescent="0.45">
      <c r="B312" s="545"/>
      <c r="C312" s="277"/>
      <c r="D312" s="211"/>
      <c r="E312" s="267"/>
      <c r="F312" s="207" t="s">
        <v>6</v>
      </c>
      <c r="G312" s="208" t="s">
        <v>111</v>
      </c>
      <c r="H312" s="209"/>
      <c r="I312" s="209"/>
      <c r="J312" s="398"/>
      <c r="K312" s="337">
        <f>ROUND(J312*E312,2)</f>
        <v>0</v>
      </c>
    </row>
    <row r="313" spans="2:11" ht="15.5" x14ac:dyDescent="0.45">
      <c r="B313" s="545"/>
      <c r="C313" s="277"/>
      <c r="D313" s="211"/>
      <c r="E313" s="267"/>
      <c r="F313" s="207" t="s">
        <v>112</v>
      </c>
      <c r="G313" s="208" t="s">
        <v>113</v>
      </c>
      <c r="H313" s="209"/>
      <c r="I313" s="209"/>
      <c r="J313" s="398"/>
      <c r="K313" s="429">
        <f>+K312+K309+K304</f>
        <v>26315</v>
      </c>
    </row>
    <row r="314" spans="2:11" ht="15.5" x14ac:dyDescent="0.45">
      <c r="B314" s="545"/>
      <c r="C314" s="277"/>
      <c r="D314" s="253"/>
      <c r="E314" s="275"/>
      <c r="F314" s="239" t="s">
        <v>114</v>
      </c>
      <c r="G314" s="257" t="e">
        <f>'Analisa '!#REF!</f>
        <v>#REF!</v>
      </c>
      <c r="H314" s="229"/>
      <c r="I314" s="348">
        <v>0.15</v>
      </c>
      <c r="J314" s="403"/>
      <c r="K314" s="453">
        <f>+I314*K313</f>
        <v>3947.25</v>
      </c>
    </row>
    <row r="315" spans="2:11" ht="15.5" x14ac:dyDescent="0.45">
      <c r="B315" s="505"/>
      <c r="C315" s="263"/>
      <c r="D315" s="211"/>
      <c r="E315" s="267"/>
      <c r="F315" s="207" t="s">
        <v>115</v>
      </c>
      <c r="G315" s="208" t="s">
        <v>127</v>
      </c>
      <c r="H315" s="209"/>
      <c r="I315" s="209"/>
      <c r="J315" s="398"/>
      <c r="K315" s="429">
        <f>+K314+K313</f>
        <v>30262.25</v>
      </c>
    </row>
    <row r="316" spans="2:11" x14ac:dyDescent="0.45">
      <c r="B316" s="546">
        <v>24</v>
      </c>
      <c r="C316" s="546" t="s">
        <v>37</v>
      </c>
      <c r="D316" s="547"/>
      <c r="E316" s="548">
        <v>1</v>
      </c>
      <c r="F316" s="548" t="s">
        <v>39</v>
      </c>
      <c r="G316" s="549" t="s">
        <v>157</v>
      </c>
      <c r="H316" s="550"/>
      <c r="I316" s="550"/>
      <c r="J316" s="551"/>
      <c r="K316" s="552">
        <f>+K327</f>
        <v>28951.25</v>
      </c>
    </row>
    <row r="317" spans="2:11" x14ac:dyDescent="0.45">
      <c r="B317" s="544"/>
      <c r="C317" s="277"/>
      <c r="D317" s="344"/>
      <c r="E317" s="284"/>
      <c r="F317" s="207" t="s">
        <v>4</v>
      </c>
      <c r="G317" s="231" t="s">
        <v>120</v>
      </c>
      <c r="H317" s="209"/>
      <c r="I317" s="209"/>
      <c r="J317" s="398"/>
      <c r="K317" s="465">
        <f>SUM(K318:K321)</f>
        <v>10800</v>
      </c>
    </row>
    <row r="318" spans="2:11" ht="15.5" x14ac:dyDescent="0.45">
      <c r="B318" s="545"/>
      <c r="C318" s="277"/>
      <c r="D318" s="279" t="s">
        <v>107</v>
      </c>
      <c r="E318" s="397">
        <v>0.06</v>
      </c>
      <c r="F318" s="211" t="s">
        <v>108</v>
      </c>
      <c r="G318" s="209" t="s">
        <v>51</v>
      </c>
      <c r="H318" s="209"/>
      <c r="I318" s="209"/>
      <c r="J318" s="398">
        <f>J305</f>
        <v>75000</v>
      </c>
      <c r="K318" s="466">
        <f>ROUND(J318*E318,2)</f>
        <v>4500</v>
      </c>
    </row>
    <row r="319" spans="2:11" ht="15.5" x14ac:dyDescent="0.45">
      <c r="B319" s="545"/>
      <c r="C319" s="277"/>
      <c r="D319" s="279" t="s">
        <v>121</v>
      </c>
      <c r="E319" s="397">
        <v>0.06</v>
      </c>
      <c r="F319" s="211" t="s">
        <v>108</v>
      </c>
      <c r="G319" s="209" t="s">
        <v>58</v>
      </c>
      <c r="H319" s="209"/>
      <c r="I319" s="209"/>
      <c r="J319" s="398">
        <f t="shared" ref="J319:J321" si="9">J306</f>
        <v>90000</v>
      </c>
      <c r="K319" s="466">
        <f>ROUND(J319*E319,2)</f>
        <v>5400</v>
      </c>
    </row>
    <row r="320" spans="2:11" ht="15.5" x14ac:dyDescent="0.45">
      <c r="B320" s="545"/>
      <c r="C320" s="277"/>
      <c r="D320" s="279" t="s">
        <v>122</v>
      </c>
      <c r="E320" s="399">
        <v>6.0000000000000001E-3</v>
      </c>
      <c r="F320" s="211" t="s">
        <v>108</v>
      </c>
      <c r="G320" s="209" t="s">
        <v>123</v>
      </c>
      <c r="H320" s="209"/>
      <c r="I320" s="209"/>
      <c r="J320" s="398">
        <f t="shared" si="9"/>
        <v>95000</v>
      </c>
      <c r="K320" s="466">
        <f>ROUND(J320*E320,2)</f>
        <v>570</v>
      </c>
    </row>
    <row r="321" spans="2:11" ht="15.5" x14ac:dyDescent="0.45">
      <c r="B321" s="545"/>
      <c r="C321" s="277"/>
      <c r="D321" s="343" t="s">
        <v>109</v>
      </c>
      <c r="E321" s="400">
        <v>3.0000000000000001E-3</v>
      </c>
      <c r="F321" s="253" t="s">
        <v>108</v>
      </c>
      <c r="G321" s="229" t="s">
        <v>52</v>
      </c>
      <c r="H321" s="229"/>
      <c r="I321" s="229"/>
      <c r="J321" s="398">
        <f t="shared" si="9"/>
        <v>110000</v>
      </c>
      <c r="K321" s="466">
        <f>ROUND(J321*E321,2)</f>
        <v>330</v>
      </c>
    </row>
    <row r="322" spans="2:11" x14ac:dyDescent="0.45">
      <c r="B322" s="545"/>
      <c r="C322" s="277"/>
      <c r="D322" s="344"/>
      <c r="E322" s="352"/>
      <c r="F322" s="207" t="s">
        <v>5</v>
      </c>
      <c r="G322" s="231" t="s">
        <v>124</v>
      </c>
      <c r="H322" s="209"/>
      <c r="I322" s="209"/>
      <c r="J322" s="398"/>
      <c r="K322" s="465">
        <f>SUM(K323:K323)</f>
        <v>14375</v>
      </c>
    </row>
    <row r="323" spans="2:11" x14ac:dyDescent="0.45">
      <c r="B323" s="545"/>
      <c r="C323" s="277"/>
      <c r="D323" s="341"/>
      <c r="E323" s="402">
        <v>1.1499999999999999</v>
      </c>
      <c r="F323" s="269" t="s">
        <v>66</v>
      </c>
      <c r="G323" s="226" t="s">
        <v>158</v>
      </c>
      <c r="H323" s="226"/>
      <c r="I323" s="226"/>
      <c r="J323" s="402">
        <f>J310</f>
        <v>12500</v>
      </c>
      <c r="K323" s="466">
        <f>ROUND(J323*E323,2)</f>
        <v>14375</v>
      </c>
    </row>
    <row r="324" spans="2:11" ht="15.5" x14ac:dyDescent="0.45">
      <c r="B324" s="545"/>
      <c r="C324" s="277"/>
      <c r="D324" s="211"/>
      <c r="E324" s="267"/>
      <c r="F324" s="207" t="s">
        <v>6</v>
      </c>
      <c r="G324" s="208" t="s">
        <v>111</v>
      </c>
      <c r="H324" s="209"/>
      <c r="I324" s="209"/>
      <c r="J324" s="398"/>
      <c r="K324" s="466">
        <f>ROUND(J324*E324,2)</f>
        <v>0</v>
      </c>
    </row>
    <row r="325" spans="2:11" ht="15.5" x14ac:dyDescent="0.45">
      <c r="B325" s="545"/>
      <c r="C325" s="277"/>
      <c r="D325" s="211"/>
      <c r="E325" s="267"/>
      <c r="F325" s="207" t="s">
        <v>112</v>
      </c>
      <c r="G325" s="208" t="s">
        <v>113</v>
      </c>
      <c r="H325" s="209"/>
      <c r="I325" s="209"/>
      <c r="J325" s="398"/>
      <c r="K325" s="465">
        <f>+K324+K322+K317</f>
        <v>25175</v>
      </c>
    </row>
    <row r="326" spans="2:11" ht="15.5" x14ac:dyDescent="0.45">
      <c r="B326" s="545"/>
      <c r="C326" s="277"/>
      <c r="D326" s="253"/>
      <c r="E326" s="275"/>
      <c r="F326" s="239" t="s">
        <v>114</v>
      </c>
      <c r="G326" s="257" t="e">
        <f>G314</f>
        <v>#REF!</v>
      </c>
      <c r="H326" s="229"/>
      <c r="I326" s="348">
        <v>0.15</v>
      </c>
      <c r="J326" s="398"/>
      <c r="K326" s="465">
        <f>+I326*K325</f>
        <v>3776.25</v>
      </c>
    </row>
    <row r="327" spans="2:11" ht="15.5" x14ac:dyDescent="0.45">
      <c r="B327" s="505"/>
      <c r="C327" s="263"/>
      <c r="D327" s="211"/>
      <c r="E327" s="267"/>
      <c r="F327" s="207" t="s">
        <v>115</v>
      </c>
      <c r="G327" s="208" t="s">
        <v>127</v>
      </c>
      <c r="H327" s="209"/>
      <c r="I327" s="209"/>
      <c r="J327" s="398"/>
      <c r="K327" s="469">
        <f>+K326+K325</f>
        <v>28951.25</v>
      </c>
    </row>
    <row r="328" spans="2:11" x14ac:dyDescent="0.45">
      <c r="B328" s="546">
        <v>25</v>
      </c>
      <c r="C328" s="546" t="s">
        <v>266</v>
      </c>
      <c r="D328" s="547"/>
      <c r="E328" s="548">
        <v>1</v>
      </c>
      <c r="F328" s="548" t="s">
        <v>30</v>
      </c>
      <c r="G328" s="549" t="s">
        <v>265</v>
      </c>
      <c r="H328" s="550"/>
      <c r="I328" s="550"/>
      <c r="J328" s="551"/>
      <c r="K328" s="552">
        <f>+K340</f>
        <v>70299.5</v>
      </c>
    </row>
    <row r="329" spans="2:11" x14ac:dyDescent="0.45">
      <c r="B329" s="544"/>
      <c r="C329" s="277"/>
      <c r="D329" s="344"/>
      <c r="E329" s="284"/>
      <c r="F329" s="207" t="s">
        <v>4</v>
      </c>
      <c r="G329" s="231" t="s">
        <v>120</v>
      </c>
      <c r="H329" s="209"/>
      <c r="I329" s="209"/>
      <c r="J329" s="398"/>
      <c r="K329" s="465">
        <f>SUM(K330:K333)</f>
        <v>15630</v>
      </c>
    </row>
    <row r="330" spans="2:11" ht="15.5" x14ac:dyDescent="0.45">
      <c r="B330" s="545"/>
      <c r="C330" s="277"/>
      <c r="D330" s="279" t="s">
        <v>107</v>
      </c>
      <c r="E330" s="397">
        <v>0.12</v>
      </c>
      <c r="F330" s="211" t="s">
        <v>108</v>
      </c>
      <c r="G330" s="209" t="s">
        <v>51</v>
      </c>
      <c r="H330" s="209"/>
      <c r="I330" s="209"/>
      <c r="J330" s="398">
        <f>'Analisa Upah'!F5</f>
        <v>75000</v>
      </c>
      <c r="K330" s="466">
        <f>ROUND(J330*E330,2)</f>
        <v>9000</v>
      </c>
    </row>
    <row r="331" spans="2:11" ht="15.5" x14ac:dyDescent="0.45">
      <c r="B331" s="545"/>
      <c r="C331" s="277"/>
      <c r="D331" s="279" t="s">
        <v>121</v>
      </c>
      <c r="E331" s="397">
        <v>0.06</v>
      </c>
      <c r="F331" s="211" t="s">
        <v>108</v>
      </c>
      <c r="G331" s="209" t="s">
        <v>56</v>
      </c>
      <c r="H331" s="209"/>
      <c r="I331" s="209"/>
      <c r="J331" s="398">
        <f>'Analisa Upah'!F6</f>
        <v>90000</v>
      </c>
      <c r="K331" s="466">
        <f>ROUND(J331*E331,2)</f>
        <v>5400</v>
      </c>
    </row>
    <row r="332" spans="2:11" ht="15.5" x14ac:dyDescent="0.45">
      <c r="B332" s="545"/>
      <c r="C332" s="277"/>
      <c r="D332" s="279" t="s">
        <v>122</v>
      </c>
      <c r="E332" s="399">
        <v>6.0000000000000001E-3</v>
      </c>
      <c r="F332" s="211" t="s">
        <v>108</v>
      </c>
      <c r="G332" s="209" t="s">
        <v>123</v>
      </c>
      <c r="H332" s="209"/>
      <c r="I332" s="209"/>
      <c r="J332" s="398">
        <f>'Analisa Upah'!F11</f>
        <v>95000</v>
      </c>
      <c r="K332" s="466">
        <f>ROUND(J332*E332,2)</f>
        <v>570</v>
      </c>
    </row>
    <row r="333" spans="2:11" ht="15.5" x14ac:dyDescent="0.45">
      <c r="B333" s="545"/>
      <c r="C333" s="277"/>
      <c r="D333" s="343" t="s">
        <v>109</v>
      </c>
      <c r="E333" s="400">
        <v>6.0000000000000001E-3</v>
      </c>
      <c r="F333" s="253" t="s">
        <v>108</v>
      </c>
      <c r="G333" s="229" t="s">
        <v>52</v>
      </c>
      <c r="H333" s="229"/>
      <c r="I333" s="229"/>
      <c r="J333" s="398">
        <f>'Analisa Upah'!F12</f>
        <v>110000</v>
      </c>
      <c r="K333" s="466">
        <f>ROUND(J333*E333,2)</f>
        <v>660</v>
      </c>
    </row>
    <row r="334" spans="2:11" x14ac:dyDescent="0.45">
      <c r="B334" s="545"/>
      <c r="C334" s="277"/>
      <c r="D334" s="344"/>
      <c r="E334" s="352"/>
      <c r="F334" s="207" t="s">
        <v>5</v>
      </c>
      <c r="G334" s="231" t="s">
        <v>124</v>
      </c>
      <c r="H334" s="209"/>
      <c r="I334" s="209"/>
      <c r="J334" s="398"/>
      <c r="K334" s="465">
        <f>SUM(K335:K335)</f>
        <v>45500</v>
      </c>
    </row>
    <row r="335" spans="2:11" x14ac:dyDescent="0.45">
      <c r="B335" s="545"/>
      <c r="C335" s="277"/>
      <c r="D335" s="341"/>
      <c r="E335" s="402">
        <v>0.7</v>
      </c>
      <c r="F335" s="269" t="s">
        <v>133</v>
      </c>
      <c r="G335" s="226" t="s">
        <v>452</v>
      </c>
      <c r="H335" s="226"/>
      <c r="I335" s="226"/>
      <c r="J335" s="402">
        <f>'Harga Bahan'!D23</f>
        <v>65000</v>
      </c>
      <c r="K335" s="466">
        <f>ROUND(J335*E335,2)</f>
        <v>45500</v>
      </c>
    </row>
    <row r="336" spans="2:11" x14ac:dyDescent="0.45">
      <c r="B336" s="545"/>
      <c r="C336" s="277"/>
      <c r="D336" s="341"/>
      <c r="E336" s="402">
        <v>0.02</v>
      </c>
      <c r="F336" s="269" t="s">
        <v>39</v>
      </c>
      <c r="G336" s="226" t="s">
        <v>453</v>
      </c>
      <c r="H336" s="226"/>
      <c r="I336" s="226"/>
      <c r="J336" s="402">
        <f>'Harga Bahan'!D119</f>
        <v>21000</v>
      </c>
      <c r="K336" s="466">
        <f>ROUND(J336*E336,2)</f>
        <v>420</v>
      </c>
    </row>
    <row r="337" spans="2:11" ht="15.5" x14ac:dyDescent="0.45">
      <c r="B337" s="545"/>
      <c r="C337" s="277"/>
      <c r="D337" s="211"/>
      <c r="E337" s="267"/>
      <c r="F337" s="207" t="s">
        <v>6</v>
      </c>
      <c r="G337" s="208" t="s">
        <v>111</v>
      </c>
      <c r="H337" s="209"/>
      <c r="I337" s="209"/>
      <c r="J337" s="398"/>
      <c r="K337" s="466">
        <f>ROUND(J337*E337,2)</f>
        <v>0</v>
      </c>
    </row>
    <row r="338" spans="2:11" ht="15.5" x14ac:dyDescent="0.45">
      <c r="B338" s="545"/>
      <c r="C338" s="277"/>
      <c r="D338" s="211"/>
      <c r="E338" s="267"/>
      <c r="F338" s="207" t="s">
        <v>112</v>
      </c>
      <c r="G338" s="208" t="s">
        <v>113</v>
      </c>
      <c r="H338" s="209"/>
      <c r="I338" s="209"/>
      <c r="J338" s="398"/>
      <c r="K338" s="465">
        <f>+K337+K334+K329</f>
        <v>61130</v>
      </c>
    </row>
    <row r="339" spans="2:11" ht="15.5" x14ac:dyDescent="0.45">
      <c r="B339" s="545"/>
      <c r="C339" s="277"/>
      <c r="D339" s="253"/>
      <c r="E339" s="275"/>
      <c r="F339" s="239" t="s">
        <v>114</v>
      </c>
      <c r="G339" s="257" t="e">
        <f>G326</f>
        <v>#REF!</v>
      </c>
      <c r="H339" s="229"/>
      <c r="I339" s="348">
        <v>0.15</v>
      </c>
      <c r="J339" s="398"/>
      <c r="K339" s="465">
        <f>+I339*K338</f>
        <v>9169.5</v>
      </c>
    </row>
    <row r="340" spans="2:11" ht="15.5" x14ac:dyDescent="0.45">
      <c r="B340" s="505"/>
      <c r="C340" s="263"/>
      <c r="D340" s="211"/>
      <c r="E340" s="267"/>
      <c r="F340" s="207" t="s">
        <v>115</v>
      </c>
      <c r="G340" s="208" t="s">
        <v>127</v>
      </c>
      <c r="H340" s="209"/>
      <c r="I340" s="209"/>
      <c r="J340" s="398"/>
      <c r="K340" s="469">
        <f>+K339+K338</f>
        <v>70299.5</v>
      </c>
    </row>
    <row r="341" spans="2:11" x14ac:dyDescent="0.45">
      <c r="B341" s="546">
        <v>26</v>
      </c>
      <c r="C341" s="546" t="s">
        <v>454</v>
      </c>
      <c r="D341" s="547"/>
      <c r="E341" s="548">
        <v>1</v>
      </c>
      <c r="F341" s="548" t="s">
        <v>31</v>
      </c>
      <c r="G341" s="549" t="s">
        <v>455</v>
      </c>
      <c r="H341" s="550"/>
      <c r="I341" s="550"/>
      <c r="J341" s="551"/>
      <c r="K341" s="552">
        <f>+K353</f>
        <v>37231.25</v>
      </c>
    </row>
    <row r="342" spans="2:11" x14ac:dyDescent="0.45">
      <c r="B342" s="544"/>
      <c r="C342" s="277"/>
      <c r="D342" s="344"/>
      <c r="E342" s="284"/>
      <c r="F342" s="207" t="s">
        <v>4</v>
      </c>
      <c r="G342" s="231" t="s">
        <v>120</v>
      </c>
      <c r="H342" s="209"/>
      <c r="I342" s="209"/>
      <c r="J342" s="398"/>
      <c r="K342" s="465">
        <f>SUM(K343:K346)</f>
        <v>18875</v>
      </c>
    </row>
    <row r="343" spans="2:11" ht="15.5" x14ac:dyDescent="0.45">
      <c r="B343" s="545"/>
      <c r="C343" s="277"/>
      <c r="D343" s="279" t="s">
        <v>107</v>
      </c>
      <c r="E343" s="397">
        <v>0.15</v>
      </c>
      <c r="F343" s="211" t="s">
        <v>108</v>
      </c>
      <c r="G343" s="209" t="s">
        <v>51</v>
      </c>
      <c r="H343" s="209"/>
      <c r="I343" s="209"/>
      <c r="J343" s="398">
        <f>J330</f>
        <v>75000</v>
      </c>
      <c r="K343" s="466">
        <f>ROUND(J343*E343,2)</f>
        <v>11250</v>
      </c>
    </row>
    <row r="344" spans="2:11" ht="15.5" x14ac:dyDescent="0.45">
      <c r="B344" s="545"/>
      <c r="C344" s="277"/>
      <c r="D344" s="279" t="s">
        <v>121</v>
      </c>
      <c r="E344" s="397">
        <v>7.0000000000000007E-2</v>
      </c>
      <c r="F344" s="211" t="s">
        <v>108</v>
      </c>
      <c r="G344" s="209" t="s">
        <v>56</v>
      </c>
      <c r="H344" s="209"/>
      <c r="I344" s="209"/>
      <c r="J344" s="398">
        <f t="shared" ref="J344:J346" si="10">J331</f>
        <v>90000</v>
      </c>
      <c r="K344" s="466">
        <f>ROUND(J344*E344,2)</f>
        <v>6300</v>
      </c>
    </row>
    <row r="345" spans="2:11" ht="15.5" x14ac:dyDescent="0.45">
      <c r="B345" s="545"/>
      <c r="C345" s="277"/>
      <c r="D345" s="279" t="s">
        <v>122</v>
      </c>
      <c r="E345" s="399">
        <v>7.0000000000000001E-3</v>
      </c>
      <c r="F345" s="211" t="s">
        <v>108</v>
      </c>
      <c r="G345" s="209" t="s">
        <v>123</v>
      </c>
      <c r="H345" s="209"/>
      <c r="I345" s="209"/>
      <c r="J345" s="398">
        <f t="shared" si="10"/>
        <v>95000</v>
      </c>
      <c r="K345" s="466">
        <f>ROUND(J345*E345,2)</f>
        <v>665</v>
      </c>
    </row>
    <row r="346" spans="2:11" ht="15.5" x14ac:dyDescent="0.45">
      <c r="B346" s="545"/>
      <c r="C346" s="277"/>
      <c r="D346" s="343" t="s">
        <v>109</v>
      </c>
      <c r="E346" s="400">
        <v>6.0000000000000001E-3</v>
      </c>
      <c r="F346" s="253" t="s">
        <v>108</v>
      </c>
      <c r="G346" s="229" t="s">
        <v>52</v>
      </c>
      <c r="H346" s="229"/>
      <c r="I346" s="229"/>
      <c r="J346" s="398">
        <f t="shared" si="10"/>
        <v>110000</v>
      </c>
      <c r="K346" s="466">
        <f>ROUND(J346*E346,2)</f>
        <v>660</v>
      </c>
    </row>
    <row r="347" spans="2:11" x14ac:dyDescent="0.45">
      <c r="B347" s="545"/>
      <c r="C347" s="277"/>
      <c r="D347" s="344"/>
      <c r="E347" s="352"/>
      <c r="F347" s="207" t="s">
        <v>5</v>
      </c>
      <c r="G347" s="231" t="s">
        <v>124</v>
      </c>
      <c r="H347" s="209"/>
      <c r="I347" s="209"/>
      <c r="J347" s="398"/>
      <c r="K347" s="465">
        <f>SUM(K348:K348)</f>
        <v>13500</v>
      </c>
    </row>
    <row r="348" spans="2:11" x14ac:dyDescent="0.45">
      <c r="B348" s="545"/>
      <c r="C348" s="277"/>
      <c r="D348" s="341"/>
      <c r="E348" s="402">
        <v>0.3</v>
      </c>
      <c r="F348" s="269" t="s">
        <v>133</v>
      </c>
      <c r="G348" s="226" t="s">
        <v>456</v>
      </c>
      <c r="H348" s="226"/>
      <c r="I348" s="226"/>
      <c r="J348" s="402">
        <f>'Harga Bahan'!D19</f>
        <v>45000</v>
      </c>
      <c r="K348" s="466">
        <f>ROUND(J348*E348,2)</f>
        <v>13500</v>
      </c>
    </row>
    <row r="349" spans="2:11" x14ac:dyDescent="0.45">
      <c r="B349" s="545"/>
      <c r="C349" s="277"/>
      <c r="D349" s="341"/>
      <c r="E349" s="402">
        <v>0.04</v>
      </c>
      <c r="F349" s="269" t="s">
        <v>39</v>
      </c>
      <c r="G349" s="226" t="s">
        <v>453</v>
      </c>
      <c r="H349" s="226"/>
      <c r="I349" s="226"/>
      <c r="J349" s="402">
        <f>J336</f>
        <v>21000</v>
      </c>
      <c r="K349" s="466">
        <f>ROUND(J349*E349,2)</f>
        <v>840</v>
      </c>
    </row>
    <row r="350" spans="2:11" ht="15.5" x14ac:dyDescent="0.45">
      <c r="B350" s="545"/>
      <c r="C350" s="277"/>
      <c r="D350" s="211"/>
      <c r="E350" s="267"/>
      <c r="F350" s="207" t="s">
        <v>6</v>
      </c>
      <c r="G350" s="208" t="s">
        <v>111</v>
      </c>
      <c r="H350" s="209"/>
      <c r="I350" s="209"/>
      <c r="J350" s="398"/>
      <c r="K350" s="466">
        <f>ROUND(J350*E350,2)</f>
        <v>0</v>
      </c>
    </row>
    <row r="351" spans="2:11" ht="15.5" x14ac:dyDescent="0.45">
      <c r="B351" s="545"/>
      <c r="C351" s="277"/>
      <c r="D351" s="211"/>
      <c r="E351" s="267"/>
      <c r="F351" s="207" t="s">
        <v>112</v>
      </c>
      <c r="G351" s="208" t="s">
        <v>113</v>
      </c>
      <c r="H351" s="209"/>
      <c r="I351" s="209"/>
      <c r="J351" s="398"/>
      <c r="K351" s="465">
        <f>+K350+K347+K342</f>
        <v>32375</v>
      </c>
    </row>
    <row r="352" spans="2:11" ht="15.5" x14ac:dyDescent="0.45">
      <c r="B352" s="545"/>
      <c r="C352" s="277"/>
      <c r="D352" s="253"/>
      <c r="E352" s="275"/>
      <c r="F352" s="239" t="s">
        <v>114</v>
      </c>
      <c r="G352" s="257" t="e">
        <f>G339</f>
        <v>#REF!</v>
      </c>
      <c r="H352" s="229"/>
      <c r="I352" s="348">
        <v>0.15</v>
      </c>
      <c r="J352" s="398"/>
      <c r="K352" s="465">
        <f>+I352*K351</f>
        <v>4856.25</v>
      </c>
    </row>
    <row r="353" spans="2:11" ht="15.5" x14ac:dyDescent="0.45">
      <c r="B353" s="505"/>
      <c r="C353" s="263"/>
      <c r="D353" s="211"/>
      <c r="E353" s="267"/>
      <c r="F353" s="207" t="s">
        <v>115</v>
      </c>
      <c r="G353" s="208" t="s">
        <v>127</v>
      </c>
      <c r="H353" s="209"/>
      <c r="I353" s="209"/>
      <c r="J353" s="398"/>
      <c r="K353" s="469">
        <f>+K352+K351</f>
        <v>37231.25</v>
      </c>
    </row>
    <row r="354" spans="2:11" x14ac:dyDescent="0.45">
      <c r="B354" s="470">
        <v>27</v>
      </c>
      <c r="C354" s="439" t="s">
        <v>191</v>
      </c>
      <c r="D354" s="555"/>
      <c r="E354" s="556">
        <v>1</v>
      </c>
      <c r="F354" s="448" t="s">
        <v>31</v>
      </c>
      <c r="G354" s="557" t="s">
        <v>247</v>
      </c>
      <c r="H354" s="555"/>
      <c r="I354" s="555"/>
      <c r="J354" s="558"/>
      <c r="K354" s="534">
        <f>+K366</f>
        <v>53894.75</v>
      </c>
    </row>
    <row r="355" spans="2:11" ht="15.5" x14ac:dyDescent="0.45">
      <c r="B355" s="492"/>
      <c r="C355" s="277"/>
      <c r="D355" s="226"/>
      <c r="E355" s="390"/>
      <c r="F355" s="206" t="s">
        <v>4</v>
      </c>
      <c r="G355" s="274" t="s">
        <v>120</v>
      </c>
      <c r="H355" s="204"/>
      <c r="I355" s="204"/>
      <c r="J355" s="248"/>
      <c r="K355" s="559">
        <f>SUM(K356:K359)</f>
        <v>8890</v>
      </c>
    </row>
    <row r="356" spans="2:11" ht="15.5" x14ac:dyDescent="0.45">
      <c r="B356" s="338"/>
      <c r="C356" s="277"/>
      <c r="D356" s="279" t="s">
        <v>107</v>
      </c>
      <c r="E356" s="381">
        <v>3.5999999999999997E-2</v>
      </c>
      <c r="F356" s="267" t="s">
        <v>108</v>
      </c>
      <c r="G356" s="339" t="s">
        <v>51</v>
      </c>
      <c r="H356" s="209"/>
      <c r="I356" s="209"/>
      <c r="J356" s="222">
        <f>'Analisa Upah'!F5</f>
        <v>75000</v>
      </c>
      <c r="K356" s="466">
        <f>ROUND(J356*E356,2)</f>
        <v>2700</v>
      </c>
    </row>
    <row r="357" spans="2:11" ht="15.5" x14ac:dyDescent="0.45">
      <c r="B357" s="338"/>
      <c r="C357" s="277"/>
      <c r="D357" s="279" t="s">
        <v>121</v>
      </c>
      <c r="E357" s="381">
        <v>0.06</v>
      </c>
      <c r="F357" s="267" t="s">
        <v>108</v>
      </c>
      <c r="G357" s="339" t="s">
        <v>57</v>
      </c>
      <c r="H357" s="209"/>
      <c r="I357" s="209"/>
      <c r="J357" s="222">
        <f>'Analisa Upah'!F7</f>
        <v>90000</v>
      </c>
      <c r="K357" s="466">
        <f>ROUND(J357*E357,2)</f>
        <v>5400</v>
      </c>
    </row>
    <row r="358" spans="2:11" ht="15.5" x14ac:dyDescent="0.45">
      <c r="B358" s="338"/>
      <c r="C358" s="277"/>
      <c r="D358" s="279" t="s">
        <v>122</v>
      </c>
      <c r="E358" s="381">
        <v>6.0000000000000001E-3</v>
      </c>
      <c r="F358" s="267" t="s">
        <v>108</v>
      </c>
      <c r="G358" s="339" t="s">
        <v>123</v>
      </c>
      <c r="H358" s="209"/>
      <c r="I358" s="209"/>
      <c r="J358" s="222">
        <f>'Analisa Upah'!F11</f>
        <v>95000</v>
      </c>
      <c r="K358" s="466">
        <f>ROUND(J358*E358,2)</f>
        <v>570</v>
      </c>
    </row>
    <row r="359" spans="2:11" ht="15.5" x14ac:dyDescent="0.45">
      <c r="B359" s="338"/>
      <c r="C359" s="277"/>
      <c r="D359" s="369" t="s">
        <v>109</v>
      </c>
      <c r="E359" s="382">
        <v>2E-3</v>
      </c>
      <c r="F359" s="271" t="s">
        <v>108</v>
      </c>
      <c r="G359" s="370" t="s">
        <v>52</v>
      </c>
      <c r="H359" s="226"/>
      <c r="I359" s="226"/>
      <c r="J359" s="335">
        <f>'Analisa Upah'!F12</f>
        <v>110000</v>
      </c>
      <c r="K359" s="466">
        <f>ROUND(J359*E359,2)</f>
        <v>220</v>
      </c>
    </row>
    <row r="360" spans="2:11" ht="15.5" x14ac:dyDescent="0.45">
      <c r="B360" s="338"/>
      <c r="C360" s="277"/>
      <c r="D360" s="232"/>
      <c r="E360" s="391"/>
      <c r="F360" s="285" t="s">
        <v>5</v>
      </c>
      <c r="G360" s="353" t="s">
        <v>124</v>
      </c>
      <c r="H360" s="231"/>
      <c r="I360" s="231"/>
      <c r="J360" s="222"/>
      <c r="K360" s="465">
        <f>SUM(K361:K362)</f>
        <v>37975</v>
      </c>
    </row>
    <row r="361" spans="2:11" ht="15.5" x14ac:dyDescent="0.45">
      <c r="B361" s="338"/>
      <c r="C361" s="277"/>
      <c r="D361" s="339"/>
      <c r="E361" s="392">
        <v>1.2</v>
      </c>
      <c r="F361" s="267" t="s">
        <v>31</v>
      </c>
      <c r="G361" s="339" t="s">
        <v>457</v>
      </c>
      <c r="H361" s="209"/>
      <c r="I361" s="209"/>
      <c r="J361" s="222">
        <f>'Harga Bahan'!E69</f>
        <v>24500</v>
      </c>
      <c r="K361" s="466">
        <f>ROUND(J361*E361,2)</f>
        <v>29400</v>
      </c>
    </row>
    <row r="362" spans="2:11" ht="15.5" x14ac:dyDescent="0.45">
      <c r="B362" s="338"/>
      <c r="C362" s="277"/>
      <c r="D362" s="370"/>
      <c r="E362" s="342">
        <v>0.35</v>
      </c>
      <c r="F362" s="271" t="s">
        <v>175</v>
      </c>
      <c r="G362" s="370" t="s">
        <v>246</v>
      </c>
      <c r="H362" s="226"/>
      <c r="I362" s="226"/>
      <c r="J362" s="301">
        <f>J361</f>
        <v>24500</v>
      </c>
      <c r="K362" s="466">
        <f>ROUND(J362*E362,2)</f>
        <v>8575</v>
      </c>
    </row>
    <row r="363" spans="2:11" x14ac:dyDescent="0.45">
      <c r="B363" s="238"/>
      <c r="C363" s="277"/>
      <c r="D363" s="379"/>
      <c r="E363" s="384"/>
      <c r="F363" s="207" t="s">
        <v>6</v>
      </c>
      <c r="G363" s="208" t="s">
        <v>111</v>
      </c>
      <c r="H363" s="209"/>
      <c r="I363" s="209"/>
      <c r="J363" s="222"/>
      <c r="K363" s="466">
        <f>ROUND(J363*E363,2)</f>
        <v>0</v>
      </c>
    </row>
    <row r="364" spans="2:11" x14ac:dyDescent="0.45">
      <c r="B364" s="238"/>
      <c r="C364" s="277"/>
      <c r="D364" s="379"/>
      <c r="E364" s="384"/>
      <c r="F364" s="207" t="s">
        <v>112</v>
      </c>
      <c r="G364" s="208" t="s">
        <v>113</v>
      </c>
      <c r="H364" s="209"/>
      <c r="I364" s="209"/>
      <c r="J364" s="222"/>
      <c r="K364" s="465">
        <f>+K363+K360+K355</f>
        <v>46865</v>
      </c>
    </row>
    <row r="365" spans="2:11" x14ac:dyDescent="0.45">
      <c r="B365" s="238"/>
      <c r="C365" s="277"/>
      <c r="D365" s="380"/>
      <c r="E365" s="393"/>
      <c r="F365" s="239" t="s">
        <v>114</v>
      </c>
      <c r="G365" s="257" t="e">
        <f>+#REF!</f>
        <v>#REF!</v>
      </c>
      <c r="H365" s="229"/>
      <c r="I365" s="348">
        <v>0.15</v>
      </c>
      <c r="J365" s="222"/>
      <c r="K365" s="513">
        <f>+I365*K364</f>
        <v>7029.75</v>
      </c>
    </row>
    <row r="366" spans="2:11" x14ac:dyDescent="0.45">
      <c r="B366" s="356"/>
      <c r="C366" s="263"/>
      <c r="D366" s="379"/>
      <c r="E366" s="384"/>
      <c r="F366" s="207" t="s">
        <v>115</v>
      </c>
      <c r="G366" s="208" t="s">
        <v>127</v>
      </c>
      <c r="H366" s="209"/>
      <c r="I366" s="209"/>
      <c r="J366" s="222"/>
      <c r="K366" s="465">
        <f>+K365+K364</f>
        <v>53894.75</v>
      </c>
    </row>
    <row r="367" spans="2:11" x14ac:dyDescent="0.45">
      <c r="B367" s="470">
        <v>28</v>
      </c>
      <c r="C367" s="439" t="s">
        <v>458</v>
      </c>
      <c r="D367" s="555"/>
      <c r="E367" s="556">
        <v>1</v>
      </c>
      <c r="F367" s="448" t="s">
        <v>30</v>
      </c>
      <c r="G367" s="557" t="s">
        <v>459</v>
      </c>
      <c r="H367" s="555"/>
      <c r="I367" s="555"/>
      <c r="J367" s="558"/>
      <c r="K367" s="534">
        <f>+K379</f>
        <v>108450.75</v>
      </c>
    </row>
    <row r="368" spans="2:11" ht="15.5" x14ac:dyDescent="0.45">
      <c r="B368" s="492"/>
      <c r="C368" s="277"/>
      <c r="D368" s="226"/>
      <c r="E368" s="390"/>
      <c r="F368" s="206" t="s">
        <v>4</v>
      </c>
      <c r="G368" s="274" t="s">
        <v>120</v>
      </c>
      <c r="H368" s="204"/>
      <c r="I368" s="204"/>
      <c r="J368" s="248"/>
      <c r="K368" s="559">
        <f>SUM(K369:K372)</f>
        <v>63055</v>
      </c>
    </row>
    <row r="369" spans="2:11" ht="15.5" x14ac:dyDescent="0.45">
      <c r="B369" s="338"/>
      <c r="C369" s="277"/>
      <c r="D369" s="279" t="s">
        <v>107</v>
      </c>
      <c r="E369" s="381">
        <v>0.35</v>
      </c>
      <c r="F369" s="267" t="s">
        <v>108</v>
      </c>
      <c r="G369" s="339" t="s">
        <v>51</v>
      </c>
      <c r="H369" s="209"/>
      <c r="I369" s="209"/>
      <c r="J369" s="222">
        <f>'Analisa Upah'!F5</f>
        <v>75000</v>
      </c>
      <c r="K369" s="466">
        <f>ROUND(J369*E369,2)</f>
        <v>26250</v>
      </c>
    </row>
    <row r="370" spans="2:11" ht="15.5" x14ac:dyDescent="0.45">
      <c r="B370" s="338"/>
      <c r="C370" s="277"/>
      <c r="D370" s="279" t="s">
        <v>121</v>
      </c>
      <c r="E370" s="381">
        <v>0.35</v>
      </c>
      <c r="F370" s="267" t="s">
        <v>108</v>
      </c>
      <c r="G370" s="339" t="s">
        <v>58</v>
      </c>
      <c r="H370" s="209"/>
      <c r="I370" s="209"/>
      <c r="J370" s="222">
        <f>'Analisa Upah'!F8</f>
        <v>90000</v>
      </c>
      <c r="K370" s="466">
        <f>ROUND(J370*E370,2)</f>
        <v>31500</v>
      </c>
    </row>
    <row r="371" spans="2:11" ht="15.5" x14ac:dyDescent="0.45">
      <c r="B371" s="338"/>
      <c r="C371" s="277"/>
      <c r="D371" s="279" t="s">
        <v>122</v>
      </c>
      <c r="E371" s="381">
        <v>3.5000000000000003E-2</v>
      </c>
      <c r="F371" s="267" t="s">
        <v>108</v>
      </c>
      <c r="G371" s="339" t="s">
        <v>123</v>
      </c>
      <c r="H371" s="209"/>
      <c r="I371" s="209"/>
      <c r="J371" s="222">
        <f>'Analisa Upah'!F11</f>
        <v>95000</v>
      </c>
      <c r="K371" s="466">
        <f>ROUND(J371*E371,2)</f>
        <v>3325</v>
      </c>
    </row>
    <row r="372" spans="2:11" ht="15.5" x14ac:dyDescent="0.45">
      <c r="B372" s="338"/>
      <c r="C372" s="277"/>
      <c r="D372" s="369" t="s">
        <v>109</v>
      </c>
      <c r="E372" s="382">
        <v>1.7999999999999999E-2</v>
      </c>
      <c r="F372" s="271" t="s">
        <v>108</v>
      </c>
      <c r="G372" s="370" t="s">
        <v>52</v>
      </c>
      <c r="H372" s="226"/>
      <c r="I372" s="226"/>
      <c r="J372" s="335">
        <f>'Analisa Upah'!F12</f>
        <v>110000</v>
      </c>
      <c r="K372" s="466">
        <f>ROUND(J372*E372,2)</f>
        <v>1980</v>
      </c>
    </row>
    <row r="373" spans="2:11" ht="15.5" x14ac:dyDescent="0.45">
      <c r="B373" s="338"/>
      <c r="C373" s="277"/>
      <c r="D373" s="232"/>
      <c r="E373" s="391"/>
      <c r="F373" s="285" t="s">
        <v>5</v>
      </c>
      <c r="G373" s="353" t="s">
        <v>124</v>
      </c>
      <c r="H373" s="231"/>
      <c r="I373" s="231"/>
      <c r="J373" s="222"/>
      <c r="K373" s="465">
        <f>SUM(K374:K375)</f>
        <v>31250</v>
      </c>
    </row>
    <row r="374" spans="2:11" ht="15.5" x14ac:dyDescent="0.45">
      <c r="B374" s="338"/>
      <c r="C374" s="277"/>
      <c r="D374" s="339"/>
      <c r="E374" s="392">
        <v>4</v>
      </c>
      <c r="F374" s="267" t="s">
        <v>31</v>
      </c>
      <c r="G374" s="339" t="s">
        <v>460</v>
      </c>
      <c r="H374" s="209"/>
      <c r="I374" s="209"/>
      <c r="J374" s="222">
        <f>'Harga Bahan'!E52</f>
        <v>6250</v>
      </c>
      <c r="K374" s="466">
        <f>ROUND(J374*E374,2)</f>
        <v>25000</v>
      </c>
    </row>
    <row r="375" spans="2:11" ht="15.5" x14ac:dyDescent="0.45">
      <c r="B375" s="338"/>
      <c r="C375" s="277"/>
      <c r="D375" s="370"/>
      <c r="E375" s="342">
        <v>1</v>
      </c>
      <c r="F375" s="271" t="s">
        <v>175</v>
      </c>
      <c r="G375" s="370" t="s">
        <v>461</v>
      </c>
      <c r="H375" s="226"/>
      <c r="I375" s="226"/>
      <c r="J375" s="301">
        <f>J374</f>
        <v>6250</v>
      </c>
      <c r="K375" s="466">
        <f>ROUND(J375*E375,2)</f>
        <v>6250</v>
      </c>
    </row>
    <row r="376" spans="2:11" x14ac:dyDescent="0.45">
      <c r="B376" s="238"/>
      <c r="C376" s="277"/>
      <c r="D376" s="379"/>
      <c r="E376" s="384"/>
      <c r="F376" s="207" t="s">
        <v>6</v>
      </c>
      <c r="G376" s="208" t="s">
        <v>111</v>
      </c>
      <c r="H376" s="209"/>
      <c r="I376" s="209"/>
      <c r="J376" s="222"/>
      <c r="K376" s="466">
        <f>ROUND(J376*E376,2)</f>
        <v>0</v>
      </c>
    </row>
    <row r="377" spans="2:11" x14ac:dyDescent="0.45">
      <c r="B377" s="238"/>
      <c r="C377" s="277"/>
      <c r="D377" s="379"/>
      <c r="E377" s="384"/>
      <c r="F377" s="207" t="s">
        <v>112</v>
      </c>
      <c r="G377" s="208" t="s">
        <v>113</v>
      </c>
      <c r="H377" s="209"/>
      <c r="I377" s="209"/>
      <c r="J377" s="222"/>
      <c r="K377" s="465">
        <f>+K376+K373+K368</f>
        <v>94305</v>
      </c>
    </row>
    <row r="378" spans="2:11" x14ac:dyDescent="0.45">
      <c r="B378" s="238"/>
      <c r="C378" s="277"/>
      <c r="D378" s="380"/>
      <c r="E378" s="393"/>
      <c r="F378" s="239" t="s">
        <v>114</v>
      </c>
      <c r="G378" s="257" t="s">
        <v>166</v>
      </c>
      <c r="H378" s="229"/>
      <c r="I378" s="348">
        <v>0.15</v>
      </c>
      <c r="J378" s="222"/>
      <c r="K378" s="513">
        <f>+I378*K377</f>
        <v>14145.75</v>
      </c>
    </row>
    <row r="379" spans="2:11" x14ac:dyDescent="0.45">
      <c r="B379" s="238"/>
      <c r="C379" s="277"/>
      <c r="D379" s="385"/>
      <c r="E379" s="386"/>
      <c r="F379" s="387" t="s">
        <v>115</v>
      </c>
      <c r="G379" s="388" t="s">
        <v>127</v>
      </c>
      <c r="H379" s="306"/>
      <c r="I379" s="306"/>
      <c r="J379" s="560"/>
      <c r="K379" s="527">
        <f>+K378+K377</f>
        <v>108450.75</v>
      </c>
    </row>
    <row r="380" spans="2:11" ht="15.5" x14ac:dyDescent="0.45">
      <c r="B380" s="1069">
        <v>29</v>
      </c>
      <c r="C380" s="1069" t="s">
        <v>206</v>
      </c>
      <c r="D380" s="486"/>
      <c r="E380" s="1079">
        <v>1</v>
      </c>
      <c r="F380" s="1071" t="s">
        <v>30</v>
      </c>
      <c r="G380" s="487" t="s">
        <v>268</v>
      </c>
      <c r="H380" s="458"/>
      <c r="I380" s="506"/>
      <c r="J380" s="518"/>
      <c r="K380" s="488">
        <f>K393</f>
        <v>43588.45</v>
      </c>
    </row>
    <row r="381" spans="2:11" ht="15.5" x14ac:dyDescent="0.45">
      <c r="B381" s="1070"/>
      <c r="C381" s="1070"/>
      <c r="D381" s="440"/>
      <c r="E381" s="1080"/>
      <c r="F381" s="1072"/>
      <c r="G381" s="561" t="s">
        <v>267</v>
      </c>
      <c r="H381" s="562"/>
      <c r="I381" s="563"/>
      <c r="J381" s="564"/>
      <c r="K381" s="565"/>
    </row>
    <row r="382" spans="2:11" x14ac:dyDescent="0.45">
      <c r="B382" s="253"/>
      <c r="C382" s="277"/>
      <c r="D382" s="341"/>
      <c r="E382" s="368"/>
      <c r="F382" s="207" t="s">
        <v>4</v>
      </c>
      <c r="G382" s="231" t="s">
        <v>120</v>
      </c>
      <c r="H382" s="209"/>
      <c r="I382" s="268"/>
      <c r="J382" s="237"/>
      <c r="K382" s="429">
        <f>SUM(K383:K386)</f>
        <v>13025</v>
      </c>
    </row>
    <row r="383" spans="2:11" ht="15.5" x14ac:dyDescent="0.45">
      <c r="B383" s="253"/>
      <c r="C383" s="277"/>
      <c r="D383" s="279" t="s">
        <v>107</v>
      </c>
      <c r="E383" s="298">
        <v>0.1</v>
      </c>
      <c r="F383" s="267" t="s">
        <v>108</v>
      </c>
      <c r="G383" s="339" t="s">
        <v>51</v>
      </c>
      <c r="H383" s="209"/>
      <c r="I383" s="268"/>
      <c r="J383" s="280">
        <f>'Analisa Upah'!F5</f>
        <v>75000</v>
      </c>
      <c r="K383" s="337">
        <f>ROUND(E383*J383,2)</f>
        <v>7500</v>
      </c>
    </row>
    <row r="384" spans="2:11" ht="15.5" x14ac:dyDescent="0.45">
      <c r="B384" s="253"/>
      <c r="C384" s="277"/>
      <c r="D384" s="279" t="s">
        <v>121</v>
      </c>
      <c r="E384" s="222">
        <v>0.05</v>
      </c>
      <c r="F384" s="267" t="s">
        <v>108</v>
      </c>
      <c r="G384" s="339" t="s">
        <v>56</v>
      </c>
      <c r="H384" s="209"/>
      <c r="I384" s="268"/>
      <c r="J384" s="280">
        <f>'Analisa Upah'!F6</f>
        <v>90000</v>
      </c>
      <c r="K384" s="337">
        <f>ROUND(E384*J384,2)</f>
        <v>4500</v>
      </c>
    </row>
    <row r="385" spans="2:11" ht="15.5" x14ac:dyDescent="0.45">
      <c r="B385" s="253"/>
      <c r="C385" s="277"/>
      <c r="D385" s="279" t="s">
        <v>122</v>
      </c>
      <c r="E385" s="299">
        <v>5.0000000000000001E-3</v>
      </c>
      <c r="F385" s="267" t="s">
        <v>108</v>
      </c>
      <c r="G385" s="339" t="s">
        <v>123</v>
      </c>
      <c r="H385" s="209"/>
      <c r="I385" s="268"/>
      <c r="J385" s="280">
        <f>'Analisa Upah'!F11</f>
        <v>95000</v>
      </c>
      <c r="K385" s="337">
        <f>ROUND(E385*J385,2)</f>
        <v>475</v>
      </c>
    </row>
    <row r="386" spans="2:11" ht="15.5" x14ac:dyDescent="0.45">
      <c r="B386" s="253"/>
      <c r="C386" s="277"/>
      <c r="D386" s="343" t="s">
        <v>109</v>
      </c>
      <c r="E386" s="358">
        <v>5.0000000000000001E-3</v>
      </c>
      <c r="F386" s="275" t="s">
        <v>108</v>
      </c>
      <c r="G386" s="351" t="s">
        <v>52</v>
      </c>
      <c r="H386" s="229"/>
      <c r="I386" s="277"/>
      <c r="J386" s="283">
        <f>'Analisa Upah'!F12</f>
        <v>110000</v>
      </c>
      <c r="K386" s="517">
        <f>ROUND(E386*J386,2)</f>
        <v>550</v>
      </c>
    </row>
    <row r="387" spans="2:11" x14ac:dyDescent="0.45">
      <c r="B387" s="253"/>
      <c r="C387" s="277"/>
      <c r="D387" s="344"/>
      <c r="E387" s="361"/>
      <c r="F387" s="285" t="s">
        <v>5</v>
      </c>
      <c r="G387" s="353" t="s">
        <v>139</v>
      </c>
      <c r="H387" s="209"/>
      <c r="I387" s="268"/>
      <c r="J387" s="237"/>
      <c r="K387" s="429">
        <f>SUM(K388:K389)</f>
        <v>24878</v>
      </c>
    </row>
    <row r="388" spans="2:11" x14ac:dyDescent="0.45">
      <c r="B388" s="253"/>
      <c r="C388" s="277"/>
      <c r="D388" s="344"/>
      <c r="E388" s="299">
        <v>0.36399999999999999</v>
      </c>
      <c r="F388" s="211" t="s">
        <v>133</v>
      </c>
      <c r="G388" s="339" t="s">
        <v>269</v>
      </c>
      <c r="H388" s="209"/>
      <c r="I388" s="268"/>
      <c r="J388" s="280">
        <f>'Harga Bahan'!D71</f>
        <v>62000</v>
      </c>
      <c r="K388" s="337">
        <f t="shared" ref="K388:K389" si="11">ROUND(E388*J388,2)</f>
        <v>22568</v>
      </c>
    </row>
    <row r="389" spans="2:11" x14ac:dyDescent="0.45">
      <c r="B389" s="253"/>
      <c r="C389" s="277"/>
      <c r="D389" s="344"/>
      <c r="E389" s="222">
        <v>0.11</v>
      </c>
      <c r="F389" s="211" t="s">
        <v>39</v>
      </c>
      <c r="G389" s="209" t="s">
        <v>270</v>
      </c>
      <c r="H389" s="209"/>
      <c r="I389" s="268"/>
      <c r="J389" s="237">
        <f>'Harga Bahan'!D119</f>
        <v>21000</v>
      </c>
      <c r="K389" s="337">
        <f t="shared" si="11"/>
        <v>2310</v>
      </c>
    </row>
    <row r="390" spans="2:11" x14ac:dyDescent="0.45">
      <c r="B390" s="273"/>
      <c r="C390" s="277"/>
      <c r="D390" s="279"/>
      <c r="E390" s="346"/>
      <c r="F390" s="207" t="s">
        <v>6</v>
      </c>
      <c r="G390" s="208" t="s">
        <v>111</v>
      </c>
      <c r="H390" s="209"/>
      <c r="I390" s="268"/>
      <c r="J390" s="209"/>
      <c r="K390" s="453">
        <f>+I390*K388</f>
        <v>0</v>
      </c>
    </row>
    <row r="391" spans="2:11" x14ac:dyDescent="0.45">
      <c r="B391" s="273"/>
      <c r="C391" s="277"/>
      <c r="D391" s="279"/>
      <c r="E391" s="346"/>
      <c r="F391" s="207" t="s">
        <v>112</v>
      </c>
      <c r="G391" s="208" t="s">
        <v>113</v>
      </c>
      <c r="H391" s="209"/>
      <c r="I391" s="268"/>
      <c r="J391" s="209"/>
      <c r="K391" s="429">
        <f>+K390+K387+K382</f>
        <v>37903</v>
      </c>
    </row>
    <row r="392" spans="2:11" x14ac:dyDescent="0.45">
      <c r="B392" s="273"/>
      <c r="C392" s="277"/>
      <c r="D392" s="343"/>
      <c r="E392" s="347"/>
      <c r="F392" s="239" t="s">
        <v>114</v>
      </c>
      <c r="G392" s="257" t="s">
        <v>166</v>
      </c>
      <c r="H392" s="229"/>
      <c r="I392" s="355">
        <v>0.15</v>
      </c>
      <c r="J392" s="229"/>
      <c r="K392" s="453">
        <f>+I392*K391</f>
        <v>5685.45</v>
      </c>
    </row>
    <row r="393" spans="2:11" x14ac:dyDescent="0.45">
      <c r="B393" s="456"/>
      <c r="C393" s="263"/>
      <c r="D393" s="279"/>
      <c r="E393" s="346"/>
      <c r="F393" s="207" t="s">
        <v>115</v>
      </c>
      <c r="G393" s="388" t="s">
        <v>127</v>
      </c>
      <c r="H393" s="209"/>
      <c r="I393" s="268"/>
      <c r="J393" s="209"/>
      <c r="K393" s="429">
        <f>+K392+K391</f>
        <v>43588.45</v>
      </c>
    </row>
    <row r="394" spans="2:11" ht="15.5" x14ac:dyDescent="0.45">
      <c r="B394" s="1069">
        <v>30</v>
      </c>
      <c r="C394" s="1069" t="s">
        <v>464</v>
      </c>
      <c r="D394" s="486"/>
      <c r="E394" s="1079">
        <v>1</v>
      </c>
      <c r="F394" s="1071" t="s">
        <v>30</v>
      </c>
      <c r="G394" s="487" t="s">
        <v>465</v>
      </c>
      <c r="H394" s="458"/>
      <c r="I394" s="506"/>
      <c r="J394" s="518"/>
      <c r="K394" s="488">
        <f>K407</f>
        <v>44425.65</v>
      </c>
    </row>
    <row r="395" spans="2:11" ht="15.5" x14ac:dyDescent="0.45">
      <c r="B395" s="1070"/>
      <c r="C395" s="1070"/>
      <c r="D395" s="440"/>
      <c r="E395" s="1080"/>
      <c r="F395" s="1072"/>
      <c r="G395" s="561" t="s">
        <v>466</v>
      </c>
      <c r="H395" s="562"/>
      <c r="I395" s="563"/>
      <c r="J395" s="564"/>
      <c r="K395" s="565"/>
    </row>
    <row r="396" spans="2:11" x14ac:dyDescent="0.45">
      <c r="B396" s="253"/>
      <c r="C396" s="277"/>
      <c r="D396" s="341"/>
      <c r="E396" s="368"/>
      <c r="F396" s="207" t="s">
        <v>4</v>
      </c>
      <c r="G396" s="231" t="s">
        <v>120</v>
      </c>
      <c r="H396" s="209"/>
      <c r="I396" s="268"/>
      <c r="J396" s="237"/>
      <c r="K396" s="429">
        <f>SUM(K397:K400)</f>
        <v>13025</v>
      </c>
    </row>
    <row r="397" spans="2:11" ht="15.5" x14ac:dyDescent="0.45">
      <c r="B397" s="253"/>
      <c r="C397" s="277"/>
      <c r="D397" s="279" t="s">
        <v>107</v>
      </c>
      <c r="E397" s="298">
        <v>0.1</v>
      </c>
      <c r="F397" s="267" t="s">
        <v>108</v>
      </c>
      <c r="G397" s="339" t="s">
        <v>51</v>
      </c>
      <c r="H397" s="209"/>
      <c r="I397" s="268"/>
      <c r="J397" s="280">
        <f>J383</f>
        <v>75000</v>
      </c>
      <c r="K397" s="337">
        <f>ROUND(E397*J397,2)</f>
        <v>7500</v>
      </c>
    </row>
    <row r="398" spans="2:11" ht="15.5" x14ac:dyDescent="0.45">
      <c r="B398" s="253"/>
      <c r="C398" s="277"/>
      <c r="D398" s="279" t="s">
        <v>121</v>
      </c>
      <c r="E398" s="222">
        <v>0.05</v>
      </c>
      <c r="F398" s="267" t="s">
        <v>108</v>
      </c>
      <c r="G398" s="339" t="s">
        <v>56</v>
      </c>
      <c r="H398" s="209"/>
      <c r="I398" s="268"/>
      <c r="J398" s="280">
        <f t="shared" ref="J398:J400" si="12">J384</f>
        <v>90000</v>
      </c>
      <c r="K398" s="337">
        <f>ROUND(E398*J398,2)</f>
        <v>4500</v>
      </c>
    </row>
    <row r="399" spans="2:11" ht="15.5" x14ac:dyDescent="0.45">
      <c r="B399" s="253"/>
      <c r="C399" s="277"/>
      <c r="D399" s="279" t="s">
        <v>122</v>
      </c>
      <c r="E399" s="299">
        <v>5.0000000000000001E-3</v>
      </c>
      <c r="F399" s="267" t="s">
        <v>108</v>
      </c>
      <c r="G399" s="339" t="s">
        <v>123</v>
      </c>
      <c r="H399" s="209"/>
      <c r="I399" s="268"/>
      <c r="J399" s="280">
        <f t="shared" si="12"/>
        <v>95000</v>
      </c>
      <c r="K399" s="337">
        <f>ROUND(E399*J399,2)</f>
        <v>475</v>
      </c>
    </row>
    <row r="400" spans="2:11" ht="15.5" x14ac:dyDescent="0.45">
      <c r="B400" s="253"/>
      <c r="C400" s="277"/>
      <c r="D400" s="343" t="s">
        <v>109</v>
      </c>
      <c r="E400" s="358">
        <v>5.0000000000000001E-3</v>
      </c>
      <c r="F400" s="275" t="s">
        <v>108</v>
      </c>
      <c r="G400" s="351" t="s">
        <v>52</v>
      </c>
      <c r="H400" s="229"/>
      <c r="I400" s="277"/>
      <c r="J400" s="280">
        <f t="shared" si="12"/>
        <v>110000</v>
      </c>
      <c r="K400" s="517">
        <f>ROUND(E400*J400,2)</f>
        <v>550</v>
      </c>
    </row>
    <row r="401" spans="2:11" x14ac:dyDescent="0.45">
      <c r="B401" s="253"/>
      <c r="C401" s="277"/>
      <c r="D401" s="344"/>
      <c r="E401" s="361"/>
      <c r="F401" s="285" t="s">
        <v>5</v>
      </c>
      <c r="G401" s="353" t="s">
        <v>139</v>
      </c>
      <c r="H401" s="209"/>
      <c r="I401" s="268"/>
      <c r="J401" s="237"/>
      <c r="K401" s="429">
        <f>SUM(K402:K403)</f>
        <v>25606</v>
      </c>
    </row>
    <row r="402" spans="2:11" x14ac:dyDescent="0.45">
      <c r="B402" s="253"/>
      <c r="C402" s="277"/>
      <c r="D402" s="344"/>
      <c r="E402" s="299">
        <v>0.36399999999999999</v>
      </c>
      <c r="F402" s="211" t="s">
        <v>133</v>
      </c>
      <c r="G402" s="339" t="s">
        <v>467</v>
      </c>
      <c r="H402" s="209"/>
      <c r="I402" s="268"/>
      <c r="J402" s="280">
        <f>'Harga Bahan'!D72</f>
        <v>64000</v>
      </c>
      <c r="K402" s="337">
        <f t="shared" ref="K402:K403" si="13">ROUND(E402*J402,2)</f>
        <v>23296</v>
      </c>
    </row>
    <row r="403" spans="2:11" x14ac:dyDescent="0.45">
      <c r="B403" s="253"/>
      <c r="C403" s="277"/>
      <c r="D403" s="344"/>
      <c r="E403" s="222">
        <v>0.11</v>
      </c>
      <c r="F403" s="211" t="s">
        <v>39</v>
      </c>
      <c r="G403" s="209" t="s">
        <v>270</v>
      </c>
      <c r="H403" s="209"/>
      <c r="I403" s="268"/>
      <c r="J403" s="237">
        <f>J389</f>
        <v>21000</v>
      </c>
      <c r="K403" s="337">
        <f t="shared" si="13"/>
        <v>2310</v>
      </c>
    </row>
    <row r="404" spans="2:11" x14ac:dyDescent="0.45">
      <c r="B404" s="273"/>
      <c r="C404" s="277"/>
      <c r="D404" s="279"/>
      <c r="E404" s="346"/>
      <c r="F404" s="207" t="s">
        <v>6</v>
      </c>
      <c r="G404" s="208" t="s">
        <v>111</v>
      </c>
      <c r="H404" s="209"/>
      <c r="I404" s="268"/>
      <c r="J404" s="209"/>
      <c r="K404" s="453">
        <f>+I404*K402</f>
        <v>0</v>
      </c>
    </row>
    <row r="405" spans="2:11" x14ac:dyDescent="0.45">
      <c r="B405" s="273"/>
      <c r="C405" s="277"/>
      <c r="D405" s="279"/>
      <c r="E405" s="346"/>
      <c r="F405" s="207" t="s">
        <v>112</v>
      </c>
      <c r="G405" s="208" t="s">
        <v>113</v>
      </c>
      <c r="H405" s="209"/>
      <c r="I405" s="268"/>
      <c r="J405" s="209"/>
      <c r="K405" s="429">
        <f>+K404+K401+K396</f>
        <v>38631</v>
      </c>
    </row>
    <row r="406" spans="2:11" x14ac:dyDescent="0.45">
      <c r="B406" s="273"/>
      <c r="C406" s="277"/>
      <c r="D406" s="343"/>
      <c r="E406" s="347"/>
      <c r="F406" s="239" t="s">
        <v>114</v>
      </c>
      <c r="G406" s="257" t="s">
        <v>166</v>
      </c>
      <c r="H406" s="229"/>
      <c r="I406" s="355">
        <v>0.15</v>
      </c>
      <c r="J406" s="229"/>
      <c r="K406" s="453">
        <f>+I406*K405</f>
        <v>5794.65</v>
      </c>
    </row>
    <row r="407" spans="2:11" x14ac:dyDescent="0.45">
      <c r="B407" s="273"/>
      <c r="C407" s="277"/>
      <c r="D407" s="514"/>
      <c r="E407" s="515"/>
      <c r="F407" s="387" t="s">
        <v>115</v>
      </c>
      <c r="G407" s="388" t="s">
        <v>127</v>
      </c>
      <c r="H407" s="306"/>
      <c r="I407" s="307"/>
      <c r="J407" s="306"/>
      <c r="K407" s="485">
        <f>+K406+K405</f>
        <v>44425.65</v>
      </c>
    </row>
    <row r="408" spans="2:11" ht="15.5" x14ac:dyDescent="0.45">
      <c r="B408" s="439">
        <v>31</v>
      </c>
      <c r="C408" s="439" t="s">
        <v>33</v>
      </c>
      <c r="D408" s="536"/>
      <c r="E408" s="486">
        <v>1</v>
      </c>
      <c r="F408" s="478" t="s">
        <v>31</v>
      </c>
      <c r="G408" s="471" t="s">
        <v>251</v>
      </c>
      <c r="H408" s="458"/>
      <c r="I408" s="458"/>
      <c r="J408" s="537"/>
      <c r="K408" s="538">
        <f>+K421</f>
        <v>164949.67499999999</v>
      </c>
    </row>
    <row r="409" spans="2:11" x14ac:dyDescent="0.45">
      <c r="B409" s="454"/>
      <c r="C409" s="307"/>
      <c r="D409" s="230"/>
      <c r="E409" s="410"/>
      <c r="F409" s="207" t="s">
        <v>4</v>
      </c>
      <c r="G409" s="231" t="s">
        <v>120</v>
      </c>
      <c r="H409" s="209"/>
      <c r="I409" s="209"/>
      <c r="J409" s="398"/>
      <c r="K409" s="539">
        <f>SUM(K410:K413)</f>
        <v>7734.5</v>
      </c>
    </row>
    <row r="410" spans="2:11" x14ac:dyDescent="0.45">
      <c r="B410" s="449"/>
      <c r="C410" s="277"/>
      <c r="D410" s="211" t="s">
        <v>107</v>
      </c>
      <c r="E410" s="394">
        <v>4.2999999999999997E-2</v>
      </c>
      <c r="F410" s="211" t="s">
        <v>108</v>
      </c>
      <c r="G410" s="209" t="s">
        <v>159</v>
      </c>
      <c r="H410" s="209"/>
      <c r="I410" s="209"/>
      <c r="J410" s="398">
        <f>'Analisa Upah'!F5</f>
        <v>75000</v>
      </c>
      <c r="K410" s="466">
        <f>ROUND(J410*E410,2)</f>
        <v>3225</v>
      </c>
    </row>
    <row r="411" spans="2:11" x14ac:dyDescent="0.45">
      <c r="B411" s="449"/>
      <c r="C411" s="277"/>
      <c r="D411" s="269" t="s">
        <v>121</v>
      </c>
      <c r="E411" s="383">
        <v>4.2999999999999997E-2</v>
      </c>
      <c r="F411" s="269" t="s">
        <v>108</v>
      </c>
      <c r="G411" s="226" t="s">
        <v>171</v>
      </c>
      <c r="H411" s="226"/>
      <c r="I411" s="226"/>
      <c r="J411" s="401">
        <f>'Analisa Upah'!F8</f>
        <v>90000</v>
      </c>
      <c r="K411" s="466">
        <f>ROUND(J411*E411,2)</f>
        <v>3870</v>
      </c>
    </row>
    <row r="412" spans="2:11" x14ac:dyDescent="0.45">
      <c r="B412" s="449"/>
      <c r="C412" s="277"/>
      <c r="D412" s="269" t="s">
        <v>122</v>
      </c>
      <c r="E412" s="395">
        <v>4.3E-3</v>
      </c>
      <c r="F412" s="269" t="s">
        <v>108</v>
      </c>
      <c r="G412" s="226" t="s">
        <v>160</v>
      </c>
      <c r="H412" s="226"/>
      <c r="I412" s="226"/>
      <c r="J412" s="401">
        <f>'Analisa Upah'!F11</f>
        <v>95000</v>
      </c>
      <c r="K412" s="466">
        <f>ROUND(J412*E412,2)</f>
        <v>408.5</v>
      </c>
    </row>
    <row r="413" spans="2:11" x14ac:dyDescent="0.45">
      <c r="B413" s="449"/>
      <c r="C413" s="277"/>
      <c r="D413" s="253" t="s">
        <v>109</v>
      </c>
      <c r="E413" s="411">
        <v>2.0999999999999999E-3</v>
      </c>
      <c r="F413" s="253" t="s">
        <v>108</v>
      </c>
      <c r="G413" s="229" t="s">
        <v>161</v>
      </c>
      <c r="H413" s="229"/>
      <c r="I413" s="229"/>
      <c r="J413" s="409">
        <f>'Analisa Upah'!F12</f>
        <v>110000</v>
      </c>
      <c r="K413" s="466">
        <f>ROUND(J413*E413,2)</f>
        <v>231</v>
      </c>
    </row>
    <row r="414" spans="2:11" x14ac:dyDescent="0.45">
      <c r="B414" s="449"/>
      <c r="C414" s="256"/>
      <c r="D414" s="230"/>
      <c r="E414" s="339"/>
      <c r="F414" s="207" t="s">
        <v>5</v>
      </c>
      <c r="G414" s="231" t="s">
        <v>124</v>
      </c>
      <c r="H414" s="209"/>
      <c r="I414" s="209"/>
      <c r="J414" s="398"/>
      <c r="K414" s="539">
        <f>SUM(K415:K417)</f>
        <v>135700</v>
      </c>
    </row>
    <row r="415" spans="2:11" x14ac:dyDescent="0.45">
      <c r="B415" s="449"/>
      <c r="C415" s="256"/>
      <c r="D415" s="230"/>
      <c r="E415" s="412">
        <v>1.1000000000000001</v>
      </c>
      <c r="F415" s="211" t="s">
        <v>70</v>
      </c>
      <c r="G415" s="209" t="s">
        <v>164</v>
      </c>
      <c r="H415" s="209"/>
      <c r="I415" s="209"/>
      <c r="J415" s="398">
        <f>'Harga Bahan'!D126</f>
        <v>120000</v>
      </c>
      <c r="K415" s="466">
        <f>ROUND(J415*E415,2)</f>
        <v>132000</v>
      </c>
    </row>
    <row r="416" spans="2:11" x14ac:dyDescent="0.45">
      <c r="B416" s="449"/>
      <c r="C416" s="256"/>
      <c r="D416" s="230"/>
      <c r="E416" s="398">
        <v>2</v>
      </c>
      <c r="F416" s="211" t="s">
        <v>155</v>
      </c>
      <c r="G416" s="209" t="s">
        <v>473</v>
      </c>
      <c r="H416" s="209"/>
      <c r="I416" s="209"/>
      <c r="J416" s="397">
        <f>'Harga Bahan'!D121</f>
        <v>800</v>
      </c>
      <c r="K416" s="466">
        <f>ROUND(J416*E416,2)</f>
        <v>1600</v>
      </c>
    </row>
    <row r="417" spans="2:11" x14ac:dyDescent="0.45">
      <c r="B417" s="449"/>
      <c r="C417" s="256"/>
      <c r="D417" s="238"/>
      <c r="E417" s="413">
        <v>0.06</v>
      </c>
      <c r="F417" s="253" t="s">
        <v>162</v>
      </c>
      <c r="G417" s="229" t="s">
        <v>163</v>
      </c>
      <c r="H417" s="229"/>
      <c r="I417" s="229"/>
      <c r="J417" s="402">
        <f>'Harga Bahan'!D131</f>
        <v>35000</v>
      </c>
      <c r="K417" s="466">
        <f>ROUND(J417*E417,2)</f>
        <v>2100</v>
      </c>
    </row>
    <row r="418" spans="2:11" x14ac:dyDescent="0.45">
      <c r="B418" s="449"/>
      <c r="C418" s="256"/>
      <c r="D418" s="230"/>
      <c r="E418" s="267"/>
      <c r="F418" s="207" t="s">
        <v>6</v>
      </c>
      <c r="G418" s="208" t="s">
        <v>111</v>
      </c>
      <c r="H418" s="209"/>
      <c r="I418" s="209"/>
      <c r="J418" s="398"/>
      <c r="K418" s="466">
        <f>ROUND(J418*E418,2)</f>
        <v>0</v>
      </c>
    </row>
    <row r="419" spans="2:11" x14ac:dyDescent="0.45">
      <c r="B419" s="449"/>
      <c r="C419" s="256"/>
      <c r="D419" s="230"/>
      <c r="E419" s="267"/>
      <c r="F419" s="207" t="s">
        <v>112</v>
      </c>
      <c r="G419" s="208" t="s">
        <v>113</v>
      </c>
      <c r="H419" s="209"/>
      <c r="I419" s="209"/>
      <c r="J419" s="398"/>
      <c r="K419" s="539">
        <f>+K418+K414+K409</f>
        <v>143434.5</v>
      </c>
    </row>
    <row r="420" spans="2:11" x14ac:dyDescent="0.45">
      <c r="B420" s="449"/>
      <c r="C420" s="277"/>
      <c r="D420" s="211"/>
      <c r="E420" s="275"/>
      <c r="F420" s="239" t="s">
        <v>114</v>
      </c>
      <c r="G420" s="257" t="s">
        <v>166</v>
      </c>
      <c r="H420" s="229"/>
      <c r="I420" s="348">
        <v>0.15</v>
      </c>
      <c r="J420" s="403"/>
      <c r="K420" s="541">
        <f>+I420*K419</f>
        <v>21515.174999999999</v>
      </c>
    </row>
    <row r="421" spans="2:11" x14ac:dyDescent="0.45">
      <c r="B421" s="450"/>
      <c r="C421" s="263"/>
      <c r="D421" s="211"/>
      <c r="E421" s="267"/>
      <c r="F421" s="207" t="s">
        <v>115</v>
      </c>
      <c r="G421" s="388" t="s">
        <v>127</v>
      </c>
      <c r="H421" s="209"/>
      <c r="I421" s="209"/>
      <c r="J421" s="398"/>
      <c r="K421" s="539">
        <f>+K420+K419</f>
        <v>164949.67499999999</v>
      </c>
    </row>
    <row r="422" spans="2:11" ht="15.5" x14ac:dyDescent="0.45">
      <c r="B422" s="439">
        <v>32</v>
      </c>
      <c r="C422" s="439" t="s">
        <v>195</v>
      </c>
      <c r="D422" s="536"/>
      <c r="E422" s="486">
        <v>1</v>
      </c>
      <c r="F422" s="478" t="s">
        <v>75</v>
      </c>
      <c r="G422" s="471" t="s">
        <v>252</v>
      </c>
      <c r="H422" s="458"/>
      <c r="I422" s="458"/>
      <c r="J422" s="537"/>
      <c r="K422" s="538">
        <f>+K434</f>
        <v>775898.67500000005</v>
      </c>
    </row>
    <row r="423" spans="2:11" x14ac:dyDescent="0.45">
      <c r="B423" s="454"/>
      <c r="C423" s="307"/>
      <c r="D423" s="230"/>
      <c r="E423" s="410"/>
      <c r="F423" s="207" t="s">
        <v>4</v>
      </c>
      <c r="G423" s="231" t="s">
        <v>120</v>
      </c>
      <c r="H423" s="209"/>
      <c r="I423" s="209"/>
      <c r="J423" s="398"/>
      <c r="K423" s="539">
        <f>SUM(K424:K427)</f>
        <v>15294.5</v>
      </c>
    </row>
    <row r="424" spans="2:11" x14ac:dyDescent="0.45">
      <c r="B424" s="449"/>
      <c r="C424" s="277"/>
      <c r="D424" s="211" t="s">
        <v>107</v>
      </c>
      <c r="E424" s="394">
        <v>8.5000000000000006E-2</v>
      </c>
      <c r="F424" s="211" t="s">
        <v>108</v>
      </c>
      <c r="G424" s="209" t="s">
        <v>159</v>
      </c>
      <c r="H424" s="209"/>
      <c r="I424" s="209"/>
      <c r="J424" s="398">
        <f>J410</f>
        <v>75000</v>
      </c>
      <c r="K424" s="466">
        <f>ROUND(J424*E424,2)</f>
        <v>6375</v>
      </c>
    </row>
    <row r="425" spans="2:11" x14ac:dyDescent="0.45">
      <c r="B425" s="449"/>
      <c r="C425" s="277"/>
      <c r="D425" s="269" t="s">
        <v>121</v>
      </c>
      <c r="E425" s="383">
        <v>8.5000000000000006E-2</v>
      </c>
      <c r="F425" s="269" t="s">
        <v>108</v>
      </c>
      <c r="G425" s="226" t="s">
        <v>171</v>
      </c>
      <c r="H425" s="226"/>
      <c r="I425" s="226"/>
      <c r="J425" s="398">
        <f t="shared" ref="J425:J427" si="14">J411</f>
        <v>90000</v>
      </c>
      <c r="K425" s="466">
        <f>ROUND(J425*E425,2)</f>
        <v>7650</v>
      </c>
    </row>
    <row r="426" spans="2:11" x14ac:dyDescent="0.45">
      <c r="B426" s="449"/>
      <c r="C426" s="277"/>
      <c r="D426" s="269" t="s">
        <v>122</v>
      </c>
      <c r="E426" s="395">
        <v>8.5000000000000006E-3</v>
      </c>
      <c r="F426" s="269" t="s">
        <v>108</v>
      </c>
      <c r="G426" s="226" t="s">
        <v>160</v>
      </c>
      <c r="H426" s="226"/>
      <c r="I426" s="226"/>
      <c r="J426" s="398">
        <f t="shared" si="14"/>
        <v>95000</v>
      </c>
      <c r="K426" s="466">
        <f>ROUND(J426*E426,2)</f>
        <v>807.5</v>
      </c>
    </row>
    <row r="427" spans="2:11" x14ac:dyDescent="0.45">
      <c r="B427" s="449"/>
      <c r="C427" s="277"/>
      <c r="D427" s="253" t="s">
        <v>109</v>
      </c>
      <c r="E427" s="411">
        <v>4.1999999999999997E-3</v>
      </c>
      <c r="F427" s="253" t="s">
        <v>108</v>
      </c>
      <c r="G427" s="229" t="s">
        <v>161</v>
      </c>
      <c r="H427" s="229"/>
      <c r="I427" s="229"/>
      <c r="J427" s="398">
        <f t="shared" si="14"/>
        <v>110000</v>
      </c>
      <c r="K427" s="466">
        <f>ROUND(J427*E427,2)</f>
        <v>462</v>
      </c>
    </row>
    <row r="428" spans="2:11" x14ac:dyDescent="0.45">
      <c r="B428" s="449"/>
      <c r="C428" s="256"/>
      <c r="D428" s="230"/>
      <c r="E428" s="339"/>
      <c r="F428" s="207" t="s">
        <v>5</v>
      </c>
      <c r="G428" s="231" t="s">
        <v>124</v>
      </c>
      <c r="H428" s="209"/>
      <c r="I428" s="209"/>
      <c r="J428" s="398"/>
      <c r="K428" s="539">
        <f>SUM(K429:K430)</f>
        <v>659400</v>
      </c>
    </row>
    <row r="429" spans="2:11" x14ac:dyDescent="0.45">
      <c r="B429" s="449"/>
      <c r="C429" s="256"/>
      <c r="D429" s="230"/>
      <c r="E429" s="412">
        <v>4.4000000000000004</v>
      </c>
      <c r="F429" s="211" t="s">
        <v>31</v>
      </c>
      <c r="G429" s="209" t="s">
        <v>254</v>
      </c>
      <c r="H429" s="209"/>
      <c r="I429" s="209"/>
      <c r="J429" s="398">
        <f>'Harga Bahan'!D126</f>
        <v>120000</v>
      </c>
      <c r="K429" s="466">
        <f>ROUND(J429*E429,2)</f>
        <v>528000</v>
      </c>
    </row>
    <row r="430" spans="2:11" x14ac:dyDescent="0.45">
      <c r="B430" s="449"/>
      <c r="C430" s="256"/>
      <c r="D430" s="230"/>
      <c r="E430" s="408">
        <v>14.6</v>
      </c>
      <c r="F430" s="211" t="s">
        <v>31</v>
      </c>
      <c r="G430" s="209" t="s">
        <v>253</v>
      </c>
      <c r="H430" s="209"/>
      <c r="I430" s="209"/>
      <c r="J430" s="397">
        <f>'Harga Bahan'!D127</f>
        <v>9000</v>
      </c>
      <c r="K430" s="466">
        <f>ROUND(J430*E430,2)</f>
        <v>131400</v>
      </c>
    </row>
    <row r="431" spans="2:11" x14ac:dyDescent="0.45">
      <c r="B431" s="449"/>
      <c r="C431" s="256"/>
      <c r="D431" s="230"/>
      <c r="E431" s="267"/>
      <c r="F431" s="207" t="s">
        <v>6</v>
      </c>
      <c r="G431" s="208" t="s">
        <v>111</v>
      </c>
      <c r="H431" s="209"/>
      <c r="I431" s="209"/>
      <c r="J431" s="398"/>
      <c r="K431" s="466">
        <f>ROUND(J431*E431,2)</f>
        <v>0</v>
      </c>
    </row>
    <row r="432" spans="2:11" x14ac:dyDescent="0.45">
      <c r="B432" s="449"/>
      <c r="C432" s="256"/>
      <c r="D432" s="230"/>
      <c r="E432" s="267"/>
      <c r="F432" s="207" t="s">
        <v>112</v>
      </c>
      <c r="G432" s="208" t="s">
        <v>113</v>
      </c>
      <c r="H432" s="209"/>
      <c r="I432" s="209"/>
      <c r="J432" s="398"/>
      <c r="K432" s="539">
        <f>+K431+K428+K423</f>
        <v>674694.5</v>
      </c>
    </row>
    <row r="433" spans="2:11" x14ac:dyDescent="0.45">
      <c r="B433" s="449"/>
      <c r="C433" s="277"/>
      <c r="D433" s="211"/>
      <c r="E433" s="275"/>
      <c r="F433" s="239" t="s">
        <v>114</v>
      </c>
      <c r="G433" s="257" t="s">
        <v>166</v>
      </c>
      <c r="H433" s="229"/>
      <c r="I433" s="348">
        <v>0.15</v>
      </c>
      <c r="J433" s="403"/>
      <c r="K433" s="541">
        <f>+I433*K432</f>
        <v>101204.175</v>
      </c>
    </row>
    <row r="434" spans="2:11" x14ac:dyDescent="0.45">
      <c r="B434" s="450"/>
      <c r="C434" s="263"/>
      <c r="D434" s="211"/>
      <c r="E434" s="267"/>
      <c r="F434" s="207" t="s">
        <v>115</v>
      </c>
      <c r="G434" s="388" t="s">
        <v>127</v>
      </c>
      <c r="H434" s="209"/>
      <c r="I434" s="209"/>
      <c r="J434" s="398"/>
      <c r="K434" s="539">
        <f>+K433+K432</f>
        <v>775898.67500000005</v>
      </c>
    </row>
    <row r="435" spans="2:11" ht="15.5" x14ac:dyDescent="0.45">
      <c r="B435" s="439">
        <v>33</v>
      </c>
      <c r="C435" s="439" t="s">
        <v>194</v>
      </c>
      <c r="D435" s="536"/>
      <c r="E435" s="486">
        <v>1</v>
      </c>
      <c r="F435" s="478" t="s">
        <v>30</v>
      </c>
      <c r="G435" s="471" t="s">
        <v>256</v>
      </c>
      <c r="H435" s="458"/>
      <c r="I435" s="458"/>
      <c r="J435" s="537"/>
      <c r="K435" s="579">
        <f>+K448</f>
        <v>1230362</v>
      </c>
    </row>
    <row r="436" spans="2:11" x14ac:dyDescent="0.45">
      <c r="B436" s="454"/>
      <c r="C436" s="307"/>
      <c r="D436" s="230"/>
      <c r="E436" s="410"/>
      <c r="F436" s="207" t="s">
        <v>4</v>
      </c>
      <c r="G436" s="231" t="s">
        <v>120</v>
      </c>
      <c r="H436" s="209"/>
      <c r="I436" s="209"/>
      <c r="J436" s="398"/>
      <c r="K436" s="577">
        <f>SUM(K437:K440)</f>
        <v>15430</v>
      </c>
    </row>
    <row r="437" spans="2:11" x14ac:dyDescent="0.45">
      <c r="B437" s="449"/>
      <c r="C437" s="277"/>
      <c r="D437" s="211" t="s">
        <v>107</v>
      </c>
      <c r="E437" s="394">
        <v>8.5000000000000006E-2</v>
      </c>
      <c r="F437" s="211" t="s">
        <v>108</v>
      </c>
      <c r="G437" s="209" t="s">
        <v>159</v>
      </c>
      <c r="H437" s="209"/>
      <c r="I437" s="209"/>
      <c r="J437" s="398">
        <f>J424</f>
        <v>75000</v>
      </c>
      <c r="K437" s="337">
        <f>ROUND(J437*E437,2)</f>
        <v>6375</v>
      </c>
    </row>
    <row r="438" spans="2:11" x14ac:dyDescent="0.45">
      <c r="B438" s="449"/>
      <c r="C438" s="277"/>
      <c r="D438" s="269" t="s">
        <v>121</v>
      </c>
      <c r="E438" s="383">
        <v>8.5000000000000006E-2</v>
      </c>
      <c r="F438" s="269" t="s">
        <v>108</v>
      </c>
      <c r="G438" s="226" t="s">
        <v>171</v>
      </c>
      <c r="H438" s="226"/>
      <c r="I438" s="226"/>
      <c r="J438" s="398">
        <f t="shared" ref="J438:J440" si="15">J425</f>
        <v>90000</v>
      </c>
      <c r="K438" s="337">
        <f>ROUND(J438*E438,2)</f>
        <v>7650</v>
      </c>
    </row>
    <row r="439" spans="2:11" x14ac:dyDescent="0.45">
      <c r="B439" s="449"/>
      <c r="C439" s="277"/>
      <c r="D439" s="269" t="s">
        <v>122</v>
      </c>
      <c r="E439" s="383">
        <v>8.9999999999999993E-3</v>
      </c>
      <c r="F439" s="269" t="s">
        <v>108</v>
      </c>
      <c r="G439" s="226" t="s">
        <v>160</v>
      </c>
      <c r="H439" s="226"/>
      <c r="I439" s="226"/>
      <c r="J439" s="398">
        <f t="shared" si="15"/>
        <v>95000</v>
      </c>
      <c r="K439" s="337">
        <f>ROUND(J439*E439,2)</f>
        <v>855</v>
      </c>
    </row>
    <row r="440" spans="2:11" x14ac:dyDescent="0.45">
      <c r="B440" s="449"/>
      <c r="C440" s="277"/>
      <c r="D440" s="253" t="s">
        <v>109</v>
      </c>
      <c r="E440" s="414">
        <v>5.0000000000000001E-3</v>
      </c>
      <c r="F440" s="253" t="s">
        <v>108</v>
      </c>
      <c r="G440" s="229" t="s">
        <v>161</v>
      </c>
      <c r="H440" s="229"/>
      <c r="I440" s="229"/>
      <c r="J440" s="398">
        <f t="shared" si="15"/>
        <v>110000</v>
      </c>
      <c r="K440" s="337">
        <f>ROUND(J440*E440,2)</f>
        <v>550</v>
      </c>
    </row>
    <row r="441" spans="2:11" x14ac:dyDescent="0.45">
      <c r="B441" s="449"/>
      <c r="C441" s="256"/>
      <c r="D441" s="230"/>
      <c r="E441" s="339"/>
      <c r="F441" s="207" t="s">
        <v>5</v>
      </c>
      <c r="G441" s="231" t="s">
        <v>124</v>
      </c>
      <c r="H441" s="209"/>
      <c r="I441" s="209"/>
      <c r="J441" s="398"/>
      <c r="K441" s="577">
        <f>SUM(K442:K444)</f>
        <v>1054450</v>
      </c>
    </row>
    <row r="442" spans="2:11" x14ac:dyDescent="0.45">
      <c r="B442" s="449"/>
      <c r="C442" s="256"/>
      <c r="D442" s="230"/>
      <c r="E442" s="412">
        <v>4.4000000000000004</v>
      </c>
      <c r="F442" s="211" t="s">
        <v>31</v>
      </c>
      <c r="G442" s="209" t="s">
        <v>695</v>
      </c>
      <c r="H442" s="209"/>
      <c r="I442" s="209"/>
      <c r="J442" s="398">
        <f>'Harga Bahan'!D129</f>
        <v>125000</v>
      </c>
      <c r="K442" s="337">
        <f>ROUND(J442*E442,2)</f>
        <v>550000</v>
      </c>
    </row>
    <row r="443" spans="2:11" x14ac:dyDescent="0.45">
      <c r="B443" s="449"/>
      <c r="C443" s="256"/>
      <c r="D443" s="230"/>
      <c r="E443" s="408">
        <v>4.5</v>
      </c>
      <c r="F443" s="211" t="s">
        <v>31</v>
      </c>
      <c r="G443" s="209" t="s">
        <v>257</v>
      </c>
      <c r="H443" s="209"/>
      <c r="I443" s="209"/>
      <c r="J443" s="398">
        <f>'Harga Bahan'!D123</f>
        <v>110000</v>
      </c>
      <c r="K443" s="337">
        <f>ROUND(J443*E443,2)</f>
        <v>495000</v>
      </c>
    </row>
    <row r="444" spans="2:11" x14ac:dyDescent="0.45">
      <c r="B444" s="449"/>
      <c r="C444" s="256"/>
      <c r="D444" s="230"/>
      <c r="E444" s="415">
        <v>0.27</v>
      </c>
      <c r="F444" s="211" t="s">
        <v>162</v>
      </c>
      <c r="G444" s="209" t="s">
        <v>258</v>
      </c>
      <c r="H444" s="209"/>
      <c r="I444" s="209"/>
      <c r="J444" s="398">
        <f>'Harga Bahan'!D131</f>
        <v>35000</v>
      </c>
      <c r="K444" s="337">
        <f>ROUND(J444*E444,2)</f>
        <v>9450</v>
      </c>
    </row>
    <row r="445" spans="2:11" x14ac:dyDescent="0.45">
      <c r="B445" s="449"/>
      <c r="C445" s="256"/>
      <c r="D445" s="230"/>
      <c r="E445" s="267"/>
      <c r="F445" s="207" t="s">
        <v>6</v>
      </c>
      <c r="G445" s="208" t="s">
        <v>111</v>
      </c>
      <c r="H445" s="209"/>
      <c r="I445" s="209"/>
      <c r="J445" s="398"/>
      <c r="K445" s="337">
        <f>ROUND(J445*E445,2)</f>
        <v>0</v>
      </c>
    </row>
    <row r="446" spans="2:11" x14ac:dyDescent="0.45">
      <c r="B446" s="449"/>
      <c r="C446" s="256"/>
      <c r="D446" s="230"/>
      <c r="E446" s="267"/>
      <c r="F446" s="207" t="s">
        <v>112</v>
      </c>
      <c r="G446" s="208" t="s">
        <v>113</v>
      </c>
      <c r="H446" s="209"/>
      <c r="I446" s="209"/>
      <c r="J446" s="398"/>
      <c r="K446" s="577">
        <f>+K445+K441+K436</f>
        <v>1069880</v>
      </c>
    </row>
    <row r="447" spans="2:11" x14ac:dyDescent="0.45">
      <c r="B447" s="449"/>
      <c r="C447" s="277"/>
      <c r="D447" s="211"/>
      <c r="E447" s="275"/>
      <c r="F447" s="239" t="s">
        <v>114</v>
      </c>
      <c r="G447" s="257" t="s">
        <v>166</v>
      </c>
      <c r="H447" s="229"/>
      <c r="I447" s="348">
        <v>0.15</v>
      </c>
      <c r="J447" s="403"/>
      <c r="K447" s="578">
        <f>+I447*K446</f>
        <v>160482</v>
      </c>
    </row>
    <row r="448" spans="2:11" x14ac:dyDescent="0.45">
      <c r="B448" s="450"/>
      <c r="C448" s="263"/>
      <c r="D448" s="211"/>
      <c r="E448" s="267"/>
      <c r="F448" s="207" t="s">
        <v>115</v>
      </c>
      <c r="G448" s="388" t="s">
        <v>127</v>
      </c>
      <c r="H448" s="209"/>
      <c r="I448" s="209"/>
      <c r="J448" s="398"/>
      <c r="K448" s="577">
        <f>+K447+K446</f>
        <v>1230362</v>
      </c>
    </row>
    <row r="449" spans="2:11" ht="15.5" x14ac:dyDescent="0.45">
      <c r="B449" s="439">
        <v>34</v>
      </c>
      <c r="C449" s="439" t="s">
        <v>207</v>
      </c>
      <c r="D449" s="486"/>
      <c r="E449" s="441">
        <v>1</v>
      </c>
      <c r="F449" s="486" t="s">
        <v>75</v>
      </c>
      <c r="G449" s="487" t="s">
        <v>479</v>
      </c>
      <c r="H449" s="458"/>
      <c r="I449" s="506"/>
      <c r="J449" s="518"/>
      <c r="K449" s="489">
        <f>K461</f>
        <v>147064.875</v>
      </c>
    </row>
    <row r="450" spans="2:11" x14ac:dyDescent="0.45">
      <c r="B450" s="404"/>
      <c r="C450" s="307"/>
      <c r="D450" s="344"/>
      <c r="E450" s="359"/>
      <c r="F450" s="207" t="s">
        <v>4</v>
      </c>
      <c r="G450" s="231" t="s">
        <v>120</v>
      </c>
      <c r="H450" s="209"/>
      <c r="I450" s="268"/>
      <c r="J450" s="237"/>
      <c r="K450" s="465">
        <f>SUM(K451:K454)</f>
        <v>16132.5</v>
      </c>
    </row>
    <row r="451" spans="2:11" ht="15.5" x14ac:dyDescent="0.45">
      <c r="B451" s="253"/>
      <c r="C451" s="277"/>
      <c r="D451" s="279" t="s">
        <v>107</v>
      </c>
      <c r="E451" s="299">
        <v>1.4999999999999999E-2</v>
      </c>
      <c r="F451" s="267" t="s">
        <v>108</v>
      </c>
      <c r="G451" s="339" t="s">
        <v>51</v>
      </c>
      <c r="H451" s="209"/>
      <c r="I451" s="268"/>
      <c r="J451" s="280">
        <f>'Analisa Upah'!F5</f>
        <v>75000</v>
      </c>
      <c r="K451" s="466">
        <f>ROUND(E451*J451,2)</f>
        <v>1125</v>
      </c>
    </row>
    <row r="452" spans="2:11" ht="15.5" x14ac:dyDescent="0.45">
      <c r="B452" s="253"/>
      <c r="C452" s="277"/>
      <c r="D452" s="279" t="s">
        <v>121</v>
      </c>
      <c r="E452" s="222">
        <v>0.15</v>
      </c>
      <c r="F452" s="267" t="s">
        <v>108</v>
      </c>
      <c r="G452" s="339" t="s">
        <v>56</v>
      </c>
      <c r="H452" s="209"/>
      <c r="I452" s="268"/>
      <c r="J452" s="280">
        <f>'Analisa Upah'!F6</f>
        <v>90000</v>
      </c>
      <c r="K452" s="466">
        <f>ROUND(E452*J452,2)</f>
        <v>13500</v>
      </c>
    </row>
    <row r="453" spans="2:11" ht="15.5" x14ac:dyDescent="0.45">
      <c r="B453" s="253"/>
      <c r="C453" s="277"/>
      <c r="D453" s="279" t="s">
        <v>122</v>
      </c>
      <c r="E453" s="299">
        <v>1.4999999999999999E-2</v>
      </c>
      <c r="F453" s="267" t="s">
        <v>108</v>
      </c>
      <c r="G453" s="339" t="s">
        <v>123</v>
      </c>
      <c r="H453" s="209"/>
      <c r="I453" s="268"/>
      <c r="J453" s="280">
        <f>'Analisa Upah'!F11</f>
        <v>95000</v>
      </c>
      <c r="K453" s="466">
        <f>ROUND(E453*J453,2)</f>
        <v>1425</v>
      </c>
    </row>
    <row r="454" spans="2:11" ht="15.5" x14ac:dyDescent="0.45">
      <c r="B454" s="253"/>
      <c r="C454" s="277"/>
      <c r="D454" s="343" t="s">
        <v>109</v>
      </c>
      <c r="E454" s="416">
        <v>7.5000000000000002E-4</v>
      </c>
      <c r="F454" s="275" t="s">
        <v>108</v>
      </c>
      <c r="G454" s="351" t="s">
        <v>52</v>
      </c>
      <c r="H454" s="229"/>
      <c r="I454" s="277"/>
      <c r="J454" s="283">
        <f>'Analisa Upah'!F12</f>
        <v>110000</v>
      </c>
      <c r="K454" s="523">
        <f>ROUND(E454*J454,2)</f>
        <v>82.5</v>
      </c>
    </row>
    <row r="455" spans="2:11" x14ac:dyDescent="0.45">
      <c r="B455" s="253"/>
      <c r="C455" s="277"/>
      <c r="D455" s="344"/>
      <c r="E455" s="361"/>
      <c r="F455" s="285" t="s">
        <v>5</v>
      </c>
      <c r="G455" s="353" t="s">
        <v>139</v>
      </c>
      <c r="H455" s="209"/>
      <c r="I455" s="268"/>
      <c r="J455" s="237"/>
      <c r="K455" s="465">
        <f>SUM(K456:K457)</f>
        <v>111750</v>
      </c>
    </row>
    <row r="456" spans="2:11" x14ac:dyDescent="0.45">
      <c r="B456" s="253"/>
      <c r="C456" s="277"/>
      <c r="D456" s="344"/>
      <c r="E456" s="298">
        <v>1.1000000000000001</v>
      </c>
      <c r="F456" s="211" t="s">
        <v>30</v>
      </c>
      <c r="G456" s="339" t="s">
        <v>271</v>
      </c>
      <c r="H456" s="209"/>
      <c r="I456" s="268"/>
      <c r="J456" s="280">
        <f>'Harga Bahan'!D99</f>
        <v>100000</v>
      </c>
      <c r="K456" s="466">
        <f t="shared" ref="K456" si="16">ROUND(E456*J456,2)</f>
        <v>110000</v>
      </c>
    </row>
    <row r="457" spans="2:11" x14ac:dyDescent="0.45">
      <c r="B457" s="253"/>
      <c r="C457" s="277"/>
      <c r="D457" s="344"/>
      <c r="E457" s="222">
        <v>0.05</v>
      </c>
      <c r="F457" s="211" t="s">
        <v>66</v>
      </c>
      <c r="G457" s="339" t="s">
        <v>258</v>
      </c>
      <c r="H457" s="209"/>
      <c r="I457" s="268"/>
      <c r="J457" s="280">
        <f>'Harga Bahan'!D131</f>
        <v>35000</v>
      </c>
      <c r="K457" s="466">
        <f t="shared" ref="K457" si="17">ROUND(E457*J457,2)</f>
        <v>1750</v>
      </c>
    </row>
    <row r="458" spans="2:11" x14ac:dyDescent="0.45">
      <c r="B458" s="273"/>
      <c r="C458" s="277"/>
      <c r="D458" s="279"/>
      <c r="E458" s="346"/>
      <c r="F458" s="207" t="s">
        <v>6</v>
      </c>
      <c r="G458" s="208" t="s">
        <v>111</v>
      </c>
      <c r="H458" s="209"/>
      <c r="I458" s="268"/>
      <c r="J458" s="209"/>
      <c r="K458" s="513">
        <f>+I458*K456</f>
        <v>0</v>
      </c>
    </row>
    <row r="459" spans="2:11" x14ac:dyDescent="0.45">
      <c r="B459" s="273"/>
      <c r="C459" s="277"/>
      <c r="D459" s="279"/>
      <c r="E459" s="346"/>
      <c r="F459" s="207" t="s">
        <v>112</v>
      </c>
      <c r="G459" s="208" t="s">
        <v>113</v>
      </c>
      <c r="H459" s="209"/>
      <c r="I459" s="268"/>
      <c r="J459" s="209"/>
      <c r="K459" s="465">
        <f>+K458+K455+K450</f>
        <v>127882.5</v>
      </c>
    </row>
    <row r="460" spans="2:11" x14ac:dyDescent="0.45">
      <c r="B460" s="273"/>
      <c r="C460" s="277"/>
      <c r="D460" s="343"/>
      <c r="E460" s="347"/>
      <c r="F460" s="239" t="s">
        <v>114</v>
      </c>
      <c r="G460" s="257" t="s">
        <v>166</v>
      </c>
      <c r="H460" s="229"/>
      <c r="I460" s="355">
        <v>0.15</v>
      </c>
      <c r="J460" s="229"/>
      <c r="K460" s="513">
        <f>+I460*K459</f>
        <v>19182.375</v>
      </c>
    </row>
    <row r="461" spans="2:11" x14ac:dyDescent="0.45">
      <c r="B461" s="456"/>
      <c r="C461" s="263"/>
      <c r="D461" s="279"/>
      <c r="E461" s="346"/>
      <c r="F461" s="207" t="s">
        <v>115</v>
      </c>
      <c r="G461" s="388" t="s">
        <v>127</v>
      </c>
      <c r="H461" s="209"/>
      <c r="I461" s="268"/>
      <c r="J461" s="209"/>
      <c r="K461" s="465">
        <f>+K460+K459</f>
        <v>147064.875</v>
      </c>
    </row>
    <row r="462" spans="2:11" ht="15.5" x14ac:dyDescent="0.45">
      <c r="B462" s="439">
        <v>35</v>
      </c>
      <c r="C462" s="439" t="s">
        <v>477</v>
      </c>
      <c r="D462" s="486"/>
      <c r="E462" s="441">
        <v>1</v>
      </c>
      <c r="F462" s="486" t="s">
        <v>75</v>
      </c>
      <c r="G462" s="487" t="s">
        <v>480</v>
      </c>
      <c r="H462" s="458"/>
      <c r="I462" s="506"/>
      <c r="J462" s="518"/>
      <c r="K462" s="489">
        <f>K474</f>
        <v>172364.875</v>
      </c>
    </row>
    <row r="463" spans="2:11" x14ac:dyDescent="0.45">
      <c r="B463" s="404"/>
      <c r="C463" s="307"/>
      <c r="D463" s="344"/>
      <c r="E463" s="359"/>
      <c r="F463" s="207" t="s">
        <v>4</v>
      </c>
      <c r="G463" s="231" t="s">
        <v>120</v>
      </c>
      <c r="H463" s="209"/>
      <c r="I463" s="268"/>
      <c r="J463" s="237"/>
      <c r="K463" s="465">
        <f>SUM(K464:K467)</f>
        <v>16132.5</v>
      </c>
    </row>
    <row r="464" spans="2:11" ht="15.5" x14ac:dyDescent="0.45">
      <c r="B464" s="253"/>
      <c r="C464" s="277"/>
      <c r="D464" s="279" t="s">
        <v>107</v>
      </c>
      <c r="E464" s="299">
        <v>1.4999999999999999E-2</v>
      </c>
      <c r="F464" s="267" t="s">
        <v>108</v>
      </c>
      <c r="G464" s="339" t="s">
        <v>51</v>
      </c>
      <c r="H464" s="209"/>
      <c r="I464" s="268"/>
      <c r="J464" s="280">
        <f>J451</f>
        <v>75000</v>
      </c>
      <c r="K464" s="466">
        <f>ROUND(E464*J464,2)</f>
        <v>1125</v>
      </c>
    </row>
    <row r="465" spans="2:11" ht="15.5" x14ac:dyDescent="0.45">
      <c r="B465" s="253"/>
      <c r="C465" s="277"/>
      <c r="D465" s="279" t="s">
        <v>121</v>
      </c>
      <c r="E465" s="222">
        <v>0.15</v>
      </c>
      <c r="F465" s="267" t="s">
        <v>108</v>
      </c>
      <c r="G465" s="339" t="s">
        <v>56</v>
      </c>
      <c r="H465" s="209"/>
      <c r="I465" s="268"/>
      <c r="J465" s="280">
        <f t="shared" ref="J465:J467" si="18">J452</f>
        <v>90000</v>
      </c>
      <c r="K465" s="466">
        <f>ROUND(E465*J465,2)</f>
        <v>13500</v>
      </c>
    </row>
    <row r="466" spans="2:11" ht="15.5" x14ac:dyDescent="0.45">
      <c r="B466" s="253"/>
      <c r="C466" s="277"/>
      <c r="D466" s="279" t="s">
        <v>122</v>
      </c>
      <c r="E466" s="299">
        <v>1.4999999999999999E-2</v>
      </c>
      <c r="F466" s="267" t="s">
        <v>108</v>
      </c>
      <c r="G466" s="339" t="s">
        <v>123</v>
      </c>
      <c r="H466" s="209"/>
      <c r="I466" s="268"/>
      <c r="J466" s="280">
        <f t="shared" si="18"/>
        <v>95000</v>
      </c>
      <c r="K466" s="466">
        <f>ROUND(E466*J466,2)</f>
        <v>1425</v>
      </c>
    </row>
    <row r="467" spans="2:11" ht="15.5" x14ac:dyDescent="0.45">
      <c r="B467" s="253"/>
      <c r="C467" s="277"/>
      <c r="D467" s="343" t="s">
        <v>109</v>
      </c>
      <c r="E467" s="416">
        <v>7.5000000000000002E-4</v>
      </c>
      <c r="F467" s="275" t="s">
        <v>108</v>
      </c>
      <c r="G467" s="351" t="s">
        <v>52</v>
      </c>
      <c r="H467" s="229"/>
      <c r="I467" s="277"/>
      <c r="J467" s="280">
        <f t="shared" si="18"/>
        <v>110000</v>
      </c>
      <c r="K467" s="523">
        <f>ROUND(E467*J467,2)</f>
        <v>82.5</v>
      </c>
    </row>
    <row r="468" spans="2:11" x14ac:dyDescent="0.45">
      <c r="B468" s="253"/>
      <c r="C468" s="277"/>
      <c r="D468" s="344"/>
      <c r="E468" s="361"/>
      <c r="F468" s="285" t="s">
        <v>5</v>
      </c>
      <c r="G468" s="353" t="s">
        <v>139</v>
      </c>
      <c r="H468" s="209"/>
      <c r="I468" s="268"/>
      <c r="J468" s="237"/>
      <c r="K468" s="465">
        <f>SUM(K469:K470)</f>
        <v>133750</v>
      </c>
    </row>
    <row r="469" spans="2:11" x14ac:dyDescent="0.45">
      <c r="B469" s="253"/>
      <c r="C469" s="277"/>
      <c r="D469" s="344"/>
      <c r="E469" s="298">
        <v>1.1000000000000001</v>
      </c>
      <c r="F469" s="211" t="s">
        <v>30</v>
      </c>
      <c r="G469" s="339" t="s">
        <v>271</v>
      </c>
      <c r="H469" s="209"/>
      <c r="I469" s="268"/>
      <c r="J469" s="280">
        <f>'Harga Bahan'!D103</f>
        <v>120000</v>
      </c>
      <c r="K469" s="466">
        <f t="shared" ref="K469:K470" si="19">ROUND(E469*J469,2)</f>
        <v>132000</v>
      </c>
    </row>
    <row r="470" spans="2:11" x14ac:dyDescent="0.45">
      <c r="B470" s="253"/>
      <c r="C470" s="277"/>
      <c r="D470" s="344"/>
      <c r="E470" s="222">
        <v>0.05</v>
      </c>
      <c r="F470" s="211" t="s">
        <v>66</v>
      </c>
      <c r="G470" s="339" t="s">
        <v>258</v>
      </c>
      <c r="H470" s="209"/>
      <c r="I470" s="268"/>
      <c r="J470" s="280">
        <f>'Harga Bahan'!D131</f>
        <v>35000</v>
      </c>
      <c r="K470" s="466">
        <f t="shared" si="19"/>
        <v>1750</v>
      </c>
    </row>
    <row r="471" spans="2:11" x14ac:dyDescent="0.45">
      <c r="B471" s="273"/>
      <c r="C471" s="277"/>
      <c r="D471" s="279"/>
      <c r="E471" s="346"/>
      <c r="F471" s="207" t="s">
        <v>6</v>
      </c>
      <c r="G471" s="208" t="s">
        <v>111</v>
      </c>
      <c r="H471" s="209"/>
      <c r="I471" s="268"/>
      <c r="J471" s="209"/>
      <c r="K471" s="513">
        <f>+I471*K469</f>
        <v>0</v>
      </c>
    </row>
    <row r="472" spans="2:11" x14ac:dyDescent="0.45">
      <c r="B472" s="273"/>
      <c r="C472" s="277"/>
      <c r="D472" s="279"/>
      <c r="E472" s="346"/>
      <c r="F472" s="207" t="s">
        <v>112</v>
      </c>
      <c r="G472" s="208" t="s">
        <v>113</v>
      </c>
      <c r="H472" s="209"/>
      <c r="I472" s="268"/>
      <c r="J472" s="209"/>
      <c r="K472" s="465">
        <f>+K471+K468+K463</f>
        <v>149882.5</v>
      </c>
    </row>
    <row r="473" spans="2:11" x14ac:dyDescent="0.45">
      <c r="B473" s="273"/>
      <c r="C473" s="277"/>
      <c r="D473" s="343"/>
      <c r="E473" s="347"/>
      <c r="F473" s="239" t="s">
        <v>114</v>
      </c>
      <c r="G473" s="257" t="s">
        <v>166</v>
      </c>
      <c r="H473" s="229"/>
      <c r="I473" s="355">
        <v>0.15</v>
      </c>
      <c r="J473" s="229"/>
      <c r="K473" s="513">
        <f>+I473*K472</f>
        <v>22482.375</v>
      </c>
    </row>
    <row r="474" spans="2:11" x14ac:dyDescent="0.45">
      <c r="B474" s="456"/>
      <c r="C474" s="263"/>
      <c r="D474" s="279"/>
      <c r="E474" s="346"/>
      <c r="F474" s="207" t="s">
        <v>115</v>
      </c>
      <c r="G474" s="388" t="s">
        <v>127</v>
      </c>
      <c r="H474" s="209"/>
      <c r="I474" s="268"/>
      <c r="J474" s="209"/>
      <c r="K474" s="465">
        <f>+K473+K472</f>
        <v>172364.875</v>
      </c>
    </row>
    <row r="475" spans="2:11" ht="15.5" x14ac:dyDescent="0.45">
      <c r="B475" s="1069">
        <v>36</v>
      </c>
      <c r="C475" s="1069" t="s">
        <v>41</v>
      </c>
      <c r="D475" s="590"/>
      <c r="E475" s="591">
        <v>1</v>
      </c>
      <c r="F475" s="478" t="s">
        <v>30</v>
      </c>
      <c r="G475" s="487" t="s">
        <v>264</v>
      </c>
      <c r="H475" s="493"/>
      <c r="I475" s="493"/>
      <c r="J475" s="581"/>
      <c r="K475" s="489">
        <f>+K489</f>
        <v>22308.275000000001</v>
      </c>
    </row>
    <row r="476" spans="2:11" ht="15.5" x14ac:dyDescent="0.45">
      <c r="B476" s="1070"/>
      <c r="C476" s="1070"/>
      <c r="D476" s="582"/>
      <c r="E476" s="583"/>
      <c r="F476" s="584"/>
      <c r="G476" s="561" t="s">
        <v>263</v>
      </c>
      <c r="H476" s="585"/>
      <c r="I476" s="585"/>
      <c r="J476" s="586"/>
      <c r="K476" s="587"/>
    </row>
    <row r="477" spans="2:11" x14ac:dyDescent="0.45">
      <c r="B477" s="215"/>
      <c r="C477" s="229"/>
      <c r="D477" s="230"/>
      <c r="E477" s="284"/>
      <c r="F477" s="285" t="s">
        <v>4</v>
      </c>
      <c r="G477" s="353" t="s">
        <v>120</v>
      </c>
      <c r="H477" s="209"/>
      <c r="I477" s="268"/>
      <c r="J477" s="407"/>
      <c r="K477" s="465">
        <f>SUM(K478:K481)</f>
        <v>8098.5</v>
      </c>
    </row>
    <row r="478" spans="2:11" x14ac:dyDescent="0.45">
      <c r="B478" s="215"/>
      <c r="C478" s="229"/>
      <c r="D478" s="211" t="s">
        <v>107</v>
      </c>
      <c r="E478" s="397">
        <v>0.02</v>
      </c>
      <c r="F478" s="267" t="s">
        <v>108</v>
      </c>
      <c r="G478" s="339" t="s">
        <v>51</v>
      </c>
      <c r="H478" s="209"/>
      <c r="I478" s="268"/>
      <c r="J478" s="398">
        <f>J464</f>
        <v>75000</v>
      </c>
      <c r="K478" s="540">
        <f>ROUND(J478*E478,2)</f>
        <v>1500</v>
      </c>
    </row>
    <row r="479" spans="2:11" x14ac:dyDescent="0.45">
      <c r="B479" s="215"/>
      <c r="C479" s="229"/>
      <c r="D479" s="211" t="s">
        <v>121</v>
      </c>
      <c r="E479" s="399">
        <v>6.3E-2</v>
      </c>
      <c r="F479" s="267" t="s">
        <v>108</v>
      </c>
      <c r="G479" s="339" t="s">
        <v>59</v>
      </c>
      <c r="H479" s="209"/>
      <c r="I479" s="268"/>
      <c r="J479" s="398">
        <f t="shared" ref="J479:J481" si="20">J465</f>
        <v>90000</v>
      </c>
      <c r="K479" s="540">
        <f>ROUND(J479*E479,2)</f>
        <v>5670</v>
      </c>
    </row>
    <row r="480" spans="2:11" x14ac:dyDescent="0.45">
      <c r="B480" s="215"/>
      <c r="C480" s="229"/>
      <c r="D480" s="211" t="s">
        <v>122</v>
      </c>
      <c r="E480" s="427">
        <v>6.3E-3</v>
      </c>
      <c r="F480" s="267" t="s">
        <v>108</v>
      </c>
      <c r="G480" s="339" t="s">
        <v>123</v>
      </c>
      <c r="H480" s="209"/>
      <c r="I480" s="268"/>
      <c r="J480" s="398">
        <f t="shared" si="20"/>
        <v>95000</v>
      </c>
      <c r="K480" s="540">
        <f>ROUND(J480*E480,2)</f>
        <v>598.5</v>
      </c>
    </row>
    <row r="481" spans="2:11" ht="15.5" x14ac:dyDescent="0.45">
      <c r="B481" s="239"/>
      <c r="C481" s="229"/>
      <c r="D481" s="253" t="s">
        <v>109</v>
      </c>
      <c r="E481" s="428">
        <v>3.0000000000000001E-3</v>
      </c>
      <c r="F481" s="275" t="s">
        <v>108</v>
      </c>
      <c r="G481" s="351" t="s">
        <v>52</v>
      </c>
      <c r="H481" s="229"/>
      <c r="I481" s="277"/>
      <c r="J481" s="398">
        <f t="shared" si="20"/>
        <v>110000</v>
      </c>
      <c r="K481" s="540">
        <f>ROUND(J481*E481,2)</f>
        <v>330</v>
      </c>
    </row>
    <row r="482" spans="2:11" ht="15.5" x14ac:dyDescent="0.45">
      <c r="B482" s="239"/>
      <c r="C482" s="229"/>
      <c r="D482" s="211"/>
      <c r="E482" s="352"/>
      <c r="F482" s="285" t="s">
        <v>5</v>
      </c>
      <c r="G482" s="353" t="s">
        <v>124</v>
      </c>
      <c r="H482" s="209"/>
      <c r="I482" s="268"/>
      <c r="J482" s="398"/>
      <c r="K482" s="592">
        <f>SUM(K483:K485)</f>
        <v>11300</v>
      </c>
    </row>
    <row r="483" spans="2:11" ht="15.5" x14ac:dyDescent="0.45">
      <c r="B483" s="239"/>
      <c r="C483" s="229"/>
      <c r="D483" s="211"/>
      <c r="E483" s="408">
        <v>0.1</v>
      </c>
      <c r="F483" s="267" t="s">
        <v>39</v>
      </c>
      <c r="G483" s="339" t="s">
        <v>167</v>
      </c>
      <c r="H483" s="209"/>
      <c r="I483" s="268"/>
      <c r="J483" s="398">
        <f>'Harga Bahan'!D86</f>
        <v>26000</v>
      </c>
      <c r="K483" s="540">
        <f>ROUND(J483*E483,2)</f>
        <v>2600</v>
      </c>
    </row>
    <row r="484" spans="2:11" ht="15.5" x14ac:dyDescent="0.45">
      <c r="B484" s="239"/>
      <c r="C484" s="229"/>
      <c r="D484" s="211"/>
      <c r="E484" s="408">
        <v>0.1</v>
      </c>
      <c r="F484" s="267" t="s">
        <v>39</v>
      </c>
      <c r="G484" s="339" t="s">
        <v>168</v>
      </c>
      <c r="H484" s="209"/>
      <c r="I484" s="268"/>
      <c r="J484" s="398">
        <f>'Harga Bahan'!E87</f>
        <v>22000</v>
      </c>
      <c r="K484" s="540">
        <f>ROUND(J484*E484,2)</f>
        <v>2200</v>
      </c>
    </row>
    <row r="485" spans="2:11" ht="15.5" x14ac:dyDescent="0.45">
      <c r="B485" s="239"/>
      <c r="C485" s="229"/>
      <c r="D485" s="269"/>
      <c r="E485" s="402">
        <v>0.26</v>
      </c>
      <c r="F485" s="275" t="s">
        <v>39</v>
      </c>
      <c r="G485" s="370" t="s">
        <v>291</v>
      </c>
      <c r="H485" s="226"/>
      <c r="I485" s="263"/>
      <c r="J485" s="401">
        <f>'Harga Bahan'!E89</f>
        <v>25000</v>
      </c>
      <c r="K485" s="540">
        <f>ROUND(J485*E485,2)</f>
        <v>6500</v>
      </c>
    </row>
    <row r="486" spans="2:11" ht="15.5" x14ac:dyDescent="0.45">
      <c r="B486" s="239"/>
      <c r="C486" s="229"/>
      <c r="D486" s="211"/>
      <c r="E486" s="267"/>
      <c r="F486" s="207" t="s">
        <v>6</v>
      </c>
      <c r="G486" s="208" t="s">
        <v>111</v>
      </c>
      <c r="H486" s="209"/>
      <c r="I486" s="209"/>
      <c r="J486" s="398"/>
      <c r="K486" s="540"/>
    </row>
    <row r="487" spans="2:11" ht="15.5" x14ac:dyDescent="0.45">
      <c r="B487" s="239"/>
      <c r="C487" s="229"/>
      <c r="D487" s="211"/>
      <c r="E487" s="267"/>
      <c r="F487" s="207" t="s">
        <v>112</v>
      </c>
      <c r="G487" s="208" t="s">
        <v>113</v>
      </c>
      <c r="H487" s="209"/>
      <c r="I487" s="209"/>
      <c r="J487" s="398"/>
      <c r="K487" s="465">
        <f>+K486+K482+K477</f>
        <v>19398.5</v>
      </c>
    </row>
    <row r="488" spans="2:11" ht="15.5" x14ac:dyDescent="0.45">
      <c r="B488" s="239"/>
      <c r="C488" s="229"/>
      <c r="D488" s="253"/>
      <c r="E488" s="275"/>
      <c r="F488" s="239" t="s">
        <v>114</v>
      </c>
      <c r="G488" s="257" t="s">
        <v>166</v>
      </c>
      <c r="H488" s="229"/>
      <c r="I488" s="348">
        <v>0.15</v>
      </c>
      <c r="J488" s="403"/>
      <c r="K488" s="465">
        <f>+I488*K487</f>
        <v>2909.7750000000001</v>
      </c>
    </row>
    <row r="489" spans="2:11" ht="15.5" x14ac:dyDescent="0.45">
      <c r="B489" s="202"/>
      <c r="C489" s="226"/>
      <c r="D489" s="211"/>
      <c r="E489" s="267"/>
      <c r="F489" s="207" t="s">
        <v>115</v>
      </c>
      <c r="G489" s="388" t="s">
        <v>127</v>
      </c>
      <c r="H489" s="209"/>
      <c r="I489" s="209"/>
      <c r="J489" s="398"/>
      <c r="K489" s="588">
        <f>+K488+K487</f>
        <v>22308.275000000001</v>
      </c>
    </row>
    <row r="490" spans="2:11" ht="15.5" x14ac:dyDescent="0.45">
      <c r="B490" s="1069">
        <v>37</v>
      </c>
      <c r="C490" s="1069" t="s">
        <v>487</v>
      </c>
      <c r="D490" s="590"/>
      <c r="E490" s="591">
        <v>1</v>
      </c>
      <c r="F490" s="478" t="s">
        <v>30</v>
      </c>
      <c r="G490" s="487" t="s">
        <v>488</v>
      </c>
      <c r="H490" s="493"/>
      <c r="I490" s="493"/>
      <c r="J490" s="581"/>
      <c r="K490" s="489">
        <f>+K504</f>
        <v>26287.275000000001</v>
      </c>
    </row>
    <row r="491" spans="2:11" ht="15.5" x14ac:dyDescent="0.45">
      <c r="B491" s="1070"/>
      <c r="C491" s="1070"/>
      <c r="D491" s="582"/>
      <c r="E491" s="583"/>
      <c r="F491" s="584"/>
      <c r="G491" s="561" t="s">
        <v>263</v>
      </c>
      <c r="H491" s="585"/>
      <c r="I491" s="585"/>
      <c r="J491" s="586"/>
      <c r="K491" s="587"/>
    </row>
    <row r="492" spans="2:11" x14ac:dyDescent="0.45">
      <c r="B492" s="215"/>
      <c r="C492" s="229"/>
      <c r="D492" s="230"/>
      <c r="E492" s="284"/>
      <c r="F492" s="285" t="s">
        <v>4</v>
      </c>
      <c r="G492" s="353" t="s">
        <v>120</v>
      </c>
      <c r="H492" s="209"/>
      <c r="I492" s="268"/>
      <c r="J492" s="407"/>
      <c r="K492" s="465">
        <f>SUM(K493:K496)</f>
        <v>8098.5</v>
      </c>
    </row>
    <row r="493" spans="2:11" x14ac:dyDescent="0.45">
      <c r="B493" s="215"/>
      <c r="C493" s="229"/>
      <c r="D493" s="211" t="s">
        <v>107</v>
      </c>
      <c r="E493" s="397">
        <v>0.02</v>
      </c>
      <c r="F493" s="267" t="s">
        <v>108</v>
      </c>
      <c r="G493" s="339" t="s">
        <v>51</v>
      </c>
      <c r="H493" s="209"/>
      <c r="I493" s="268"/>
      <c r="J493" s="398">
        <f>J478</f>
        <v>75000</v>
      </c>
      <c r="K493" s="540">
        <f>ROUND(J493*E493,2)</f>
        <v>1500</v>
      </c>
    </row>
    <row r="494" spans="2:11" x14ac:dyDescent="0.45">
      <c r="B494" s="215"/>
      <c r="C494" s="229"/>
      <c r="D494" s="211" t="s">
        <v>121</v>
      </c>
      <c r="E494" s="399">
        <v>6.3E-2</v>
      </c>
      <c r="F494" s="267" t="s">
        <v>108</v>
      </c>
      <c r="G494" s="339" t="s">
        <v>59</v>
      </c>
      <c r="H494" s="209"/>
      <c r="I494" s="268"/>
      <c r="J494" s="398">
        <f t="shared" ref="J494:J496" si="21">J479</f>
        <v>90000</v>
      </c>
      <c r="K494" s="540">
        <f>ROUND(J494*E494,2)</f>
        <v>5670</v>
      </c>
    </row>
    <row r="495" spans="2:11" x14ac:dyDescent="0.45">
      <c r="B495" s="215"/>
      <c r="C495" s="229"/>
      <c r="D495" s="211" t="s">
        <v>122</v>
      </c>
      <c r="E495" s="427">
        <v>6.3E-3</v>
      </c>
      <c r="F495" s="267" t="s">
        <v>108</v>
      </c>
      <c r="G495" s="339" t="s">
        <v>123</v>
      </c>
      <c r="H495" s="209"/>
      <c r="I495" s="268"/>
      <c r="J495" s="398">
        <f t="shared" si="21"/>
        <v>95000</v>
      </c>
      <c r="K495" s="540">
        <f>ROUND(J495*E495,2)</f>
        <v>598.5</v>
      </c>
    </row>
    <row r="496" spans="2:11" ht="15.5" x14ac:dyDescent="0.45">
      <c r="B496" s="239"/>
      <c r="C496" s="229"/>
      <c r="D496" s="253" t="s">
        <v>109</v>
      </c>
      <c r="E496" s="428">
        <v>3.0000000000000001E-3</v>
      </c>
      <c r="F496" s="275" t="s">
        <v>108</v>
      </c>
      <c r="G496" s="351" t="s">
        <v>52</v>
      </c>
      <c r="H496" s="229"/>
      <c r="I496" s="277"/>
      <c r="J496" s="398">
        <f t="shared" si="21"/>
        <v>110000</v>
      </c>
      <c r="K496" s="540">
        <f>ROUND(J496*E496,2)</f>
        <v>330</v>
      </c>
    </row>
    <row r="497" spans="2:11" ht="15.5" x14ac:dyDescent="0.45">
      <c r="B497" s="239"/>
      <c r="C497" s="229"/>
      <c r="D497" s="211"/>
      <c r="E497" s="352"/>
      <c r="F497" s="285" t="s">
        <v>5</v>
      </c>
      <c r="G497" s="353" t="s">
        <v>124</v>
      </c>
      <c r="H497" s="209"/>
      <c r="I497" s="268"/>
      <c r="J497" s="398"/>
      <c r="K497" s="592">
        <f>SUM(K498:K500)</f>
        <v>14760</v>
      </c>
    </row>
    <row r="498" spans="2:11" ht="15.5" x14ac:dyDescent="0.45">
      <c r="B498" s="239"/>
      <c r="C498" s="229"/>
      <c r="D498" s="211"/>
      <c r="E498" s="408">
        <v>0.1</v>
      </c>
      <c r="F498" s="267" t="s">
        <v>39</v>
      </c>
      <c r="G498" s="339" t="s">
        <v>167</v>
      </c>
      <c r="H498" s="209"/>
      <c r="I498" s="268"/>
      <c r="J498" s="398">
        <f>'Harga Bahan'!D86</f>
        <v>26000</v>
      </c>
      <c r="K498" s="540">
        <f>ROUND(J498*E498,2)</f>
        <v>2600</v>
      </c>
    </row>
    <row r="499" spans="2:11" ht="15.5" x14ac:dyDescent="0.45">
      <c r="B499" s="239"/>
      <c r="C499" s="229"/>
      <c r="D499" s="211"/>
      <c r="E499" s="408">
        <v>0.1</v>
      </c>
      <c r="F499" s="267" t="s">
        <v>39</v>
      </c>
      <c r="G499" s="339" t="s">
        <v>168</v>
      </c>
      <c r="H499" s="209"/>
      <c r="I499" s="268"/>
      <c r="J499" s="398">
        <f>'Harga Bahan'!E88</f>
        <v>28000</v>
      </c>
      <c r="K499" s="540">
        <f>ROUND(J499*E499,2)</f>
        <v>2800</v>
      </c>
    </row>
    <row r="500" spans="2:11" ht="15.5" x14ac:dyDescent="0.45">
      <c r="B500" s="239"/>
      <c r="C500" s="229"/>
      <c r="D500" s="269"/>
      <c r="E500" s="402">
        <v>0.26</v>
      </c>
      <c r="F500" s="275" t="s">
        <v>39</v>
      </c>
      <c r="G500" s="370" t="s">
        <v>291</v>
      </c>
      <c r="H500" s="226"/>
      <c r="I500" s="263"/>
      <c r="J500" s="401">
        <f>'Harga Bahan'!E90</f>
        <v>36000</v>
      </c>
      <c r="K500" s="540">
        <f>ROUND(J500*E500,2)</f>
        <v>9360</v>
      </c>
    </row>
    <row r="501" spans="2:11" ht="15.5" x14ac:dyDescent="0.45">
      <c r="B501" s="239"/>
      <c r="C501" s="229"/>
      <c r="D501" s="211"/>
      <c r="E501" s="267"/>
      <c r="F501" s="207" t="s">
        <v>6</v>
      </c>
      <c r="G501" s="208" t="s">
        <v>111</v>
      </c>
      <c r="H501" s="209"/>
      <c r="I501" s="209"/>
      <c r="J501" s="398"/>
      <c r="K501" s="540"/>
    </row>
    <row r="502" spans="2:11" ht="15.5" x14ac:dyDescent="0.45">
      <c r="B502" s="239"/>
      <c r="C502" s="229"/>
      <c r="D502" s="211"/>
      <c r="E502" s="267"/>
      <c r="F502" s="207" t="s">
        <v>112</v>
      </c>
      <c r="G502" s="208" t="s">
        <v>113</v>
      </c>
      <c r="H502" s="209"/>
      <c r="I502" s="209"/>
      <c r="J502" s="398"/>
      <c r="K502" s="465">
        <f>+K501+K497+K492</f>
        <v>22858.5</v>
      </c>
    </row>
    <row r="503" spans="2:11" ht="15.5" x14ac:dyDescent="0.45">
      <c r="B503" s="239"/>
      <c r="C503" s="229"/>
      <c r="D503" s="253"/>
      <c r="E503" s="275"/>
      <c r="F503" s="239" t="s">
        <v>114</v>
      </c>
      <c r="G503" s="257" t="s">
        <v>166</v>
      </c>
      <c r="H503" s="229"/>
      <c r="I503" s="348">
        <v>0.15</v>
      </c>
      <c r="J503" s="403"/>
      <c r="K503" s="465">
        <f>+I503*K502</f>
        <v>3428.7750000000001</v>
      </c>
    </row>
    <row r="504" spans="2:11" ht="15.5" x14ac:dyDescent="0.45">
      <c r="B504" s="239"/>
      <c r="C504" s="229"/>
      <c r="D504" s="404"/>
      <c r="E504" s="405"/>
      <c r="F504" s="387" t="s">
        <v>115</v>
      </c>
      <c r="G504" s="388" t="s">
        <v>127</v>
      </c>
      <c r="H504" s="306"/>
      <c r="I504" s="306"/>
      <c r="J504" s="406"/>
      <c r="K504" s="589">
        <f>+K503+K502</f>
        <v>26287.275000000001</v>
      </c>
    </row>
  </sheetData>
  <mergeCells count="30">
    <mergeCell ref="G8:I10"/>
    <mergeCell ref="B1:K1"/>
    <mergeCell ref="B8:B10"/>
    <mergeCell ref="C8:C10"/>
    <mergeCell ref="D8:D10"/>
    <mergeCell ref="E8:E10"/>
    <mergeCell ref="F8:F10"/>
    <mergeCell ref="F52:F53"/>
    <mergeCell ref="E86:E87"/>
    <mergeCell ref="F86:F87"/>
    <mergeCell ref="E380:E381"/>
    <mergeCell ref="F380:F381"/>
    <mergeCell ref="E233:E234"/>
    <mergeCell ref="F233:F234"/>
    <mergeCell ref="B380:B381"/>
    <mergeCell ref="C380:C381"/>
    <mergeCell ref="B394:B395"/>
    <mergeCell ref="C394:C395"/>
    <mergeCell ref="E52:E53"/>
    <mergeCell ref="B233:B234"/>
    <mergeCell ref="C233:C234"/>
    <mergeCell ref="B52:B53"/>
    <mergeCell ref="C52:C53"/>
    <mergeCell ref="D52:D53"/>
    <mergeCell ref="E394:E395"/>
    <mergeCell ref="B490:B491"/>
    <mergeCell ref="C490:C491"/>
    <mergeCell ref="F394:F395"/>
    <mergeCell ref="B475:B476"/>
    <mergeCell ref="C475:C476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E29E6-B1F5-4DCE-AA2A-FA3D0823DD5E}">
  <sheetPr>
    <tabColor rgb="FFFFFF00"/>
  </sheetPr>
  <dimension ref="A1:BX86"/>
  <sheetViews>
    <sheetView view="pageBreakPreview" zoomScale="70" zoomScaleNormal="70" zoomScaleSheetLayoutView="70" workbookViewId="0">
      <pane xSplit="9" ySplit="17" topLeftCell="BN33" activePane="bottomRight" state="frozenSplit"/>
      <selection pane="topRight" activeCell="J4" sqref="J4"/>
      <selection pane="bottomLeft" activeCell="A16" sqref="A16"/>
      <selection pane="bottomRight" activeCell="D5" sqref="D5"/>
    </sheetView>
  </sheetViews>
  <sheetFormatPr defaultRowHeight="15.5" x14ac:dyDescent="0.35"/>
  <cols>
    <col min="1" max="1" width="5.81640625" style="38" customWidth="1"/>
    <col min="2" max="2" width="17.1796875" style="38" customWidth="1"/>
    <col min="3" max="3" width="5" style="38" customWidth="1"/>
    <col min="4" max="4" width="29.54296875" style="38" customWidth="1"/>
    <col min="5" max="5" width="12.81640625" style="38" customWidth="1"/>
    <col min="6" max="6" width="8.1796875" style="38" customWidth="1"/>
    <col min="7" max="7" width="17.453125" style="38" customWidth="1"/>
    <col min="8" max="8" width="20.453125" style="38" customWidth="1"/>
    <col min="9" max="9" width="17.453125" style="38" customWidth="1"/>
    <col min="10" max="11" width="12" style="38" customWidth="1"/>
    <col min="12" max="12" width="11.1796875" style="38" customWidth="1"/>
    <col min="13" max="13" width="11.54296875" style="38" customWidth="1"/>
    <col min="14" max="14" width="11.453125" style="38" customWidth="1"/>
    <col min="15" max="15" width="11.1796875" style="38" customWidth="1"/>
    <col min="16" max="16" width="11.81640625" style="38" customWidth="1"/>
    <col min="17" max="17" width="11.1796875" style="38" customWidth="1"/>
    <col min="18" max="18" width="10.1796875" style="38" customWidth="1"/>
    <col min="19" max="19" width="9.26953125" style="38" customWidth="1"/>
    <col min="20" max="20" width="12.453125" style="38" customWidth="1"/>
    <col min="21" max="21" width="11.54296875" style="38" customWidth="1"/>
    <col min="22" max="22" width="9.26953125" style="38" customWidth="1"/>
    <col min="23" max="23" width="13.1796875" style="38" customWidth="1"/>
    <col min="24" max="24" width="11.453125" style="38" customWidth="1"/>
    <col min="25" max="25" width="12.7265625" style="38" customWidth="1"/>
    <col min="26" max="26" width="12.26953125" style="38" customWidth="1"/>
    <col min="27" max="27" width="11" style="38" customWidth="1"/>
    <col min="28" max="28" width="14.1796875" style="38" customWidth="1"/>
    <col min="29" max="29" width="13.7265625" style="38" customWidth="1"/>
    <col min="30" max="30" width="13.54296875" style="38" customWidth="1"/>
    <col min="31" max="31" width="13.26953125" style="38" customWidth="1"/>
    <col min="32" max="32" width="11.1796875" style="38" customWidth="1"/>
    <col min="33" max="33" width="10.7265625" style="38" customWidth="1"/>
    <col min="34" max="35" width="12.26953125" style="38" customWidth="1"/>
    <col min="36" max="36" width="14.7265625" style="38" customWidth="1"/>
    <col min="37" max="37" width="17.26953125" style="38" customWidth="1"/>
    <col min="38" max="38" width="15" style="38" customWidth="1"/>
    <col min="39" max="39" width="15.453125" style="38" customWidth="1"/>
    <col min="40" max="40" width="9.54296875" style="38" customWidth="1"/>
    <col min="41" max="41" width="10.7265625" style="38" customWidth="1"/>
    <col min="42" max="42" width="11.54296875" style="38" customWidth="1"/>
    <col min="43" max="43" width="11" style="38" customWidth="1"/>
    <col min="44" max="44" width="10.7265625" style="38" customWidth="1"/>
    <col min="45" max="45" width="14.1796875" style="38" customWidth="1"/>
    <col min="46" max="46" width="9.26953125" style="38" customWidth="1"/>
    <col min="47" max="47" width="12.453125" style="38" customWidth="1"/>
    <col min="48" max="48" width="12.7265625" style="38" customWidth="1"/>
    <col min="49" max="49" width="13.26953125" style="38" customWidth="1"/>
    <col min="50" max="50" width="16.453125" style="38" customWidth="1"/>
    <col min="51" max="51" width="10.1796875" style="38" customWidth="1"/>
    <col min="52" max="52" width="10.7265625" style="38" customWidth="1"/>
    <col min="53" max="58" width="14.1796875" style="38" customWidth="1"/>
    <col min="59" max="59" width="12.81640625" style="38" customWidth="1"/>
    <col min="60" max="60" width="12" style="38" customWidth="1"/>
    <col min="61" max="61" width="17.7265625" style="38" customWidth="1"/>
    <col min="62" max="62" width="15.54296875" style="38" customWidth="1"/>
    <col min="63" max="63" width="21.453125" style="38" customWidth="1"/>
    <col min="64" max="64" width="18.453125" style="38" customWidth="1"/>
    <col min="65" max="65" width="16.54296875" style="38" customWidth="1"/>
    <col min="66" max="67" width="20.81640625" style="38" customWidth="1"/>
    <col min="68" max="68" width="21.453125" style="38" customWidth="1"/>
    <col min="69" max="69" width="18.54296875" style="38" customWidth="1"/>
    <col min="70" max="70" width="16.54296875" style="38" customWidth="1"/>
    <col min="71" max="72" width="20.81640625" style="38" customWidth="1"/>
    <col min="73" max="73" width="21.453125" style="38" customWidth="1"/>
    <col min="74" max="74" width="19.26953125" style="38" customWidth="1"/>
    <col min="75" max="75" width="16.54296875" style="38" customWidth="1"/>
    <col min="76" max="76" width="20.54296875" bestFit="1" customWidth="1"/>
  </cols>
  <sheetData>
    <row r="1" spans="1:75" ht="22.5" x14ac:dyDescent="0.35">
      <c r="A1" s="1139" t="s">
        <v>545</v>
      </c>
      <c r="B1" s="1139"/>
      <c r="C1" s="1139"/>
      <c r="D1" s="1139"/>
      <c r="E1" s="1139"/>
      <c r="F1" s="1139"/>
      <c r="G1" s="1139"/>
      <c r="H1" s="1139"/>
      <c r="I1" s="1139"/>
      <c r="J1" s="566"/>
      <c r="K1" s="566"/>
      <c r="L1" s="566"/>
      <c r="M1" s="566"/>
      <c r="N1" s="566"/>
      <c r="O1" s="566"/>
      <c r="P1" s="566"/>
      <c r="Q1" s="566"/>
      <c r="R1" s="566"/>
      <c r="S1" s="566"/>
      <c r="T1" s="566"/>
      <c r="U1" s="566"/>
      <c r="V1" s="566"/>
      <c r="W1" s="566"/>
      <c r="X1" s="566"/>
      <c r="Y1" s="566"/>
      <c r="Z1" s="566"/>
      <c r="AA1" s="566"/>
      <c r="AB1" s="566"/>
      <c r="AC1" s="566"/>
      <c r="AD1" s="566"/>
      <c r="AE1" s="566"/>
      <c r="AF1" s="566"/>
      <c r="AG1" s="566"/>
      <c r="AH1" s="566"/>
      <c r="AI1" s="566"/>
      <c r="AJ1" s="566"/>
      <c r="AK1" s="566"/>
      <c r="AL1" s="566"/>
      <c r="AM1" s="566"/>
      <c r="AN1" s="566"/>
      <c r="AO1" s="566"/>
      <c r="AP1" s="566"/>
      <c r="AQ1" s="566"/>
      <c r="AR1" s="566"/>
      <c r="AS1" s="566"/>
      <c r="AT1" s="566"/>
      <c r="AU1" s="566"/>
      <c r="AV1" s="566"/>
      <c r="AW1" s="566"/>
      <c r="AX1" s="566"/>
      <c r="AY1" s="566"/>
      <c r="AZ1" s="566"/>
      <c r="BA1" s="566"/>
      <c r="BB1" s="566"/>
      <c r="BC1" s="566"/>
      <c r="BD1" s="566"/>
      <c r="BE1" s="566"/>
      <c r="BF1" s="566"/>
      <c r="BG1" s="566"/>
      <c r="BH1" s="566"/>
      <c r="BI1" s="566"/>
      <c r="BJ1" s="566"/>
      <c r="BK1" s="566"/>
      <c r="BL1" s="566"/>
      <c r="BM1" s="566"/>
      <c r="BN1" s="566"/>
      <c r="BO1" s="566"/>
      <c r="BP1" s="566"/>
      <c r="BQ1" s="566"/>
      <c r="BR1" s="566"/>
      <c r="BS1" s="566"/>
      <c r="BT1" s="566"/>
      <c r="BU1" s="566"/>
      <c r="BV1" s="566"/>
      <c r="BW1" s="566"/>
    </row>
    <row r="2" spans="1:75" x14ac:dyDescent="0.35">
      <c r="A2" s="8"/>
      <c r="B2" s="9"/>
      <c r="C2" s="9"/>
      <c r="D2" s="8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</row>
    <row r="3" spans="1:75" x14ac:dyDescent="0.35">
      <c r="A3" s="10" t="s">
        <v>8</v>
      </c>
      <c r="B3" s="39"/>
      <c r="C3" s="39" t="s">
        <v>1</v>
      </c>
      <c r="D3" s="10" t="str">
        <f>RAB!D3</f>
        <v>PEMBANGUNAN GEDUNG A (STRUKTUR DAN ARSITEKTUR)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</row>
    <row r="4" spans="1:75" x14ac:dyDescent="0.35">
      <c r="A4" s="10" t="str">
        <f>+Rekapitulasi!A5</f>
        <v>LOKASI</v>
      </c>
      <c r="B4" s="39"/>
      <c r="C4" s="39" t="s">
        <v>1</v>
      </c>
      <c r="D4" s="10" t="str">
        <f>+Rekapitulasi!D5</f>
        <v>DINAS ABC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</row>
    <row r="5" spans="1:75" x14ac:dyDescent="0.35">
      <c r="A5" s="10" t="str">
        <f>+Rekapitulasi!A6</f>
        <v>KABUPATEN</v>
      </c>
      <c r="B5" s="39"/>
      <c r="C5" s="39" t="s">
        <v>1</v>
      </c>
      <c r="D5" s="10" t="str">
        <f>+Rekapitulasi!D6</f>
        <v>MAJALENGKA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</row>
    <row r="6" spans="1:75" x14ac:dyDescent="0.35">
      <c r="A6" s="10" t="str">
        <f>+Rekapitulasi!A7</f>
        <v>TAHUN ANGGARAN</v>
      </c>
      <c r="B6" s="39"/>
      <c r="C6" s="39" t="s">
        <v>1</v>
      </c>
      <c r="D6" s="40">
        <f>+Rekapitulasi!D7</f>
        <v>2019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</row>
    <row r="7" spans="1:75" x14ac:dyDescent="0.35">
      <c r="A7" s="10"/>
      <c r="B7" s="39"/>
      <c r="C7" s="39"/>
      <c r="D7" s="4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</row>
    <row r="8" spans="1:75" x14ac:dyDescent="0.35">
      <c r="A8" s="10" t="s">
        <v>775</v>
      </c>
      <c r="B8" s="39"/>
      <c r="C8" s="39" t="s">
        <v>776</v>
      </c>
      <c r="D8" s="40" t="s">
        <v>780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</row>
    <row r="9" spans="1:75" x14ac:dyDescent="0.35">
      <c r="A9" s="10" t="s">
        <v>777</v>
      </c>
      <c r="B9" s="39"/>
      <c r="C9" s="39" t="s">
        <v>1</v>
      </c>
      <c r="D9" s="40" t="s">
        <v>778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</row>
    <row r="10" spans="1:75" ht="16.5" customHeight="1" x14ac:dyDescent="0.35">
      <c r="A10" s="8"/>
      <c r="B10" s="9"/>
      <c r="C10" s="9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</row>
    <row r="11" spans="1:75" ht="16.5" customHeight="1" x14ac:dyDescent="0.35">
      <c r="A11" s="38" t="s">
        <v>510</v>
      </c>
      <c r="B11" s="9"/>
      <c r="C11" s="9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</row>
    <row r="12" spans="1:75" ht="16.5" customHeight="1" thickBot="1" x14ac:dyDescent="0.4">
      <c r="A12" s="638"/>
      <c r="B12" s="38" t="s">
        <v>548</v>
      </c>
      <c r="C12" s="9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</row>
    <row r="13" spans="1:75" ht="16.5" customHeight="1" x14ac:dyDescent="0.35">
      <c r="A13" s="1106" t="s">
        <v>13</v>
      </c>
      <c r="B13" s="1109" t="s">
        <v>3</v>
      </c>
      <c r="C13" s="1110"/>
      <c r="D13" s="1111"/>
      <c r="E13" s="1113" t="s">
        <v>583</v>
      </c>
      <c r="F13" s="1113" t="s">
        <v>102</v>
      </c>
      <c r="G13" s="1117" t="s">
        <v>177</v>
      </c>
      <c r="H13" s="1118"/>
      <c r="I13" s="1121" t="s">
        <v>551</v>
      </c>
      <c r="J13" s="1124" t="s">
        <v>493</v>
      </c>
      <c r="K13" s="1127" t="s">
        <v>585</v>
      </c>
      <c r="L13" s="1128"/>
      <c r="M13" s="1128"/>
      <c r="N13" s="1128"/>
      <c r="O13" s="1128"/>
      <c r="P13" s="1128"/>
      <c r="Q13" s="1128"/>
      <c r="R13" s="1128"/>
      <c r="S13" s="1128"/>
      <c r="T13" s="1128"/>
      <c r="U13" s="1128"/>
      <c r="V13" s="1128"/>
      <c r="W13" s="1128"/>
      <c r="X13" s="1128"/>
      <c r="Y13" s="1128"/>
      <c r="Z13" s="1128"/>
      <c r="AA13" s="1128"/>
      <c r="AB13" s="1128"/>
      <c r="AC13" s="1128"/>
      <c r="AD13" s="1128"/>
      <c r="AE13" s="1128"/>
      <c r="AF13" s="1128"/>
      <c r="AG13" s="1128"/>
      <c r="AH13" s="1128"/>
      <c r="AI13" s="1128"/>
      <c r="AJ13" s="1128"/>
      <c r="AK13" s="1128"/>
      <c r="AL13" s="1128"/>
      <c r="AM13" s="1128"/>
      <c r="AN13" s="1128"/>
      <c r="AO13" s="1128"/>
      <c r="AP13" s="1128"/>
      <c r="AQ13" s="1128"/>
      <c r="AR13" s="1128"/>
      <c r="AS13" s="1128"/>
      <c r="AT13" s="1128"/>
      <c r="AU13" s="1128"/>
      <c r="AV13" s="1128"/>
      <c r="AW13" s="1128"/>
      <c r="AX13" s="1128"/>
      <c r="AY13" s="1128"/>
      <c r="AZ13" s="1128"/>
      <c r="BA13" s="1128"/>
      <c r="BB13" s="1128"/>
      <c r="BC13" s="1128"/>
      <c r="BD13" s="1128"/>
      <c r="BE13" s="1128"/>
      <c r="BF13" s="1128"/>
      <c r="BG13" s="1128"/>
      <c r="BH13" s="1128"/>
      <c r="BI13" s="1128"/>
      <c r="BJ13" s="1128"/>
      <c r="BK13" s="1128"/>
      <c r="BL13" s="1128"/>
      <c r="BM13" s="1129"/>
      <c r="BN13" s="1091" t="s">
        <v>586</v>
      </c>
      <c r="BO13" s="1092"/>
      <c r="BP13" s="1092"/>
      <c r="BQ13" s="1092"/>
      <c r="BR13" s="1093"/>
      <c r="BS13" s="1094" t="s">
        <v>587</v>
      </c>
      <c r="BT13" s="1094"/>
      <c r="BU13" s="1094"/>
      <c r="BV13" s="1094"/>
      <c r="BW13" s="1095"/>
    </row>
    <row r="14" spans="1:75" ht="16.5" customHeight="1" x14ac:dyDescent="0.35">
      <c r="A14" s="1107"/>
      <c r="B14" s="1026"/>
      <c r="C14" s="1027"/>
      <c r="D14" s="1028"/>
      <c r="E14" s="1031"/>
      <c r="F14" s="1031"/>
      <c r="G14" s="1119"/>
      <c r="H14" s="1120"/>
      <c r="I14" s="1122"/>
      <c r="J14" s="1125"/>
      <c r="K14" s="1114" t="s">
        <v>106</v>
      </c>
      <c r="L14" s="1115"/>
      <c r="M14" s="1115"/>
      <c r="N14" s="1115"/>
      <c r="O14" s="1115"/>
      <c r="P14" s="1115"/>
      <c r="Q14" s="1115"/>
      <c r="R14" s="1116"/>
      <c r="S14" s="1130" t="s">
        <v>573</v>
      </c>
      <c r="T14" s="1115"/>
      <c r="U14" s="1115"/>
      <c r="V14" s="1115"/>
      <c r="W14" s="1115"/>
      <c r="X14" s="1115"/>
      <c r="Y14" s="1115"/>
      <c r="Z14" s="1115"/>
      <c r="AA14" s="1115"/>
      <c r="AB14" s="1115"/>
      <c r="AC14" s="1115"/>
      <c r="AD14" s="1115"/>
      <c r="AE14" s="1115"/>
      <c r="AF14" s="1115"/>
      <c r="AG14" s="1115"/>
      <c r="AH14" s="1115"/>
      <c r="AI14" s="1115"/>
      <c r="AJ14" s="1115"/>
      <c r="AK14" s="1115"/>
      <c r="AL14" s="1115"/>
      <c r="AM14" s="1115"/>
      <c r="AN14" s="1115"/>
      <c r="AO14" s="1115"/>
      <c r="AP14" s="1115"/>
      <c r="AQ14" s="1115"/>
      <c r="AR14" s="1115"/>
      <c r="AS14" s="1115"/>
      <c r="AT14" s="1115"/>
      <c r="AU14" s="1115"/>
      <c r="AV14" s="1115"/>
      <c r="AW14" s="1115"/>
      <c r="AX14" s="1115"/>
      <c r="AY14" s="1115"/>
      <c r="AZ14" s="838"/>
      <c r="BA14" s="838"/>
      <c r="BB14" s="838"/>
      <c r="BC14" s="838"/>
      <c r="BD14" s="838"/>
      <c r="BE14" s="838"/>
      <c r="BF14" s="838"/>
      <c r="BG14" s="838"/>
      <c r="BH14" s="838"/>
      <c r="BI14" s="1130" t="s">
        <v>665</v>
      </c>
      <c r="BJ14" s="1116"/>
      <c r="BK14" s="1131" t="s">
        <v>574</v>
      </c>
      <c r="BL14" s="1131" t="s">
        <v>578</v>
      </c>
      <c r="BM14" s="1132" t="s">
        <v>580</v>
      </c>
      <c r="BN14" s="1099" t="s">
        <v>584</v>
      </c>
      <c r="BO14" s="1102" t="s">
        <v>724</v>
      </c>
      <c r="BP14" s="1100" t="s">
        <v>574</v>
      </c>
      <c r="BQ14" s="1100" t="s">
        <v>578</v>
      </c>
      <c r="BR14" s="1101" t="s">
        <v>580</v>
      </c>
      <c r="BS14" s="1096" t="s">
        <v>588</v>
      </c>
      <c r="BT14" s="1104" t="s">
        <v>772</v>
      </c>
      <c r="BU14" s="1097" t="s">
        <v>574</v>
      </c>
      <c r="BV14" s="1097" t="s">
        <v>578</v>
      </c>
      <c r="BW14" s="1098" t="s">
        <v>580</v>
      </c>
    </row>
    <row r="15" spans="1:75" ht="50.25" customHeight="1" x14ac:dyDescent="0.35">
      <c r="A15" s="1107"/>
      <c r="B15" s="1026"/>
      <c r="C15" s="1027"/>
      <c r="D15" s="1028"/>
      <c r="E15" s="1031"/>
      <c r="F15" s="1031"/>
      <c r="G15" s="567" t="s">
        <v>550</v>
      </c>
      <c r="H15" s="701" t="s">
        <v>549</v>
      </c>
      <c r="I15" s="1123"/>
      <c r="J15" s="1126"/>
      <c r="K15" s="713" t="s">
        <v>51</v>
      </c>
      <c r="L15" s="683" t="s">
        <v>56</v>
      </c>
      <c r="M15" s="683" t="s">
        <v>57</v>
      </c>
      <c r="N15" s="683" t="s">
        <v>58</v>
      </c>
      <c r="O15" s="683" t="s">
        <v>59</v>
      </c>
      <c r="P15" s="683" t="s">
        <v>55</v>
      </c>
      <c r="Q15" s="683" t="s">
        <v>123</v>
      </c>
      <c r="R15" s="683" t="s">
        <v>52</v>
      </c>
      <c r="S15" s="683" t="s">
        <v>650</v>
      </c>
      <c r="T15" s="683" t="s">
        <v>649</v>
      </c>
      <c r="U15" s="683" t="s">
        <v>653</v>
      </c>
      <c r="V15" s="683" t="s">
        <v>572</v>
      </c>
      <c r="W15" s="683" t="s">
        <v>651</v>
      </c>
      <c r="X15" s="683" t="s">
        <v>686</v>
      </c>
      <c r="Y15" s="683" t="s">
        <v>279</v>
      </c>
      <c r="Z15" s="683" t="s">
        <v>345</v>
      </c>
      <c r="AA15" s="683" t="s">
        <v>608</v>
      </c>
      <c r="AB15" s="683" t="s">
        <v>605</v>
      </c>
      <c r="AC15" s="683" t="s">
        <v>606</v>
      </c>
      <c r="AD15" s="683" t="s">
        <v>88</v>
      </c>
      <c r="AE15" s="683" t="s">
        <v>630</v>
      </c>
      <c r="AF15" s="683" t="s">
        <v>683</v>
      </c>
      <c r="AG15" s="683" t="s">
        <v>684</v>
      </c>
      <c r="AH15" s="683" t="s">
        <v>672</v>
      </c>
      <c r="AI15" s="683" t="s">
        <v>675</v>
      </c>
      <c r="AJ15" s="683" t="s">
        <v>689</v>
      </c>
      <c r="AK15" s="683" t="s">
        <v>700</v>
      </c>
      <c r="AL15" s="683" t="s">
        <v>696</v>
      </c>
      <c r="AM15" s="683" t="s">
        <v>703</v>
      </c>
      <c r="AN15" s="683" t="s">
        <v>705</v>
      </c>
      <c r="AO15" s="683" t="s">
        <v>707</v>
      </c>
      <c r="AP15" s="683" t="s">
        <v>258</v>
      </c>
      <c r="AQ15" s="683" t="s">
        <v>377</v>
      </c>
      <c r="AR15" s="683" t="s">
        <v>673</v>
      </c>
      <c r="AS15" s="683" t="s">
        <v>677</v>
      </c>
      <c r="AT15" s="683" t="s">
        <v>259</v>
      </c>
      <c r="AU15" s="683" t="s">
        <v>153</v>
      </c>
      <c r="AV15" s="683" t="s">
        <v>681</v>
      </c>
      <c r="AW15" s="683" t="s">
        <v>682</v>
      </c>
      <c r="AX15" s="683" t="s">
        <v>690</v>
      </c>
      <c r="AY15" s="683" t="s">
        <v>571</v>
      </c>
      <c r="AZ15" s="684" t="s">
        <v>167</v>
      </c>
      <c r="BA15" s="684" t="s">
        <v>711</v>
      </c>
      <c r="BB15" s="684" t="s">
        <v>713</v>
      </c>
      <c r="BC15" s="684" t="s">
        <v>715</v>
      </c>
      <c r="BD15" s="684" t="s">
        <v>716</v>
      </c>
      <c r="BE15" s="684" t="s">
        <v>714</v>
      </c>
      <c r="BF15" s="684" t="s">
        <v>667</v>
      </c>
      <c r="BG15" s="684" t="s">
        <v>670</v>
      </c>
      <c r="BH15" s="684" t="s">
        <v>666</v>
      </c>
      <c r="BI15" s="684" t="s">
        <v>597</v>
      </c>
      <c r="BJ15" s="684" t="s">
        <v>622</v>
      </c>
      <c r="BK15" s="1131"/>
      <c r="BL15" s="1131"/>
      <c r="BM15" s="1132"/>
      <c r="BN15" s="1099"/>
      <c r="BO15" s="1103"/>
      <c r="BP15" s="1100"/>
      <c r="BQ15" s="1100"/>
      <c r="BR15" s="1101"/>
      <c r="BS15" s="1096"/>
      <c r="BT15" s="1105"/>
      <c r="BU15" s="1097"/>
      <c r="BV15" s="1097"/>
      <c r="BW15" s="1098"/>
    </row>
    <row r="16" spans="1:75" ht="15" x14ac:dyDescent="0.35">
      <c r="A16" s="1108"/>
      <c r="B16" s="1085"/>
      <c r="C16" s="1086"/>
      <c r="D16" s="1112"/>
      <c r="E16" s="1032"/>
      <c r="F16" s="1032"/>
      <c r="G16" s="567" t="s">
        <v>309</v>
      </c>
      <c r="H16" s="701" t="s">
        <v>309</v>
      </c>
      <c r="I16" s="708" t="s">
        <v>570</v>
      </c>
      <c r="J16" s="703" t="s">
        <v>318</v>
      </c>
      <c r="K16" s="713" t="s">
        <v>108</v>
      </c>
      <c r="L16" s="683" t="s">
        <v>108</v>
      </c>
      <c r="M16" s="683" t="s">
        <v>108</v>
      </c>
      <c r="N16" s="683" t="s">
        <v>108</v>
      </c>
      <c r="O16" s="683" t="s">
        <v>108</v>
      </c>
      <c r="P16" s="683" t="s">
        <v>108</v>
      </c>
      <c r="Q16" s="683" t="s">
        <v>108</v>
      </c>
      <c r="R16" s="683" t="s">
        <v>108</v>
      </c>
      <c r="S16" s="683" t="s">
        <v>12</v>
      </c>
      <c r="T16" s="683" t="s">
        <v>12</v>
      </c>
      <c r="U16" s="683" t="s">
        <v>365</v>
      </c>
      <c r="V16" s="683" t="s">
        <v>12</v>
      </c>
      <c r="W16" s="683" t="s">
        <v>652</v>
      </c>
      <c r="X16" s="683" t="s">
        <v>652</v>
      </c>
      <c r="Y16" s="683" t="s">
        <v>34</v>
      </c>
      <c r="Z16" s="683" t="s">
        <v>12</v>
      </c>
      <c r="AA16" s="683" t="s">
        <v>12</v>
      </c>
      <c r="AB16" s="683" t="s">
        <v>12</v>
      </c>
      <c r="AC16" s="683" t="s">
        <v>347</v>
      </c>
      <c r="AD16" s="683" t="s">
        <v>132</v>
      </c>
      <c r="AE16" s="683" t="s">
        <v>39</v>
      </c>
      <c r="AF16" s="683" t="s">
        <v>365</v>
      </c>
      <c r="AG16" s="683" t="s">
        <v>365</v>
      </c>
      <c r="AH16" s="683" t="s">
        <v>39</v>
      </c>
      <c r="AI16" s="683" t="s">
        <v>39</v>
      </c>
      <c r="AJ16" s="683" t="s">
        <v>365</v>
      </c>
      <c r="AK16" s="683" t="s">
        <v>365</v>
      </c>
      <c r="AL16" s="683" t="s">
        <v>365</v>
      </c>
      <c r="AM16" s="683" t="s">
        <v>365</v>
      </c>
      <c r="AN16" s="683" t="s">
        <v>75</v>
      </c>
      <c r="AO16" s="683" t="s">
        <v>75</v>
      </c>
      <c r="AP16" s="683" t="s">
        <v>162</v>
      </c>
      <c r="AQ16" s="683" t="s">
        <v>66</v>
      </c>
      <c r="AR16" s="683" t="s">
        <v>39</v>
      </c>
      <c r="AS16" s="683" t="s">
        <v>133</v>
      </c>
      <c r="AT16" s="683" t="s">
        <v>133</v>
      </c>
      <c r="AU16" s="683" t="s">
        <v>81</v>
      </c>
      <c r="AV16" s="683" t="s">
        <v>39</v>
      </c>
      <c r="AW16" s="683" t="s">
        <v>39</v>
      </c>
      <c r="AX16" s="683" t="s">
        <v>67</v>
      </c>
      <c r="AY16" s="683" t="s">
        <v>39</v>
      </c>
      <c r="AZ16" s="683" t="s">
        <v>39</v>
      </c>
      <c r="BA16" s="683" t="s">
        <v>712</v>
      </c>
      <c r="BB16" s="683" t="s">
        <v>712</v>
      </c>
      <c r="BC16" s="683" t="s">
        <v>712</v>
      </c>
      <c r="BD16" s="683" t="s">
        <v>712</v>
      </c>
      <c r="BE16" s="683" t="s">
        <v>712</v>
      </c>
      <c r="BF16" s="683" t="s">
        <v>668</v>
      </c>
      <c r="BG16" s="683" t="s">
        <v>451</v>
      </c>
      <c r="BH16" s="683" t="s">
        <v>451</v>
      </c>
      <c r="BI16" s="683" t="s">
        <v>175</v>
      </c>
      <c r="BJ16" s="683" t="s">
        <v>318</v>
      </c>
      <c r="BK16" s="683" t="s">
        <v>309</v>
      </c>
      <c r="BL16" s="683" t="s">
        <v>309</v>
      </c>
      <c r="BM16" s="714" t="s">
        <v>570</v>
      </c>
      <c r="BN16" s="727" t="s">
        <v>309</v>
      </c>
      <c r="BO16" s="724" t="s">
        <v>309</v>
      </c>
      <c r="BP16" s="724" t="s">
        <v>309</v>
      </c>
      <c r="BQ16" s="724" t="s">
        <v>309</v>
      </c>
      <c r="BR16" s="719" t="s">
        <v>570</v>
      </c>
      <c r="BS16" s="779" t="s">
        <v>309</v>
      </c>
      <c r="BT16" s="733" t="s">
        <v>309</v>
      </c>
      <c r="BU16" s="733" t="s">
        <v>309</v>
      </c>
      <c r="BV16" s="733" t="s">
        <v>309</v>
      </c>
      <c r="BW16" s="734" t="s">
        <v>570</v>
      </c>
    </row>
    <row r="17" spans="1:76" ht="48.75" customHeight="1" x14ac:dyDescent="0.35">
      <c r="A17" s="687" t="s">
        <v>4</v>
      </c>
      <c r="B17" s="1143" t="s">
        <v>5</v>
      </c>
      <c r="C17" s="1144"/>
      <c r="D17" s="1145"/>
      <c r="E17" s="635" t="s">
        <v>6</v>
      </c>
      <c r="F17" s="635" t="s">
        <v>112</v>
      </c>
      <c r="G17" s="636" t="s">
        <v>114</v>
      </c>
      <c r="H17" s="688" t="s">
        <v>546</v>
      </c>
      <c r="I17" s="709" t="s">
        <v>547</v>
      </c>
      <c r="J17" s="704" t="s">
        <v>492</v>
      </c>
      <c r="K17" s="715" t="s">
        <v>496</v>
      </c>
      <c r="L17" s="685" t="s">
        <v>519</v>
      </c>
      <c r="M17" s="685" t="s">
        <v>494</v>
      </c>
      <c r="N17" s="685" t="s">
        <v>500</v>
      </c>
      <c r="O17" s="685" t="s">
        <v>505</v>
      </c>
      <c r="P17" s="685" t="s">
        <v>512</v>
      </c>
      <c r="Q17" s="685" t="s">
        <v>503</v>
      </c>
      <c r="R17" s="685" t="s">
        <v>518</v>
      </c>
      <c r="S17" s="685" t="s">
        <v>575</v>
      </c>
      <c r="T17" s="685" t="s">
        <v>576</v>
      </c>
      <c r="U17" s="685" t="s">
        <v>577</v>
      </c>
      <c r="V17" s="685" t="s">
        <v>515</v>
      </c>
      <c r="W17" s="685" t="s">
        <v>35</v>
      </c>
      <c r="X17" s="685" t="s">
        <v>581</v>
      </c>
      <c r="Y17" s="685" t="s">
        <v>98</v>
      </c>
      <c r="Z17" s="685" t="s">
        <v>582</v>
      </c>
      <c r="AA17" s="685" t="s">
        <v>725</v>
      </c>
      <c r="AB17" s="685" t="s">
        <v>726</v>
      </c>
      <c r="AC17" s="685" t="s">
        <v>727</v>
      </c>
      <c r="AD17" s="685" t="s">
        <v>728</v>
      </c>
      <c r="AE17" s="685" t="s">
        <v>729</v>
      </c>
      <c r="AF17" s="685" t="s">
        <v>730</v>
      </c>
      <c r="AG17" s="685" t="s">
        <v>731</v>
      </c>
      <c r="AH17" s="685" t="s">
        <v>732</v>
      </c>
      <c r="AI17" s="685" t="s">
        <v>733</v>
      </c>
      <c r="AJ17" s="685" t="s">
        <v>734</v>
      </c>
      <c r="AK17" s="685" t="s">
        <v>735</v>
      </c>
      <c r="AL17" s="685" t="s">
        <v>736</v>
      </c>
      <c r="AM17" s="685" t="s">
        <v>737</v>
      </c>
      <c r="AN17" s="685" t="s">
        <v>738</v>
      </c>
      <c r="AO17" s="685" t="s">
        <v>739</v>
      </c>
      <c r="AP17" s="685" t="s">
        <v>740</v>
      </c>
      <c r="AQ17" s="685" t="s">
        <v>741</v>
      </c>
      <c r="AR17" s="685" t="s">
        <v>742</v>
      </c>
      <c r="AS17" s="685" t="s">
        <v>743</v>
      </c>
      <c r="AT17" s="685" t="s">
        <v>744</v>
      </c>
      <c r="AU17" s="685" t="s">
        <v>745</v>
      </c>
      <c r="AV17" s="685" t="s">
        <v>746</v>
      </c>
      <c r="AW17" s="685" t="s">
        <v>747</v>
      </c>
      <c r="AX17" s="685" t="s">
        <v>748</v>
      </c>
      <c r="AY17" s="685" t="s">
        <v>749</v>
      </c>
      <c r="AZ17" s="685" t="s">
        <v>750</v>
      </c>
      <c r="BA17" s="685" t="s">
        <v>751</v>
      </c>
      <c r="BB17" s="685" t="s">
        <v>752</v>
      </c>
      <c r="BC17" s="685" t="s">
        <v>753</v>
      </c>
      <c r="BD17" s="685" t="s">
        <v>754</v>
      </c>
      <c r="BE17" s="685" t="s">
        <v>755</v>
      </c>
      <c r="BF17" s="685" t="s">
        <v>756</v>
      </c>
      <c r="BG17" s="685" t="s">
        <v>757</v>
      </c>
      <c r="BH17" s="685" t="s">
        <v>758</v>
      </c>
      <c r="BI17" s="685" t="s">
        <v>759</v>
      </c>
      <c r="BJ17" s="685" t="s">
        <v>760</v>
      </c>
      <c r="BK17" s="685" t="s">
        <v>761</v>
      </c>
      <c r="BL17" s="685" t="s">
        <v>762</v>
      </c>
      <c r="BM17" s="702" t="s">
        <v>763</v>
      </c>
      <c r="BN17" s="728" t="s">
        <v>764</v>
      </c>
      <c r="BO17" s="725" t="s">
        <v>765</v>
      </c>
      <c r="BP17" s="725" t="s">
        <v>766</v>
      </c>
      <c r="BQ17" s="725" t="s">
        <v>767</v>
      </c>
      <c r="BR17" s="720" t="s">
        <v>768</v>
      </c>
      <c r="BS17" s="780" t="s">
        <v>769</v>
      </c>
      <c r="BT17" s="735" t="s">
        <v>773</v>
      </c>
      <c r="BU17" s="735" t="s">
        <v>770</v>
      </c>
      <c r="BV17" s="735" t="s">
        <v>771</v>
      </c>
      <c r="BW17" s="736" t="s">
        <v>774</v>
      </c>
    </row>
    <row r="18" spans="1:76" x14ac:dyDescent="0.35">
      <c r="A18" s="689" t="s">
        <v>21</v>
      </c>
      <c r="B18" s="61" t="s">
        <v>431</v>
      </c>
      <c r="C18" s="446"/>
      <c r="D18" s="447"/>
      <c r="E18" s="35"/>
      <c r="F18" s="35"/>
      <c r="G18" s="35"/>
      <c r="H18" s="690"/>
      <c r="I18" s="710"/>
      <c r="J18" s="690"/>
      <c r="K18" s="710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705"/>
      <c r="BA18" s="705"/>
      <c r="BB18" s="705"/>
      <c r="BC18" s="705"/>
      <c r="BD18" s="705"/>
      <c r="BE18" s="705"/>
      <c r="BF18" s="705"/>
      <c r="BG18" s="705"/>
      <c r="BH18" s="705"/>
      <c r="BI18" s="705"/>
      <c r="BJ18" s="765"/>
      <c r="BK18" s="706"/>
      <c r="BL18" s="707"/>
      <c r="BM18" s="716"/>
      <c r="BN18" s="729"/>
      <c r="BO18" s="706"/>
      <c r="BP18" s="706"/>
      <c r="BQ18" s="707"/>
      <c r="BR18" s="716"/>
      <c r="BS18" s="707"/>
      <c r="BT18" s="1003"/>
      <c r="BU18" s="706"/>
      <c r="BV18" s="707"/>
      <c r="BW18" s="716"/>
    </row>
    <row r="19" spans="1:76" x14ac:dyDescent="0.35">
      <c r="A19" s="691">
        <v>1</v>
      </c>
      <c r="B19" s="37" t="s">
        <v>237</v>
      </c>
      <c r="C19" s="14"/>
      <c r="D19" s="15"/>
      <c r="E19" s="47">
        <v>126.61</v>
      </c>
      <c r="F19" s="16" t="s">
        <v>31</v>
      </c>
      <c r="G19" s="47">
        <f>'Analisa '!K11</f>
        <v>101200</v>
      </c>
      <c r="H19" s="692">
        <f>ROUND(E19*G19,2)</f>
        <v>12812932</v>
      </c>
      <c r="I19" s="711">
        <f>H19/$H$86*100</f>
        <v>0.94370288178488337</v>
      </c>
      <c r="J19" s="692">
        <f>'Analisa RAP I'!K15</f>
        <v>2</v>
      </c>
      <c r="K19" s="840">
        <f>'Analisa RAP I'!O16</f>
        <v>6</v>
      </c>
      <c r="L19" s="91">
        <f>'Analisa RAP I'!O17</f>
        <v>6</v>
      </c>
      <c r="M19" s="91">
        <v>0</v>
      </c>
      <c r="N19" s="91">
        <v>0</v>
      </c>
      <c r="O19" s="91">
        <v>0</v>
      </c>
      <c r="P19" s="91">
        <v>0</v>
      </c>
      <c r="Q19" s="91">
        <f>'Analisa RAP I'!O18</f>
        <v>0</v>
      </c>
      <c r="R19" s="91">
        <f>'Analisa RAP I'!O19</f>
        <v>1</v>
      </c>
      <c r="S19" s="91">
        <f>'Analisa RAP I'!O21</f>
        <v>1.5</v>
      </c>
      <c r="T19" s="91">
        <v>0</v>
      </c>
      <c r="U19" s="91">
        <v>0</v>
      </c>
      <c r="V19" s="91">
        <f>'Analisa RAP I'!O23</f>
        <v>1</v>
      </c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>
        <f>'Analisa RAP I'!O22</f>
        <v>2.5</v>
      </c>
      <c r="AZ19" s="721"/>
      <c r="BA19" s="721"/>
      <c r="BB19" s="721"/>
      <c r="BC19" s="721"/>
      <c r="BD19" s="721"/>
      <c r="BE19" s="721"/>
      <c r="BF19" s="721"/>
      <c r="BG19" s="721"/>
      <c r="BH19" s="721"/>
      <c r="BI19" s="721">
        <v>0</v>
      </c>
      <c r="BJ19" s="766"/>
      <c r="BK19" s="726">
        <f>'Analisa RAP I'!U15</f>
        <v>11470000</v>
      </c>
      <c r="BL19" s="723">
        <f>'Analisa RAP I'!W15</f>
        <v>1342932</v>
      </c>
      <c r="BM19" s="722">
        <f>'Analisa RAP I'!X15</f>
        <v>10.481067096898665</v>
      </c>
      <c r="BN19" s="730">
        <f>'Analisa RAP I'!Z15</f>
        <v>16000</v>
      </c>
      <c r="BO19" s="1004">
        <f>E19*BN19</f>
        <v>2025760</v>
      </c>
      <c r="BP19" s="726">
        <f>'Analisa RAP I'!AC15</f>
        <v>11375760</v>
      </c>
      <c r="BQ19" s="723">
        <f>'Analisa RAP I'!AD15</f>
        <v>1437172</v>
      </c>
      <c r="BR19" s="722">
        <f>'Analisa RAP I'!AE15</f>
        <v>11.216574005075497</v>
      </c>
      <c r="BS19" s="775">
        <f>'Analisa RAP I'!AG15</f>
        <v>90000</v>
      </c>
      <c r="BT19" s="1004">
        <f>E19*BS19</f>
        <v>11394900</v>
      </c>
      <c r="BU19" s="726">
        <f>'Analisa RAP I'!AJ15</f>
        <v>11394900</v>
      </c>
      <c r="BV19" s="723">
        <f>'Analisa RAP I'!AK15</f>
        <v>1418032</v>
      </c>
      <c r="BW19" s="722">
        <f>'Analisa RAP I'!AL15</f>
        <v>11.067193675889328</v>
      </c>
    </row>
    <row r="20" spans="1:76" x14ac:dyDescent="0.35">
      <c r="A20" s="691">
        <v>2</v>
      </c>
      <c r="B20" s="37" t="s">
        <v>434</v>
      </c>
      <c r="C20" s="14"/>
      <c r="D20" s="15"/>
      <c r="E20" s="42">
        <v>180</v>
      </c>
      <c r="F20" s="16" t="s">
        <v>30</v>
      </c>
      <c r="G20" s="43">
        <f>'Analisa '!K25</f>
        <v>14950</v>
      </c>
      <c r="H20" s="692">
        <f>ROUND(E20*G20,2)</f>
        <v>2691000</v>
      </c>
      <c r="I20" s="711">
        <f>H20/$H$86*100</f>
        <v>0.19819854307219623</v>
      </c>
      <c r="J20" s="692">
        <f>'Analisa RAP I'!K35</f>
        <v>3</v>
      </c>
      <c r="K20" s="717">
        <f>'Analisa RAP I'!O36</f>
        <v>6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f>'Analisa RAP I'!O37</f>
        <v>1</v>
      </c>
      <c r="S20" s="32">
        <v>0</v>
      </c>
      <c r="T20" s="32">
        <v>0</v>
      </c>
      <c r="U20" s="32">
        <v>0</v>
      </c>
      <c r="V20" s="32">
        <v>0</v>
      </c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>
        <v>0</v>
      </c>
      <c r="AZ20" s="32"/>
      <c r="BA20" s="32"/>
      <c r="BB20" s="32"/>
      <c r="BC20" s="32"/>
      <c r="BD20" s="32"/>
      <c r="BE20" s="32"/>
      <c r="BF20" s="32"/>
      <c r="BG20" s="32"/>
      <c r="BH20" s="32"/>
      <c r="BI20" s="32">
        <v>0</v>
      </c>
      <c r="BJ20" s="32"/>
      <c r="BK20" s="680">
        <f>'Analisa RAP I'!U35</f>
        <v>1650000</v>
      </c>
      <c r="BL20" s="680">
        <f>'Analisa RAP I'!W35</f>
        <v>1041000</v>
      </c>
      <c r="BM20" s="767">
        <f>'Analisa RAP I'!X35</f>
        <v>38.684503901895205</v>
      </c>
      <c r="BN20" s="731">
        <f>'Analisa RAP I'!Z35</f>
        <v>9000</v>
      </c>
      <c r="BO20" s="1004">
        <f t="shared" ref="BO20:BO21" si="0">E20*BN20</f>
        <v>1620000</v>
      </c>
      <c r="BP20" s="680">
        <f>'Analisa RAP I'!AC35</f>
        <v>1620000</v>
      </c>
      <c r="BQ20" s="680">
        <f>'Analisa RAP I'!AD35</f>
        <v>1071000</v>
      </c>
      <c r="BR20" s="767">
        <f>'Analisa RAP I'!AE35</f>
        <v>39.799331103678931</v>
      </c>
      <c r="BS20" s="776">
        <f>'Analisa RAP I'!AG35</f>
        <v>9000</v>
      </c>
      <c r="BT20" s="1004">
        <f t="shared" ref="BT20:BT21" si="1">E20*BS20</f>
        <v>1620000</v>
      </c>
      <c r="BU20" s="680">
        <f>'Analisa RAP I'!AJ35</f>
        <v>1620000</v>
      </c>
      <c r="BV20" s="680">
        <f>'Analisa RAP I'!AK35</f>
        <v>1071000</v>
      </c>
      <c r="BW20" s="767">
        <f>'Analisa RAP I'!AL35</f>
        <v>39.799331103678931</v>
      </c>
    </row>
    <row r="21" spans="1:76" ht="16" thickBot="1" x14ac:dyDescent="0.4">
      <c r="A21" s="693">
        <v>3</v>
      </c>
      <c r="B21" s="694" t="s">
        <v>435</v>
      </c>
      <c r="C21" s="695"/>
      <c r="D21" s="696"/>
      <c r="E21" s="47">
        <v>1</v>
      </c>
      <c r="F21" s="698" t="s">
        <v>175</v>
      </c>
      <c r="G21" s="697">
        <v>15000000</v>
      </c>
      <c r="H21" s="700">
        <f>ROUND(E21*G21,2)</f>
        <v>15000000</v>
      </c>
      <c r="I21" s="712">
        <f>H21/$H$86*100</f>
        <v>1.1047856358539367</v>
      </c>
      <c r="J21" s="700">
        <f>'Analisa RAP I'!K54</f>
        <v>4</v>
      </c>
      <c r="K21" s="718">
        <v>0</v>
      </c>
      <c r="L21" s="699">
        <v>0</v>
      </c>
      <c r="M21" s="699">
        <v>0</v>
      </c>
      <c r="N21" s="699">
        <v>0</v>
      </c>
      <c r="O21" s="699">
        <v>0</v>
      </c>
      <c r="P21" s="699">
        <v>0</v>
      </c>
      <c r="Q21" s="699">
        <v>0</v>
      </c>
      <c r="R21" s="699">
        <v>0</v>
      </c>
      <c r="S21" s="699">
        <v>0</v>
      </c>
      <c r="T21" s="699">
        <v>0</v>
      </c>
      <c r="U21" s="699">
        <v>0</v>
      </c>
      <c r="V21" s="699">
        <v>0</v>
      </c>
      <c r="W21" s="699"/>
      <c r="X21" s="699"/>
      <c r="Y21" s="699"/>
      <c r="Z21" s="699"/>
      <c r="AA21" s="699"/>
      <c r="AB21" s="699"/>
      <c r="AC21" s="699"/>
      <c r="AD21" s="699"/>
      <c r="AE21" s="699"/>
      <c r="AF21" s="699"/>
      <c r="AG21" s="699"/>
      <c r="AH21" s="699"/>
      <c r="AI21" s="699"/>
      <c r="AJ21" s="699"/>
      <c r="AK21" s="699"/>
      <c r="AL21" s="699"/>
      <c r="AM21" s="699"/>
      <c r="AN21" s="699"/>
      <c r="AO21" s="699"/>
      <c r="AP21" s="699"/>
      <c r="AQ21" s="699"/>
      <c r="AR21" s="699"/>
      <c r="AS21" s="699"/>
      <c r="AT21" s="699"/>
      <c r="AU21" s="699"/>
      <c r="AV21" s="699"/>
      <c r="AW21" s="699"/>
      <c r="AX21" s="699"/>
      <c r="AY21" s="699">
        <v>0</v>
      </c>
      <c r="AZ21" s="699"/>
      <c r="BA21" s="699"/>
      <c r="BB21" s="699"/>
      <c r="BC21" s="699"/>
      <c r="BD21" s="699"/>
      <c r="BE21" s="699"/>
      <c r="BF21" s="699"/>
      <c r="BG21" s="699"/>
      <c r="BH21" s="699"/>
      <c r="BI21" s="699">
        <v>1</v>
      </c>
      <c r="BJ21" s="699"/>
      <c r="BK21" s="768">
        <f>'Analisa RAP I'!U54</f>
        <v>15000000</v>
      </c>
      <c r="BL21" s="768">
        <f>'Analisa RAP I'!W54</f>
        <v>0</v>
      </c>
      <c r="BM21" s="769">
        <f>'Analisa RAP I'!X54</f>
        <v>0</v>
      </c>
      <c r="BN21" s="732">
        <f>'Analisa RAP I'!Z54</f>
        <v>15000000</v>
      </c>
      <c r="BO21" s="1004">
        <f t="shared" si="0"/>
        <v>15000000</v>
      </c>
      <c r="BP21" s="768">
        <f>'Analisa RAP I'!AC54</f>
        <v>15000000</v>
      </c>
      <c r="BQ21" s="768">
        <f>'Analisa RAP I'!AD54</f>
        <v>0</v>
      </c>
      <c r="BR21" s="769">
        <f>'Analisa RAP I'!AE54</f>
        <v>0</v>
      </c>
      <c r="BS21" s="777">
        <f>'Analisa RAP I'!AG54</f>
        <v>15000000</v>
      </c>
      <c r="BT21" s="1004">
        <f t="shared" si="1"/>
        <v>15000000</v>
      </c>
      <c r="BU21" s="768">
        <f>'Analisa RAP I'!AJ54</f>
        <v>15000000</v>
      </c>
      <c r="BV21" s="768">
        <f>'Analisa RAP I'!AK54</f>
        <v>0</v>
      </c>
      <c r="BW21" s="769">
        <f>'Analisa RAP I'!AL54</f>
        <v>0</v>
      </c>
    </row>
    <row r="22" spans="1:76" ht="16" thickBot="1" x14ac:dyDescent="0.4">
      <c r="A22" s="1136" t="s">
        <v>292</v>
      </c>
      <c r="B22" s="1137"/>
      <c r="C22" s="1137"/>
      <c r="D22" s="1137"/>
      <c r="E22" s="1137"/>
      <c r="F22" s="1137"/>
      <c r="G22" s="1138"/>
      <c r="H22" s="772">
        <f>SUM(H19:H21)</f>
        <v>30503932</v>
      </c>
      <c r="I22" s="774">
        <f>SUM(I19:I21)</f>
        <v>2.2466870607110163</v>
      </c>
      <c r="J22" s="781" t="s">
        <v>154</v>
      </c>
      <c r="K22" s="778">
        <f>SUM(K19:K21)</f>
        <v>12</v>
      </c>
      <c r="L22" s="771">
        <f>SUM(L19:L21)</f>
        <v>6</v>
      </c>
      <c r="M22" s="771">
        <f t="shared" ref="M22:BJ22" si="2">SUM(M19:M21)</f>
        <v>0</v>
      </c>
      <c r="N22" s="771">
        <f t="shared" si="2"/>
        <v>0</v>
      </c>
      <c r="O22" s="771">
        <f t="shared" si="2"/>
        <v>0</v>
      </c>
      <c r="P22" s="771">
        <f t="shared" si="2"/>
        <v>0</v>
      </c>
      <c r="Q22" s="771">
        <f t="shared" si="2"/>
        <v>0</v>
      </c>
      <c r="R22" s="771">
        <f t="shared" si="2"/>
        <v>2</v>
      </c>
      <c r="S22" s="771">
        <f t="shared" si="2"/>
        <v>1.5</v>
      </c>
      <c r="T22" s="771">
        <f t="shared" si="2"/>
        <v>0</v>
      </c>
      <c r="U22" s="771">
        <f t="shared" si="2"/>
        <v>0</v>
      </c>
      <c r="V22" s="771">
        <f t="shared" si="2"/>
        <v>1</v>
      </c>
      <c r="W22" s="771">
        <f t="shared" si="2"/>
        <v>0</v>
      </c>
      <c r="X22" s="771">
        <f t="shared" si="2"/>
        <v>0</v>
      </c>
      <c r="Y22" s="771">
        <f t="shared" si="2"/>
        <v>0</v>
      </c>
      <c r="Z22" s="771">
        <f t="shared" si="2"/>
        <v>0</v>
      </c>
      <c r="AA22" s="771">
        <f t="shared" si="2"/>
        <v>0</v>
      </c>
      <c r="AB22" s="771">
        <f t="shared" si="2"/>
        <v>0</v>
      </c>
      <c r="AC22" s="771">
        <f t="shared" si="2"/>
        <v>0</v>
      </c>
      <c r="AD22" s="771">
        <f t="shared" si="2"/>
        <v>0</v>
      </c>
      <c r="AE22" s="771">
        <f t="shared" si="2"/>
        <v>0</v>
      </c>
      <c r="AF22" s="771">
        <f t="shared" si="2"/>
        <v>0</v>
      </c>
      <c r="AG22" s="771">
        <f t="shared" si="2"/>
        <v>0</v>
      </c>
      <c r="AH22" s="771">
        <f t="shared" si="2"/>
        <v>0</v>
      </c>
      <c r="AI22" s="771">
        <f t="shared" si="2"/>
        <v>0</v>
      </c>
      <c r="AJ22" s="771">
        <f t="shared" si="2"/>
        <v>0</v>
      </c>
      <c r="AK22" s="771">
        <f t="shared" si="2"/>
        <v>0</v>
      </c>
      <c r="AL22" s="771">
        <f t="shared" si="2"/>
        <v>0</v>
      </c>
      <c r="AM22" s="771">
        <f t="shared" si="2"/>
        <v>0</v>
      </c>
      <c r="AN22" s="771">
        <f t="shared" si="2"/>
        <v>0</v>
      </c>
      <c r="AO22" s="771">
        <f t="shared" si="2"/>
        <v>0</v>
      </c>
      <c r="AP22" s="771">
        <f t="shared" si="2"/>
        <v>0</v>
      </c>
      <c r="AQ22" s="771">
        <f t="shared" si="2"/>
        <v>0</v>
      </c>
      <c r="AR22" s="771">
        <f t="shared" si="2"/>
        <v>0</v>
      </c>
      <c r="AS22" s="771">
        <f t="shared" si="2"/>
        <v>0</v>
      </c>
      <c r="AT22" s="771">
        <f t="shared" si="2"/>
        <v>0</v>
      </c>
      <c r="AU22" s="771">
        <f t="shared" si="2"/>
        <v>0</v>
      </c>
      <c r="AV22" s="771">
        <f t="shared" si="2"/>
        <v>0</v>
      </c>
      <c r="AW22" s="771">
        <f t="shared" si="2"/>
        <v>0</v>
      </c>
      <c r="AX22" s="771">
        <f t="shared" si="2"/>
        <v>0</v>
      </c>
      <c r="AY22" s="771">
        <f t="shared" si="2"/>
        <v>2.5</v>
      </c>
      <c r="AZ22" s="771">
        <f t="shared" si="2"/>
        <v>0</v>
      </c>
      <c r="BA22" s="771">
        <f t="shared" si="2"/>
        <v>0</v>
      </c>
      <c r="BB22" s="771">
        <f t="shared" si="2"/>
        <v>0</v>
      </c>
      <c r="BC22" s="771">
        <f t="shared" si="2"/>
        <v>0</v>
      </c>
      <c r="BD22" s="771">
        <f t="shared" si="2"/>
        <v>0</v>
      </c>
      <c r="BE22" s="771">
        <f t="shared" si="2"/>
        <v>0</v>
      </c>
      <c r="BF22" s="771">
        <f t="shared" si="2"/>
        <v>0</v>
      </c>
      <c r="BG22" s="771">
        <f t="shared" si="2"/>
        <v>0</v>
      </c>
      <c r="BH22" s="771">
        <f t="shared" si="2"/>
        <v>0</v>
      </c>
      <c r="BI22" s="771">
        <f t="shared" si="2"/>
        <v>1</v>
      </c>
      <c r="BJ22" s="771">
        <f t="shared" si="2"/>
        <v>0</v>
      </c>
      <c r="BK22" s="771">
        <f>SUM(BK19:BK21)</f>
        <v>28120000</v>
      </c>
      <c r="BL22" s="771">
        <f>SUM(BL19:BL21)</f>
        <v>2383932</v>
      </c>
      <c r="BM22" s="772">
        <f>BL22/H22*100</f>
        <v>7.8151629763664561</v>
      </c>
      <c r="BN22" s="778">
        <v>0</v>
      </c>
      <c r="BO22" s="1005">
        <f>SUM(BO19:BO21)</f>
        <v>18645760</v>
      </c>
      <c r="BP22" s="771">
        <f>SUM(BP19:BP21)</f>
        <v>27995760</v>
      </c>
      <c r="BQ22" s="771">
        <f>SUM(BQ19:BQ21)</f>
        <v>2508172</v>
      </c>
      <c r="BR22" s="772">
        <f>BQ22/H22*100</f>
        <v>8.222454731409707</v>
      </c>
      <c r="BS22" s="773">
        <v>0</v>
      </c>
      <c r="BT22" s="1005">
        <f>SUM(BT19:BT21)</f>
        <v>28014900</v>
      </c>
      <c r="BU22" s="771">
        <f>SUM(BU19:BU21)</f>
        <v>28014900</v>
      </c>
      <c r="BV22" s="771">
        <f>SUM(BV19:BV21)</f>
        <v>2489032</v>
      </c>
      <c r="BW22" s="772">
        <f>BV22/H22*100</f>
        <v>8.1597087221411311</v>
      </c>
      <c r="BX22" s="770"/>
    </row>
    <row r="23" spans="1:76" x14ac:dyDescent="0.35">
      <c r="A23" s="802" t="s">
        <v>22</v>
      </c>
      <c r="B23" s="803" t="s">
        <v>11</v>
      </c>
      <c r="C23" s="804"/>
      <c r="D23" s="805"/>
      <c r="E23" s="806"/>
      <c r="F23" s="806"/>
      <c r="G23" s="806"/>
      <c r="H23" s="808"/>
      <c r="I23" s="811"/>
      <c r="J23" s="808"/>
      <c r="K23" s="810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/>
      <c r="AV23" s="807"/>
      <c r="AW23" s="807"/>
      <c r="AX23" s="807"/>
      <c r="AY23" s="807"/>
      <c r="AZ23" s="807"/>
      <c r="BA23" s="807"/>
      <c r="BB23" s="807"/>
      <c r="BC23" s="807"/>
      <c r="BD23" s="807"/>
      <c r="BE23" s="807"/>
      <c r="BF23" s="807"/>
      <c r="BG23" s="807"/>
      <c r="BH23" s="807"/>
      <c r="BI23" s="807"/>
      <c r="BJ23" s="807"/>
      <c r="BK23" s="807"/>
      <c r="BL23" s="807"/>
      <c r="BM23" s="808"/>
      <c r="BN23" s="811"/>
      <c r="BO23" s="810"/>
      <c r="BP23" s="807"/>
      <c r="BQ23" s="807"/>
      <c r="BR23" s="808"/>
      <c r="BS23" s="810"/>
      <c r="BT23" s="810"/>
      <c r="BU23" s="807"/>
      <c r="BV23" s="807"/>
      <c r="BW23" s="808"/>
    </row>
    <row r="24" spans="1:76" x14ac:dyDescent="0.35">
      <c r="A24" s="691">
        <v>1</v>
      </c>
      <c r="B24" s="37" t="s">
        <v>180</v>
      </c>
      <c r="C24" s="14"/>
      <c r="D24" s="15"/>
      <c r="E24" s="47">
        <v>40</v>
      </c>
      <c r="F24" s="16" t="s">
        <v>12</v>
      </c>
      <c r="G24" s="47">
        <f>'Analisa '!K34</f>
        <v>67850</v>
      </c>
      <c r="H24" s="692">
        <f t="shared" ref="H24:H28" si="3">ROUND(E24*G24,2)</f>
        <v>2714000</v>
      </c>
      <c r="I24" s="711">
        <f>H24/$H$86*100</f>
        <v>0.19989254771383894</v>
      </c>
      <c r="J24" s="692">
        <f>'Analisa RAP II'!K15</f>
        <v>3</v>
      </c>
      <c r="K24" s="576">
        <f>'Analisa RAP II'!O16</f>
        <v>10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f>'Analisa RAP II'!O17</f>
        <v>1</v>
      </c>
      <c r="S24" s="32">
        <v>0</v>
      </c>
      <c r="T24" s="32"/>
      <c r="U24" s="32"/>
      <c r="V24" s="32">
        <v>0</v>
      </c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>
        <v>0</v>
      </c>
      <c r="AZ24" s="32"/>
      <c r="BA24" s="32"/>
      <c r="BB24" s="32"/>
      <c r="BC24" s="32"/>
      <c r="BD24" s="32"/>
      <c r="BE24" s="32"/>
      <c r="BF24" s="32"/>
      <c r="BG24" s="32"/>
      <c r="BH24" s="32"/>
      <c r="BI24" s="32">
        <v>0</v>
      </c>
      <c r="BJ24" s="32"/>
      <c r="BK24" s="680">
        <f>'Analisa RAP II'!U15</f>
        <v>2550000</v>
      </c>
      <c r="BL24" s="680">
        <f>'Analisa RAP II'!W15</f>
        <v>164000</v>
      </c>
      <c r="BM24" s="767">
        <f>'Analisa RAP II'!X15</f>
        <v>6.0427413411938105</v>
      </c>
      <c r="BN24" s="717">
        <f>'Analisa RAP II'!Z15</f>
        <v>60000</v>
      </c>
      <c r="BO24" s="897">
        <f>E24*BN24</f>
        <v>2400000</v>
      </c>
      <c r="BP24" s="680">
        <f>'Analisa RAP II'!AC15</f>
        <v>2400000</v>
      </c>
      <c r="BQ24" s="680">
        <f>'Analisa RAP II'!AD15</f>
        <v>314000</v>
      </c>
      <c r="BR24" s="767">
        <f>'Analisa RAP II'!AE15</f>
        <v>11.569638909358879</v>
      </c>
      <c r="BS24" s="576">
        <f>'Analisa RAP II'!AG15</f>
        <v>60000</v>
      </c>
      <c r="BT24" s="897">
        <f>E24*BS24</f>
        <v>2400000</v>
      </c>
      <c r="BU24" s="680">
        <f>'Analisa RAP II'!AJ15</f>
        <v>2400000</v>
      </c>
      <c r="BV24" s="680">
        <f>'Analisa RAP II'!AK15</f>
        <v>314000</v>
      </c>
      <c r="BW24" s="767">
        <f>'Analisa RAP II'!AL15</f>
        <v>11.569638909358879</v>
      </c>
    </row>
    <row r="25" spans="1:76" x14ac:dyDescent="0.35">
      <c r="A25" s="691">
        <f>+A24+1</f>
        <v>2</v>
      </c>
      <c r="B25" s="37" t="s">
        <v>181</v>
      </c>
      <c r="C25" s="14"/>
      <c r="D25" s="15"/>
      <c r="E25" s="47">
        <v>28</v>
      </c>
      <c r="F25" s="16" t="s">
        <v>12</v>
      </c>
      <c r="G25" s="47">
        <f>'Analisa '!K43</f>
        <v>83317.5</v>
      </c>
      <c r="H25" s="692">
        <f t="shared" si="3"/>
        <v>2332890</v>
      </c>
      <c r="I25" s="711">
        <f>H25/$H$86*100</f>
        <v>0.17182289080181934</v>
      </c>
      <c r="J25" s="692">
        <f>'Analisa RAP II'!K34</f>
        <v>4</v>
      </c>
      <c r="K25" s="576">
        <f>'Analisa RAP II'!O35</f>
        <v>6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f>'Analisa RAP II'!O36</f>
        <v>1</v>
      </c>
      <c r="S25" s="32">
        <v>0</v>
      </c>
      <c r="T25" s="32"/>
      <c r="U25" s="32"/>
      <c r="V25" s="32">
        <v>0</v>
      </c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>
        <v>0</v>
      </c>
      <c r="AZ25" s="32"/>
      <c r="BA25" s="32"/>
      <c r="BB25" s="32"/>
      <c r="BC25" s="32"/>
      <c r="BD25" s="32"/>
      <c r="BE25" s="32"/>
      <c r="BF25" s="32"/>
      <c r="BG25" s="32"/>
      <c r="BH25" s="32"/>
      <c r="BI25" s="32">
        <v>0</v>
      </c>
      <c r="BJ25" s="32"/>
      <c r="BK25" s="680">
        <f>'Analisa RAP II'!U34</f>
        <v>2200000</v>
      </c>
      <c r="BL25" s="680">
        <f>'Analisa RAP II'!W34</f>
        <v>132890</v>
      </c>
      <c r="BM25" s="767">
        <f>'Analisa RAP II'!X34</f>
        <v>5.6963680242103143</v>
      </c>
      <c r="BN25" s="717">
        <f>'Analisa RAP II'!Z34</f>
        <v>60000</v>
      </c>
      <c r="BO25" s="897">
        <f t="shared" ref="BO25:BO28" si="4">E25*BN25</f>
        <v>1680000</v>
      </c>
      <c r="BP25" s="680">
        <f>'Analisa RAP II'!AC34</f>
        <v>1680000</v>
      </c>
      <c r="BQ25" s="680">
        <f>'Analisa RAP II'!AD34</f>
        <v>652890</v>
      </c>
      <c r="BR25" s="767">
        <f>'Analisa RAP II'!AE34</f>
        <v>27.98631740030606</v>
      </c>
      <c r="BS25" s="576">
        <f>'Analisa RAP II'!AG34</f>
        <v>60000</v>
      </c>
      <c r="BT25" s="897">
        <f t="shared" ref="BT25:BT28" si="5">E25*BS25</f>
        <v>1680000</v>
      </c>
      <c r="BU25" s="680">
        <f>'Analisa RAP II'!AJ34</f>
        <v>1680000</v>
      </c>
      <c r="BV25" s="680">
        <f>'Analisa RAP II'!AK34</f>
        <v>652890</v>
      </c>
      <c r="BW25" s="767">
        <f>'Analisa RAP II'!AL34</f>
        <v>27.98631740030606</v>
      </c>
    </row>
    <row r="26" spans="1:76" x14ac:dyDescent="0.35">
      <c r="A26" s="691">
        <v>3</v>
      </c>
      <c r="B26" s="37" t="s">
        <v>17</v>
      </c>
      <c r="C26" s="14"/>
      <c r="D26" s="15"/>
      <c r="E26" s="47">
        <v>16</v>
      </c>
      <c r="F26" s="16" t="s">
        <v>12</v>
      </c>
      <c r="G26" s="47">
        <f>'Analisa '!K52</f>
        <v>16483.333333333332</v>
      </c>
      <c r="H26" s="692">
        <f t="shared" si="3"/>
        <v>263733.33</v>
      </c>
      <c r="I26" s="711">
        <f>H26/$H$86*100</f>
        <v>1.9424586311995073E-2</v>
      </c>
      <c r="J26" s="692">
        <f>'Analisa RAP II'!K54</f>
        <v>1</v>
      </c>
      <c r="K26" s="576">
        <f>'Analisa RAP II'!O55</f>
        <v>2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f>'Analisa RAP II'!O56</f>
        <v>1</v>
      </c>
      <c r="S26" s="32">
        <v>0</v>
      </c>
      <c r="T26" s="32"/>
      <c r="U26" s="32"/>
      <c r="V26" s="32">
        <v>0</v>
      </c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>
        <v>0</v>
      </c>
      <c r="AZ26" s="32"/>
      <c r="BA26" s="32"/>
      <c r="BB26" s="32"/>
      <c r="BC26" s="32"/>
      <c r="BD26" s="32"/>
      <c r="BE26" s="32"/>
      <c r="BF26" s="32"/>
      <c r="BG26" s="32"/>
      <c r="BH26" s="32"/>
      <c r="BI26" s="32">
        <v>0</v>
      </c>
      <c r="BJ26" s="32"/>
      <c r="BK26" s="680">
        <f>'Analisa RAP II'!U54</f>
        <v>250000</v>
      </c>
      <c r="BL26" s="680">
        <f>'Analisa RAP II'!W54</f>
        <v>13733.330000000016</v>
      </c>
      <c r="BM26" s="767">
        <f>'Analisa RAP II'!X54</f>
        <v>5.2072788828018117</v>
      </c>
      <c r="BN26" s="717">
        <f>'Analisa RAP II'!Z54</f>
        <v>15000</v>
      </c>
      <c r="BO26" s="897">
        <f t="shared" si="4"/>
        <v>240000</v>
      </c>
      <c r="BP26" s="680">
        <f>'Analisa RAP II'!AC54</f>
        <v>240000</v>
      </c>
      <c r="BQ26" s="680">
        <f>'Analisa RAP II'!AD54</f>
        <v>23733.330000000016</v>
      </c>
      <c r="BR26" s="767">
        <f>'Analisa RAP II'!AE54</f>
        <v>8.9989877274897392</v>
      </c>
      <c r="BS26" s="576">
        <f>'Analisa RAP II'!AG54</f>
        <v>15000</v>
      </c>
      <c r="BT26" s="897">
        <f t="shared" si="5"/>
        <v>240000</v>
      </c>
      <c r="BU26" s="680">
        <f>'Analisa RAP II'!AJ54</f>
        <v>240000</v>
      </c>
      <c r="BV26" s="680">
        <f>'Analisa RAP II'!AK54</f>
        <v>23733.330000000016</v>
      </c>
      <c r="BW26" s="767">
        <f>'Analisa RAP II'!AL54</f>
        <v>8.9989877274897392</v>
      </c>
    </row>
    <row r="27" spans="1:76" x14ac:dyDescent="0.35">
      <c r="A27" s="691">
        <v>4</v>
      </c>
      <c r="B27" s="37" t="s">
        <v>779</v>
      </c>
      <c r="C27" s="14"/>
      <c r="D27" s="15"/>
      <c r="E27" s="47">
        <v>8.76</v>
      </c>
      <c r="F27" s="16" t="s">
        <v>12</v>
      </c>
      <c r="G27" s="47">
        <f>'Analisa '!K62</f>
        <v>475640</v>
      </c>
      <c r="H27" s="692">
        <f t="shared" si="3"/>
        <v>4166606.4</v>
      </c>
      <c r="I27" s="711">
        <f>H27/$H$86*100</f>
        <v>0.30688046006513875</v>
      </c>
      <c r="J27" s="692">
        <f>'Analisa RAP II'!K73</f>
        <v>1</v>
      </c>
      <c r="K27" s="576">
        <f>'Analisa RAP II'!O74</f>
        <v>3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f>'Analisa RAP II'!O75</f>
        <v>1</v>
      </c>
      <c r="S27" s="32">
        <v>0</v>
      </c>
      <c r="T27" s="32"/>
      <c r="U27" s="32"/>
      <c r="V27" s="32">
        <v>0</v>
      </c>
      <c r="W27" s="32"/>
      <c r="X27" s="32"/>
      <c r="Y27" s="32"/>
      <c r="Z27" s="32">
        <f>'Analisa RAP II'!O77</f>
        <v>10.5</v>
      </c>
      <c r="AA27" s="32">
        <v>0</v>
      </c>
      <c r="AB27" s="32">
        <v>0</v>
      </c>
      <c r="AC27" s="32">
        <v>0</v>
      </c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>
        <v>0</v>
      </c>
      <c r="AZ27" s="32"/>
      <c r="BA27" s="32"/>
      <c r="BB27" s="32"/>
      <c r="BC27" s="32"/>
      <c r="BD27" s="32"/>
      <c r="BE27" s="32"/>
      <c r="BF27" s="32"/>
      <c r="BG27" s="32"/>
      <c r="BH27" s="32"/>
      <c r="BI27" s="32">
        <v>0</v>
      </c>
      <c r="BJ27" s="32">
        <v>0</v>
      </c>
      <c r="BK27" s="680">
        <f>'Analisa RAP II'!U73</f>
        <v>3737500</v>
      </c>
      <c r="BL27" s="680">
        <f>'Analisa RAP II'!W73</f>
        <v>429106.39999999991</v>
      </c>
      <c r="BM27" s="767">
        <f>'Analisa RAP II'!X73</f>
        <v>10.298702560433833</v>
      </c>
      <c r="BN27" s="717">
        <f>'Analisa RAP II'!Z73</f>
        <v>32500</v>
      </c>
      <c r="BO27" s="897">
        <f t="shared" si="4"/>
        <v>284700</v>
      </c>
      <c r="BP27" s="680">
        <f>'Analisa RAP II'!AC73</f>
        <v>3697200</v>
      </c>
      <c r="BQ27" s="680">
        <f>'Analisa RAP II'!AD73</f>
        <v>469406.39999999991</v>
      </c>
      <c r="BR27" s="767">
        <f>'Analisa RAP II'!AE73</f>
        <v>11.26591655021698</v>
      </c>
      <c r="BS27" s="576">
        <f>'Analisa RAP II'!AG73</f>
        <v>420000</v>
      </c>
      <c r="BT27" s="897">
        <f t="shared" si="5"/>
        <v>3679200</v>
      </c>
      <c r="BU27" s="680">
        <f>'Analisa RAP II'!AJ73</f>
        <v>3679200</v>
      </c>
      <c r="BV27" s="680">
        <f>'Analisa RAP II'!AK73</f>
        <v>487406.39999999991</v>
      </c>
      <c r="BW27" s="767">
        <f>'Analisa RAP II'!AL73</f>
        <v>11.697922798755359</v>
      </c>
    </row>
    <row r="28" spans="1:76" ht="16" thickBot="1" x14ac:dyDescent="0.4">
      <c r="A28" s="691">
        <v>5</v>
      </c>
      <c r="B28" s="37" t="s">
        <v>182</v>
      </c>
      <c r="C28" s="14"/>
      <c r="D28" s="15"/>
      <c r="E28" s="47">
        <v>10</v>
      </c>
      <c r="F28" s="16" t="s">
        <v>12</v>
      </c>
      <c r="G28" s="47">
        <f>'Analisa '!K62</f>
        <v>475640</v>
      </c>
      <c r="H28" s="692">
        <f t="shared" si="3"/>
        <v>4756400</v>
      </c>
      <c r="I28" s="711">
        <f>H28/$H$86*100</f>
        <v>0.35032015989171095</v>
      </c>
      <c r="J28" s="692">
        <f>'Analisa RAP II'!K92</f>
        <v>1</v>
      </c>
      <c r="K28" s="576">
        <f>'Analisa RAP II'!O93</f>
        <v>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f>'Analisa RAP II'!O94</f>
        <v>1</v>
      </c>
      <c r="S28" s="32">
        <v>0</v>
      </c>
      <c r="T28" s="32"/>
      <c r="U28" s="32"/>
      <c r="V28" s="32">
        <v>0</v>
      </c>
      <c r="W28" s="32"/>
      <c r="X28" s="32"/>
      <c r="Y28" s="32"/>
      <c r="Z28" s="32">
        <f>'Analisa RAP II'!O96</f>
        <v>12</v>
      </c>
      <c r="AA28" s="32">
        <v>0</v>
      </c>
      <c r="AB28" s="32">
        <v>0</v>
      </c>
      <c r="AC28" s="32">
        <v>0</v>
      </c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>
        <v>0</v>
      </c>
      <c r="AZ28" s="32"/>
      <c r="BA28" s="32"/>
      <c r="BB28" s="32"/>
      <c r="BC28" s="32"/>
      <c r="BD28" s="32"/>
      <c r="BE28" s="32"/>
      <c r="BF28" s="32"/>
      <c r="BG28" s="32"/>
      <c r="BH28" s="32"/>
      <c r="BI28" s="32">
        <v>0</v>
      </c>
      <c r="BJ28" s="32">
        <v>0</v>
      </c>
      <c r="BK28" s="680">
        <f>'Analisa RAP II'!U92</f>
        <v>4225000</v>
      </c>
      <c r="BL28" s="680">
        <f>'Analisa RAP II'!W92</f>
        <v>531400</v>
      </c>
      <c r="BM28" s="767">
        <f>'Analisa RAP II'!X92</f>
        <v>11.172315196367</v>
      </c>
      <c r="BN28" s="717">
        <f>'Analisa RAP II'!Z92</f>
        <v>32500</v>
      </c>
      <c r="BO28" s="897">
        <f t="shared" si="4"/>
        <v>325000</v>
      </c>
      <c r="BP28" s="680">
        <f>'Analisa RAP II'!AC92</f>
        <v>4225000</v>
      </c>
      <c r="BQ28" s="680">
        <f>'Analisa RAP II'!AD92</f>
        <v>531400</v>
      </c>
      <c r="BR28" s="767">
        <f>'Analisa RAP II'!AE92</f>
        <v>11.172315196367</v>
      </c>
      <c r="BS28" s="576">
        <f>'Analisa RAP II'!AG92</f>
        <v>420000</v>
      </c>
      <c r="BT28" s="897">
        <f t="shared" si="5"/>
        <v>4200000</v>
      </c>
      <c r="BU28" s="680">
        <f>'Analisa RAP II'!AJ92</f>
        <v>4200000</v>
      </c>
      <c r="BV28" s="680">
        <f>'Analisa RAP II'!AK92</f>
        <v>556400</v>
      </c>
      <c r="BW28" s="767">
        <f>'Analisa RAP II'!AL92</f>
        <v>11.697922798755361</v>
      </c>
    </row>
    <row r="29" spans="1:76" ht="16" thickBot="1" x14ac:dyDescent="0.4">
      <c r="A29" s="1136" t="s">
        <v>293</v>
      </c>
      <c r="B29" s="1137"/>
      <c r="C29" s="1137"/>
      <c r="D29" s="1137"/>
      <c r="E29" s="1137"/>
      <c r="F29" s="1137"/>
      <c r="G29" s="1138"/>
      <c r="H29" s="772">
        <f>SUM(H24:H28)</f>
        <v>14233629.73</v>
      </c>
      <c r="I29" s="774">
        <f>SUM(I24:I28)</f>
        <v>1.048340644784503</v>
      </c>
      <c r="J29" s="772">
        <v>0</v>
      </c>
      <c r="K29" s="773">
        <f>SUM(K24:K28)</f>
        <v>24</v>
      </c>
      <c r="L29" s="771">
        <f>SUM(L24:L28)</f>
        <v>0</v>
      </c>
      <c r="M29" s="771">
        <f t="shared" ref="M29:BJ29" si="6">SUM(M24:M28)</f>
        <v>0</v>
      </c>
      <c r="N29" s="771">
        <f t="shared" si="6"/>
        <v>0</v>
      </c>
      <c r="O29" s="771">
        <f t="shared" si="6"/>
        <v>0</v>
      </c>
      <c r="P29" s="771">
        <f t="shared" si="6"/>
        <v>0</v>
      </c>
      <c r="Q29" s="771">
        <f t="shared" si="6"/>
        <v>0</v>
      </c>
      <c r="R29" s="771">
        <f t="shared" si="6"/>
        <v>5</v>
      </c>
      <c r="S29" s="771">
        <f t="shared" si="6"/>
        <v>0</v>
      </c>
      <c r="T29" s="771">
        <f t="shared" si="6"/>
        <v>0</v>
      </c>
      <c r="U29" s="771">
        <f t="shared" si="6"/>
        <v>0</v>
      </c>
      <c r="V29" s="771">
        <f t="shared" si="6"/>
        <v>0</v>
      </c>
      <c r="W29" s="771">
        <f t="shared" si="6"/>
        <v>0</v>
      </c>
      <c r="X29" s="771">
        <f t="shared" si="6"/>
        <v>0</v>
      </c>
      <c r="Y29" s="771">
        <f t="shared" si="6"/>
        <v>0</v>
      </c>
      <c r="Z29" s="771">
        <f t="shared" si="6"/>
        <v>22.5</v>
      </c>
      <c r="AA29" s="771">
        <f t="shared" si="6"/>
        <v>0</v>
      </c>
      <c r="AB29" s="771">
        <f t="shared" si="6"/>
        <v>0</v>
      </c>
      <c r="AC29" s="771">
        <f t="shared" si="6"/>
        <v>0</v>
      </c>
      <c r="AD29" s="771">
        <f t="shared" si="6"/>
        <v>0</v>
      </c>
      <c r="AE29" s="771">
        <f t="shared" si="6"/>
        <v>0</v>
      </c>
      <c r="AF29" s="771">
        <f t="shared" si="6"/>
        <v>0</v>
      </c>
      <c r="AG29" s="771">
        <f t="shared" si="6"/>
        <v>0</v>
      </c>
      <c r="AH29" s="771">
        <f t="shared" si="6"/>
        <v>0</v>
      </c>
      <c r="AI29" s="771">
        <f t="shared" si="6"/>
        <v>0</v>
      </c>
      <c r="AJ29" s="771">
        <f t="shared" si="6"/>
        <v>0</v>
      </c>
      <c r="AK29" s="771">
        <f t="shared" si="6"/>
        <v>0</v>
      </c>
      <c r="AL29" s="771">
        <f t="shared" si="6"/>
        <v>0</v>
      </c>
      <c r="AM29" s="771">
        <f t="shared" si="6"/>
        <v>0</v>
      </c>
      <c r="AN29" s="771">
        <f t="shared" si="6"/>
        <v>0</v>
      </c>
      <c r="AO29" s="771">
        <f t="shared" si="6"/>
        <v>0</v>
      </c>
      <c r="AP29" s="771">
        <f t="shared" si="6"/>
        <v>0</v>
      </c>
      <c r="AQ29" s="771">
        <f t="shared" si="6"/>
        <v>0</v>
      </c>
      <c r="AR29" s="771">
        <f t="shared" si="6"/>
        <v>0</v>
      </c>
      <c r="AS29" s="771">
        <f t="shared" si="6"/>
        <v>0</v>
      </c>
      <c r="AT29" s="771">
        <f t="shared" si="6"/>
        <v>0</v>
      </c>
      <c r="AU29" s="771">
        <f t="shared" si="6"/>
        <v>0</v>
      </c>
      <c r="AV29" s="771">
        <f t="shared" si="6"/>
        <v>0</v>
      </c>
      <c r="AW29" s="771">
        <f t="shared" si="6"/>
        <v>0</v>
      </c>
      <c r="AX29" s="771">
        <f t="shared" si="6"/>
        <v>0</v>
      </c>
      <c r="AY29" s="771">
        <f t="shared" si="6"/>
        <v>0</v>
      </c>
      <c r="AZ29" s="771">
        <f t="shared" si="6"/>
        <v>0</v>
      </c>
      <c r="BA29" s="771">
        <f t="shared" si="6"/>
        <v>0</v>
      </c>
      <c r="BB29" s="771">
        <f t="shared" si="6"/>
        <v>0</v>
      </c>
      <c r="BC29" s="771">
        <f t="shared" si="6"/>
        <v>0</v>
      </c>
      <c r="BD29" s="771">
        <f t="shared" si="6"/>
        <v>0</v>
      </c>
      <c r="BE29" s="771">
        <f t="shared" si="6"/>
        <v>0</v>
      </c>
      <c r="BF29" s="771">
        <f t="shared" si="6"/>
        <v>0</v>
      </c>
      <c r="BG29" s="771">
        <f t="shared" si="6"/>
        <v>0</v>
      </c>
      <c r="BH29" s="771">
        <f t="shared" si="6"/>
        <v>0</v>
      </c>
      <c r="BI29" s="771">
        <f t="shared" si="6"/>
        <v>0</v>
      </c>
      <c r="BJ29" s="771">
        <f t="shared" si="6"/>
        <v>0</v>
      </c>
      <c r="BK29" s="771">
        <f>SUM(BK24:BK28)</f>
        <v>12962500</v>
      </c>
      <c r="BL29" s="771">
        <f>SUM(BL24:BL28)</f>
        <v>1271129.73</v>
      </c>
      <c r="BM29" s="772">
        <f>BL29/H29*100</f>
        <v>8.9304678715989052</v>
      </c>
      <c r="BN29" s="771">
        <v>0</v>
      </c>
      <c r="BO29" s="1006">
        <f>SUM(BO24:BO28)</f>
        <v>4929700</v>
      </c>
      <c r="BP29" s="771">
        <f>SUM(BP24:BP28)</f>
        <v>12242200</v>
      </c>
      <c r="BQ29" s="771">
        <f>SUM(BQ24:BQ28)</f>
        <v>1991429.73</v>
      </c>
      <c r="BR29" s="772">
        <f>BQ29/H29*100</f>
        <v>13.991018227786933</v>
      </c>
      <c r="BS29" s="771">
        <v>0</v>
      </c>
      <c r="BT29" s="1006">
        <f>SUM(BT24:BT28)</f>
        <v>12199200</v>
      </c>
      <c r="BU29" s="771">
        <f>SUM(BU24:BU28)</f>
        <v>12199200</v>
      </c>
      <c r="BV29" s="771">
        <f>SUM(BV24:BV28)</f>
        <v>2034429.73</v>
      </c>
      <c r="BW29" s="772">
        <f>BV29/H29*100</f>
        <v>14.293119665127046</v>
      </c>
    </row>
    <row r="30" spans="1:76" x14ac:dyDescent="0.35">
      <c r="A30" s="802" t="s">
        <v>23</v>
      </c>
      <c r="B30" s="822" t="s">
        <v>197</v>
      </c>
      <c r="C30" s="823"/>
      <c r="D30" s="823"/>
      <c r="E30" s="806"/>
      <c r="F30" s="806"/>
      <c r="G30" s="824"/>
      <c r="H30" s="808"/>
      <c r="I30" s="811"/>
      <c r="J30" s="808"/>
      <c r="K30" s="810"/>
      <c r="L30" s="807"/>
      <c r="M30" s="807"/>
      <c r="N30" s="807"/>
      <c r="O30" s="807"/>
      <c r="P30" s="807"/>
      <c r="Q30" s="807"/>
      <c r="R30" s="807"/>
      <c r="S30" s="807"/>
      <c r="T30" s="807"/>
      <c r="U30" s="807"/>
      <c r="V30" s="807"/>
      <c r="W30" s="807"/>
      <c r="X30" s="807"/>
      <c r="Y30" s="807"/>
      <c r="Z30" s="807"/>
      <c r="AA30" s="807"/>
      <c r="AB30" s="807"/>
      <c r="AC30" s="807"/>
      <c r="AD30" s="807"/>
      <c r="AE30" s="807"/>
      <c r="AF30" s="807"/>
      <c r="AG30" s="807"/>
      <c r="AH30" s="807"/>
      <c r="AI30" s="807"/>
      <c r="AJ30" s="807"/>
      <c r="AK30" s="807"/>
      <c r="AL30" s="807"/>
      <c r="AM30" s="807"/>
      <c r="AN30" s="807"/>
      <c r="AO30" s="807"/>
      <c r="AP30" s="807"/>
      <c r="AQ30" s="807"/>
      <c r="AR30" s="807"/>
      <c r="AS30" s="807"/>
      <c r="AT30" s="807"/>
      <c r="AU30" s="807"/>
      <c r="AV30" s="807"/>
      <c r="AW30" s="807"/>
      <c r="AX30" s="807"/>
      <c r="AY30" s="807"/>
      <c r="AZ30" s="807"/>
      <c r="BA30" s="807"/>
      <c r="BB30" s="807"/>
      <c r="BC30" s="807"/>
      <c r="BD30" s="807"/>
      <c r="BE30" s="807"/>
      <c r="BF30" s="807"/>
      <c r="BG30" s="807"/>
      <c r="BH30" s="807"/>
      <c r="BI30" s="807"/>
      <c r="BJ30" s="807"/>
      <c r="BK30" s="807"/>
      <c r="BL30" s="807"/>
      <c r="BM30" s="809"/>
      <c r="BN30" s="811"/>
      <c r="BO30" s="810"/>
      <c r="BP30" s="807"/>
      <c r="BQ30" s="807"/>
      <c r="BR30" s="808"/>
      <c r="BS30" s="811"/>
      <c r="BT30" s="810"/>
      <c r="BU30" s="807"/>
      <c r="BV30" s="807"/>
      <c r="BW30" s="808"/>
    </row>
    <row r="31" spans="1:76" ht="16" thickBot="1" x14ac:dyDescent="0.4">
      <c r="A31" s="825">
        <v>1</v>
      </c>
      <c r="B31" s="49" t="s">
        <v>183</v>
      </c>
      <c r="C31" s="49"/>
      <c r="D31" s="49"/>
      <c r="E31" s="60">
        <v>48.9</v>
      </c>
      <c r="F31" s="48" t="s">
        <v>12</v>
      </c>
      <c r="G31" s="50">
        <f>'Analisa '!K72</f>
        <v>1043912.5</v>
      </c>
      <c r="H31" s="826">
        <f>+G31*E31</f>
        <v>51047321.25</v>
      </c>
      <c r="I31" s="711">
        <f>H31/$H$86*100</f>
        <v>3.7597564843880944</v>
      </c>
      <c r="J31" s="692">
        <f>'Analisa RAP III'!K16</f>
        <v>4</v>
      </c>
      <c r="K31" s="576">
        <f>'Analisa RAP III'!O17</f>
        <v>18</v>
      </c>
      <c r="L31" s="32">
        <v>0</v>
      </c>
      <c r="M31" s="32">
        <f>'Analisa RAP III'!O18</f>
        <v>9</v>
      </c>
      <c r="N31" s="32">
        <v>0</v>
      </c>
      <c r="O31" s="32">
        <v>0</v>
      </c>
      <c r="P31" s="32">
        <v>0</v>
      </c>
      <c r="Q31" s="32">
        <v>0</v>
      </c>
      <c r="R31" s="32">
        <f>'Analisa RAP III'!O20</f>
        <v>1</v>
      </c>
      <c r="S31" s="32">
        <v>0</v>
      </c>
      <c r="T31" s="32"/>
      <c r="U31" s="32"/>
      <c r="V31" s="32">
        <v>0</v>
      </c>
      <c r="W31" s="32"/>
      <c r="X31" s="32"/>
      <c r="Y31" s="32"/>
      <c r="Z31" s="32">
        <f>'Analisa RAP III'!O24</f>
        <v>25.5</v>
      </c>
      <c r="AA31" s="32">
        <v>0</v>
      </c>
      <c r="AB31" s="32">
        <f>'Analisa RAP III'!O22</f>
        <v>59</v>
      </c>
      <c r="AC31" s="32">
        <f>'Analisa RAP III'!O23</f>
        <v>200</v>
      </c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>
        <v>0</v>
      </c>
      <c r="AZ31" s="32"/>
      <c r="BA31" s="32"/>
      <c r="BB31" s="32"/>
      <c r="BC31" s="32"/>
      <c r="BD31" s="32"/>
      <c r="BE31" s="32"/>
      <c r="BF31" s="32"/>
      <c r="BG31" s="32"/>
      <c r="BH31" s="32"/>
      <c r="BI31" s="32">
        <v>0</v>
      </c>
      <c r="BJ31" s="32">
        <v>0</v>
      </c>
      <c r="BK31" s="680">
        <f>'Analisa RAP III'!U16</f>
        <v>43847500</v>
      </c>
      <c r="BL31" s="680">
        <f>'Analisa RAP III'!W16</f>
        <v>7199821.25</v>
      </c>
      <c r="BM31" s="686">
        <f>'Analisa RAP III'!X16</f>
        <v>14.104209728732828</v>
      </c>
      <c r="BN31" s="717">
        <f>'Analisa RAP III'!Z16</f>
        <v>180000</v>
      </c>
      <c r="BO31" s="897">
        <f>E31*BN31</f>
        <v>8802000</v>
      </c>
      <c r="BP31" s="680">
        <f>'Analisa RAP III'!AC16</f>
        <v>43789500</v>
      </c>
      <c r="BQ31" s="680">
        <f>'Analisa RAP III'!AD16</f>
        <v>7257821.25</v>
      </c>
      <c r="BR31" s="767">
        <f>'Analisa RAP III'!AE16</f>
        <v>14.21782979454578</v>
      </c>
      <c r="BS31" s="717">
        <f>'Analisa RAP III'!AG16</f>
        <v>875000</v>
      </c>
      <c r="BT31" s="897">
        <f>E31*BS31</f>
        <v>42787500</v>
      </c>
      <c r="BU31" s="680">
        <f>'Analisa RAP III'!AJ16</f>
        <v>42787500</v>
      </c>
      <c r="BV31" s="680">
        <f>'Analisa RAP III'!AK16</f>
        <v>8259821.25</v>
      </c>
      <c r="BW31" s="767">
        <f>'Analisa RAP III'!AL16</f>
        <v>16.180714379797156</v>
      </c>
    </row>
    <row r="32" spans="1:76" ht="16" thickBot="1" x14ac:dyDescent="0.4">
      <c r="A32" s="1136" t="s">
        <v>294</v>
      </c>
      <c r="B32" s="1137"/>
      <c r="C32" s="1137"/>
      <c r="D32" s="1137"/>
      <c r="E32" s="1137"/>
      <c r="F32" s="1137"/>
      <c r="G32" s="1138"/>
      <c r="H32" s="772">
        <f>SUM(H31:H31)</f>
        <v>51047321.25</v>
      </c>
      <c r="I32" s="774">
        <f>SUM(I31:I31)</f>
        <v>3.7597564843880944</v>
      </c>
      <c r="J32" s="772">
        <v>0</v>
      </c>
      <c r="K32" s="773">
        <f>SUM(K31:K31)</f>
        <v>18</v>
      </c>
      <c r="L32" s="771">
        <f>SUM(L31:L31)</f>
        <v>0</v>
      </c>
      <c r="M32" s="771">
        <f>SUM(M31:M31)</f>
        <v>9</v>
      </c>
      <c r="N32" s="771">
        <f t="shared" ref="N32:BI32" si="7">SUM(N31:N31)</f>
        <v>0</v>
      </c>
      <c r="O32" s="771">
        <f t="shared" si="7"/>
        <v>0</v>
      </c>
      <c r="P32" s="771">
        <f t="shared" si="7"/>
        <v>0</v>
      </c>
      <c r="Q32" s="771">
        <f t="shared" si="7"/>
        <v>0</v>
      </c>
      <c r="R32" s="771">
        <f t="shared" si="7"/>
        <v>1</v>
      </c>
      <c r="S32" s="771">
        <f t="shared" si="7"/>
        <v>0</v>
      </c>
      <c r="T32" s="771">
        <f t="shared" si="7"/>
        <v>0</v>
      </c>
      <c r="U32" s="771">
        <f t="shared" si="7"/>
        <v>0</v>
      </c>
      <c r="V32" s="771">
        <f t="shared" si="7"/>
        <v>0</v>
      </c>
      <c r="W32" s="771">
        <f t="shared" si="7"/>
        <v>0</v>
      </c>
      <c r="X32" s="771">
        <f t="shared" si="7"/>
        <v>0</v>
      </c>
      <c r="Y32" s="771">
        <f t="shared" si="7"/>
        <v>0</v>
      </c>
      <c r="Z32" s="771">
        <f t="shared" si="7"/>
        <v>25.5</v>
      </c>
      <c r="AA32" s="771">
        <f t="shared" si="7"/>
        <v>0</v>
      </c>
      <c r="AB32" s="771">
        <f t="shared" si="7"/>
        <v>59</v>
      </c>
      <c r="AC32" s="771">
        <f t="shared" si="7"/>
        <v>200</v>
      </c>
      <c r="AD32" s="771">
        <f t="shared" si="7"/>
        <v>0</v>
      </c>
      <c r="AE32" s="771">
        <f t="shared" si="7"/>
        <v>0</v>
      </c>
      <c r="AF32" s="771">
        <f t="shared" si="7"/>
        <v>0</v>
      </c>
      <c r="AG32" s="771">
        <f t="shared" si="7"/>
        <v>0</v>
      </c>
      <c r="AH32" s="771">
        <f t="shared" si="7"/>
        <v>0</v>
      </c>
      <c r="AI32" s="771">
        <f t="shared" si="7"/>
        <v>0</v>
      </c>
      <c r="AJ32" s="771">
        <f t="shared" si="7"/>
        <v>0</v>
      </c>
      <c r="AK32" s="771">
        <f t="shared" si="7"/>
        <v>0</v>
      </c>
      <c r="AL32" s="771">
        <f t="shared" si="7"/>
        <v>0</v>
      </c>
      <c r="AM32" s="771">
        <f t="shared" si="7"/>
        <v>0</v>
      </c>
      <c r="AN32" s="771">
        <f t="shared" si="7"/>
        <v>0</v>
      </c>
      <c r="AO32" s="771">
        <f t="shared" si="7"/>
        <v>0</v>
      </c>
      <c r="AP32" s="771">
        <f t="shared" si="7"/>
        <v>0</v>
      </c>
      <c r="AQ32" s="771">
        <f t="shared" si="7"/>
        <v>0</v>
      </c>
      <c r="AR32" s="771">
        <f t="shared" si="7"/>
        <v>0</v>
      </c>
      <c r="AS32" s="771">
        <f t="shared" si="7"/>
        <v>0</v>
      </c>
      <c r="AT32" s="771">
        <f t="shared" si="7"/>
        <v>0</v>
      </c>
      <c r="AU32" s="771">
        <f t="shared" si="7"/>
        <v>0</v>
      </c>
      <c r="AV32" s="771">
        <f t="shared" si="7"/>
        <v>0</v>
      </c>
      <c r="AW32" s="771">
        <f t="shared" si="7"/>
        <v>0</v>
      </c>
      <c r="AX32" s="771">
        <f t="shared" si="7"/>
        <v>0</v>
      </c>
      <c r="AY32" s="771">
        <f t="shared" si="7"/>
        <v>0</v>
      </c>
      <c r="AZ32" s="771">
        <f t="shared" si="7"/>
        <v>0</v>
      </c>
      <c r="BA32" s="771">
        <f t="shared" si="7"/>
        <v>0</v>
      </c>
      <c r="BB32" s="771">
        <f t="shared" si="7"/>
        <v>0</v>
      </c>
      <c r="BC32" s="771">
        <f t="shared" si="7"/>
        <v>0</v>
      </c>
      <c r="BD32" s="771">
        <f t="shared" si="7"/>
        <v>0</v>
      </c>
      <c r="BE32" s="771">
        <f t="shared" si="7"/>
        <v>0</v>
      </c>
      <c r="BF32" s="771">
        <f t="shared" si="7"/>
        <v>0</v>
      </c>
      <c r="BG32" s="771">
        <f t="shared" si="7"/>
        <v>0</v>
      </c>
      <c r="BH32" s="771">
        <f t="shared" si="7"/>
        <v>0</v>
      </c>
      <c r="BI32" s="771">
        <f t="shared" si="7"/>
        <v>0</v>
      </c>
      <c r="BJ32" s="771">
        <f t="shared" ref="BJ32" si="8">SUM(BJ31:BJ31)</f>
        <v>0</v>
      </c>
      <c r="BK32" s="771">
        <f>SUM(BK31:BK31)</f>
        <v>43847500</v>
      </c>
      <c r="BL32" s="771">
        <f>SUM(BL31:BL31)</f>
        <v>7199821.25</v>
      </c>
      <c r="BM32" s="827">
        <f>BL32/H32*100</f>
        <v>14.104209728732828</v>
      </c>
      <c r="BN32" s="778">
        <v>0</v>
      </c>
      <c r="BO32" s="1005">
        <f>SUM(BO31)</f>
        <v>8802000</v>
      </c>
      <c r="BP32" s="771">
        <f>SUM(BP31:BP31)</f>
        <v>43789500</v>
      </c>
      <c r="BQ32" s="771">
        <f>SUM(BQ31:BQ31)</f>
        <v>7257821.25</v>
      </c>
      <c r="BR32" s="772">
        <f>BQ32/H32*100</f>
        <v>14.21782979454578</v>
      </c>
      <c r="BS32" s="778">
        <v>0</v>
      </c>
      <c r="BT32" s="1005">
        <f>SUM(BT31)</f>
        <v>42787500</v>
      </c>
      <c r="BU32" s="771">
        <f>SUM(BU31:BU31)</f>
        <v>42787500</v>
      </c>
      <c r="BV32" s="771">
        <f>SUM(BV31:BV31)</f>
        <v>8259821.25</v>
      </c>
      <c r="BW32" s="772">
        <f>BV32/H32*100</f>
        <v>16.180714379797156</v>
      </c>
    </row>
    <row r="33" spans="1:75" x14ac:dyDescent="0.35">
      <c r="A33" s="802" t="s">
        <v>32</v>
      </c>
      <c r="B33" s="857" t="s">
        <v>186</v>
      </c>
      <c r="C33" s="858"/>
      <c r="D33" s="859"/>
      <c r="E33" s="860"/>
      <c r="F33" s="861"/>
      <c r="G33" s="862"/>
      <c r="H33" s="863"/>
      <c r="I33" s="871"/>
      <c r="J33" s="863"/>
      <c r="K33" s="871"/>
      <c r="L33" s="872"/>
      <c r="M33" s="872"/>
      <c r="N33" s="872"/>
      <c r="O33" s="872"/>
      <c r="P33" s="872"/>
      <c r="Q33" s="872"/>
      <c r="R33" s="872"/>
      <c r="S33" s="872"/>
      <c r="T33" s="872"/>
      <c r="U33" s="872"/>
      <c r="V33" s="872"/>
      <c r="W33" s="872"/>
      <c r="X33" s="872"/>
      <c r="Y33" s="872"/>
      <c r="Z33" s="872"/>
      <c r="AA33" s="872"/>
      <c r="AB33" s="872"/>
      <c r="AC33" s="872"/>
      <c r="AD33" s="872"/>
      <c r="AE33" s="872"/>
      <c r="AF33" s="872"/>
      <c r="AG33" s="872"/>
      <c r="AH33" s="872"/>
      <c r="AI33" s="872"/>
      <c r="AJ33" s="872"/>
      <c r="AK33" s="872"/>
      <c r="AL33" s="872"/>
      <c r="AM33" s="872"/>
      <c r="AN33" s="872"/>
      <c r="AO33" s="872"/>
      <c r="AP33" s="872"/>
      <c r="AQ33" s="872"/>
      <c r="AR33" s="872"/>
      <c r="AS33" s="872"/>
      <c r="AT33" s="872"/>
      <c r="AU33" s="872"/>
      <c r="AV33" s="872"/>
      <c r="AW33" s="872"/>
      <c r="AX33" s="872"/>
      <c r="AY33" s="872"/>
      <c r="AZ33" s="872"/>
      <c r="BA33" s="872"/>
      <c r="BB33" s="872"/>
      <c r="BC33" s="872"/>
      <c r="BD33" s="872"/>
      <c r="BE33" s="872"/>
      <c r="BF33" s="872"/>
      <c r="BG33" s="872"/>
      <c r="BH33" s="872"/>
      <c r="BI33" s="872"/>
      <c r="BJ33" s="872"/>
      <c r="BK33" s="872"/>
      <c r="BL33" s="872"/>
      <c r="BM33" s="863"/>
      <c r="BN33" s="871"/>
      <c r="BO33" s="862"/>
      <c r="BP33" s="872"/>
      <c r="BQ33" s="872"/>
      <c r="BR33" s="863"/>
      <c r="BS33" s="871"/>
      <c r="BT33" s="862"/>
      <c r="BU33" s="872"/>
      <c r="BV33" s="872"/>
      <c r="BW33" s="863"/>
    </row>
    <row r="34" spans="1:75" x14ac:dyDescent="0.35">
      <c r="A34" s="825">
        <v>1</v>
      </c>
      <c r="B34" s="49" t="s">
        <v>438</v>
      </c>
      <c r="C34" s="49"/>
      <c r="D34" s="49"/>
      <c r="E34" s="50">
        <v>4.2</v>
      </c>
      <c r="F34" s="48" t="s">
        <v>12</v>
      </c>
      <c r="G34" s="50">
        <f>'Analisa '!K86</f>
        <v>901784</v>
      </c>
      <c r="H34" s="864">
        <f>ROUND(E34*G34,2)</f>
        <v>3787492.8</v>
      </c>
      <c r="I34" s="711">
        <f>H34/$H$86*100</f>
        <v>0.27895784275601376</v>
      </c>
      <c r="J34" s="692">
        <f>'Analisa RAP IV'!K18</f>
        <v>1</v>
      </c>
      <c r="K34" s="717">
        <f>'Analisa RAP IV'!O19</f>
        <v>5</v>
      </c>
      <c r="L34" s="32">
        <v>0</v>
      </c>
      <c r="M34" s="32">
        <f>'Analisa RAP IV'!O20</f>
        <v>1</v>
      </c>
      <c r="N34" s="32">
        <v>0</v>
      </c>
      <c r="O34" s="32">
        <v>0</v>
      </c>
      <c r="P34" s="32">
        <v>0</v>
      </c>
      <c r="Q34" s="32">
        <v>0</v>
      </c>
      <c r="R34" s="32">
        <f>'Analisa RAP IV'!O22</f>
        <v>1</v>
      </c>
      <c r="S34" s="32">
        <v>0</v>
      </c>
      <c r="T34" s="32"/>
      <c r="U34" s="32"/>
      <c r="V34" s="32">
        <v>0</v>
      </c>
      <c r="W34" s="32"/>
      <c r="X34" s="32"/>
      <c r="Y34" s="32"/>
      <c r="Z34" s="32">
        <f>'Analisa RAP IV'!O25</f>
        <v>2.5</v>
      </c>
      <c r="AA34" s="32">
        <f>'Analisa RAP IV'!O26</f>
        <v>3</v>
      </c>
      <c r="AB34" s="32">
        <v>0</v>
      </c>
      <c r="AC34" s="32">
        <f>'Analisa RAP IV'!O24</f>
        <v>24</v>
      </c>
      <c r="AD34" s="32">
        <f>'Analisa RAP IV'!O27</f>
        <v>840</v>
      </c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>
        <v>0</v>
      </c>
      <c r="AZ34" s="32"/>
      <c r="BA34" s="32"/>
      <c r="BB34" s="32"/>
      <c r="BC34" s="32"/>
      <c r="BD34" s="32"/>
      <c r="BE34" s="32"/>
      <c r="BF34" s="32"/>
      <c r="BG34" s="32"/>
      <c r="BH34" s="32"/>
      <c r="BI34" s="32">
        <v>0</v>
      </c>
      <c r="BJ34" s="32">
        <f>'Analisa RAP IV'!O29</f>
        <v>1</v>
      </c>
      <c r="BK34" s="32">
        <f>'Analisa RAP IV'!U18</f>
        <v>3591780</v>
      </c>
      <c r="BL34" s="32">
        <f>'Analisa RAP IV'!W18</f>
        <v>195712.79999999981</v>
      </c>
      <c r="BM34" s="692">
        <f>'Analisa RAP IV'!X18</f>
        <v>5.1673444765360301</v>
      </c>
      <c r="BN34" s="717">
        <f>'Analisa RAP IV'!Z18</f>
        <v>125000</v>
      </c>
      <c r="BO34" s="897">
        <f>E34*BN34</f>
        <v>525000</v>
      </c>
      <c r="BP34" s="32">
        <f>'Analisa RAP IV'!AC18</f>
        <v>3556780</v>
      </c>
      <c r="BQ34" s="32">
        <f>'Analisa RAP IV'!AD18</f>
        <v>230712.79999999981</v>
      </c>
      <c r="BR34" s="692">
        <f>'Analisa RAP IV'!AE18</f>
        <v>6.0914386424708136</v>
      </c>
      <c r="BS34" s="717">
        <f>'Analisa RAP IV'!AG18</f>
        <v>800000</v>
      </c>
      <c r="BT34" s="897">
        <f>E34*BS34</f>
        <v>3360000</v>
      </c>
      <c r="BU34" s="32">
        <f>'Analisa RAP IV'!AJ18</f>
        <v>3510000</v>
      </c>
      <c r="BV34" s="32">
        <f>'Analisa RAP IV'!AK18</f>
        <v>277492.79999999981</v>
      </c>
      <c r="BW34" s="692">
        <f>'Analisa RAP IV'!AL18</f>
        <v>7.326556501968791</v>
      </c>
    </row>
    <row r="35" spans="1:75" x14ac:dyDescent="0.35">
      <c r="A35" s="825">
        <v>2</v>
      </c>
      <c r="B35" s="49" t="s">
        <v>442</v>
      </c>
      <c r="C35" s="49"/>
      <c r="D35" s="49"/>
      <c r="E35" s="50">
        <v>18.62</v>
      </c>
      <c r="F35" s="48" t="s">
        <v>12</v>
      </c>
      <c r="G35" s="50">
        <f>'Analisa '!K86</f>
        <v>901784</v>
      </c>
      <c r="H35" s="864">
        <f>ROUND(E35*G35,2)</f>
        <v>16791218.079999998</v>
      </c>
      <c r="I35" s="711">
        <f>H35/$H$86*100</f>
        <v>1.2367131028849943</v>
      </c>
      <c r="J35" s="692">
        <f>'Analisa RAP IV'!K41</f>
        <v>2</v>
      </c>
      <c r="K35" s="717">
        <f>'Analisa RAP IV'!O42</f>
        <v>10</v>
      </c>
      <c r="L35" s="32">
        <v>0</v>
      </c>
      <c r="M35" s="32">
        <f>'Analisa RAP IV'!O43</f>
        <v>2</v>
      </c>
      <c r="N35" s="32">
        <v>0</v>
      </c>
      <c r="O35" s="32">
        <v>0</v>
      </c>
      <c r="P35" s="32">
        <v>0</v>
      </c>
      <c r="Q35" s="32">
        <v>0</v>
      </c>
      <c r="R35" s="32">
        <f>'Analisa RAP IV'!O45</f>
        <v>1</v>
      </c>
      <c r="S35" s="32">
        <v>0</v>
      </c>
      <c r="T35" s="32"/>
      <c r="U35" s="32"/>
      <c r="V35" s="32">
        <v>0</v>
      </c>
      <c r="W35" s="32"/>
      <c r="X35" s="32"/>
      <c r="Y35" s="32"/>
      <c r="Z35" s="32">
        <f>'Analisa RAP IV'!O48</f>
        <v>10.5</v>
      </c>
      <c r="AA35" s="32">
        <f>'Analisa RAP IV'!O49</f>
        <v>13</v>
      </c>
      <c r="AB35" s="32">
        <v>0</v>
      </c>
      <c r="AC35" s="32">
        <f>'Analisa RAP IV'!O47</f>
        <v>107</v>
      </c>
      <c r="AD35" s="32">
        <f>'Analisa RAP IV'!O50</f>
        <v>3724</v>
      </c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>
        <v>0</v>
      </c>
      <c r="AZ35" s="32"/>
      <c r="BA35" s="32"/>
      <c r="BB35" s="32"/>
      <c r="BC35" s="32"/>
      <c r="BD35" s="32"/>
      <c r="BE35" s="32"/>
      <c r="BF35" s="32"/>
      <c r="BG35" s="32"/>
      <c r="BH35" s="32"/>
      <c r="BI35" s="32">
        <v>0</v>
      </c>
      <c r="BJ35" s="32">
        <f>'Analisa RAP IV'!O52</f>
        <v>2</v>
      </c>
      <c r="BK35" s="32">
        <f>'Analisa RAP IV'!U41</f>
        <v>14855808</v>
      </c>
      <c r="BL35" s="32">
        <f>'Analisa RAP IV'!W41</f>
        <v>1935410.0799999982</v>
      </c>
      <c r="BM35" s="692">
        <f>'Analisa RAP IV'!X41</f>
        <v>11.526323288631831</v>
      </c>
      <c r="BN35" s="717">
        <f>'Analisa RAP IV'!Z41</f>
        <v>100000</v>
      </c>
      <c r="BO35" s="897">
        <f t="shared" ref="BO35:BO52" si="9">E35*BN35</f>
        <v>1862000</v>
      </c>
      <c r="BP35" s="32">
        <f>'Analisa RAP IV'!AC41</f>
        <v>14677808</v>
      </c>
      <c r="BQ35" s="32">
        <f>'Analisa RAP IV'!AD41</f>
        <v>2113410.0799999982</v>
      </c>
      <c r="BR35" s="692">
        <f>'Analisa RAP IV'!AE41</f>
        <v>12.586401236234785</v>
      </c>
      <c r="BS35" s="717">
        <f>'Analisa RAP IV'!AG41</f>
        <v>750000</v>
      </c>
      <c r="BT35" s="897">
        <f t="shared" ref="BT35:BT53" si="10">E35*BS35</f>
        <v>13965000</v>
      </c>
      <c r="BU35" s="32">
        <f>'Analisa RAP IV'!AJ41</f>
        <v>14265000</v>
      </c>
      <c r="BV35" s="32">
        <f>'Analisa RAP IV'!AK41</f>
        <v>2526218.0799999982</v>
      </c>
      <c r="BW35" s="692">
        <f>'Analisa RAP IV'!AL41</f>
        <v>15.044876839572311</v>
      </c>
    </row>
    <row r="36" spans="1:75" x14ac:dyDescent="0.35">
      <c r="A36" s="865">
        <v>3</v>
      </c>
      <c r="B36" s="71" t="s">
        <v>614</v>
      </c>
      <c r="C36" s="71"/>
      <c r="D36" s="73"/>
      <c r="E36" s="72"/>
      <c r="F36" s="16"/>
      <c r="G36" s="74"/>
      <c r="H36" s="866"/>
      <c r="I36" s="711"/>
      <c r="J36" s="692"/>
      <c r="K36" s="717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692"/>
      <c r="BN36" s="717"/>
      <c r="BO36" s="897"/>
      <c r="BP36" s="32"/>
      <c r="BQ36" s="32"/>
      <c r="BR36" s="692"/>
      <c r="BS36" s="717"/>
      <c r="BT36" s="897"/>
      <c r="BU36" s="32"/>
      <c r="BV36" s="32"/>
      <c r="BW36" s="692"/>
    </row>
    <row r="37" spans="1:75" x14ac:dyDescent="0.35">
      <c r="A37" s="691"/>
      <c r="B37" s="22" t="s">
        <v>618</v>
      </c>
      <c r="C37" s="22"/>
      <c r="D37" s="23"/>
      <c r="E37" s="21">
        <v>33.6</v>
      </c>
      <c r="F37" s="16" t="s">
        <v>12</v>
      </c>
      <c r="G37" s="47">
        <f>'Analisa '!K102</f>
        <v>1115149.25</v>
      </c>
      <c r="H37" s="692">
        <f>ROUND(E37*$G37,2)</f>
        <v>37469014.799999997</v>
      </c>
      <c r="I37" s="711">
        <f>H37/$H$86*100</f>
        <v>2.7596819560425705</v>
      </c>
      <c r="J37" s="692">
        <f>'Analisa RAP IV'!K64</f>
        <v>3</v>
      </c>
      <c r="K37" s="717">
        <f>'Analisa RAP IV'!O65</f>
        <v>18</v>
      </c>
      <c r="L37" s="32">
        <v>0</v>
      </c>
      <c r="M37" s="32">
        <f>'Analisa RAP IV'!O66</f>
        <v>3</v>
      </c>
      <c r="N37" s="32">
        <v>0</v>
      </c>
      <c r="O37" s="32">
        <v>0</v>
      </c>
      <c r="P37" s="32">
        <v>0</v>
      </c>
      <c r="Q37" s="32">
        <v>0</v>
      </c>
      <c r="R37" s="32">
        <f>'Analisa RAP IV'!O68</f>
        <v>1</v>
      </c>
      <c r="S37" s="32">
        <v>0</v>
      </c>
      <c r="T37" s="32"/>
      <c r="U37" s="32"/>
      <c r="V37" s="32">
        <v>0</v>
      </c>
      <c r="W37" s="32"/>
      <c r="X37" s="32"/>
      <c r="Y37" s="32"/>
      <c r="Z37" s="32">
        <f>'Analisa RAP IV'!O71</f>
        <v>14.5</v>
      </c>
      <c r="AA37" s="32">
        <f>'Analisa RAP IV'!O72</f>
        <v>24.5</v>
      </c>
      <c r="AB37" s="32">
        <v>0</v>
      </c>
      <c r="AC37" s="32">
        <f>'Analisa RAP IV'!O70</f>
        <v>323</v>
      </c>
      <c r="AD37" s="32">
        <f>'Analisa RAP IV'!O73</f>
        <v>7224</v>
      </c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>
        <v>0</v>
      </c>
      <c r="AZ37" s="32"/>
      <c r="BA37" s="32"/>
      <c r="BB37" s="32"/>
      <c r="BC37" s="32"/>
      <c r="BD37" s="32"/>
      <c r="BE37" s="32"/>
      <c r="BF37" s="32"/>
      <c r="BG37" s="32"/>
      <c r="BH37" s="32"/>
      <c r="BI37" s="32">
        <v>0</v>
      </c>
      <c r="BJ37" s="32">
        <f>'Analisa RAP IV'!O52</f>
        <v>2</v>
      </c>
      <c r="BK37" s="32">
        <f>'Analisa RAP IV'!U64</f>
        <v>32897808</v>
      </c>
      <c r="BL37" s="32">
        <f>'Analisa RAP IV'!W64</f>
        <v>4571206.799999997</v>
      </c>
      <c r="BM37" s="692">
        <f>'Analisa RAP IV'!X64</f>
        <v>12.199965289719861</v>
      </c>
      <c r="BN37" s="717">
        <f>'Analisa RAP IV'!Z64</f>
        <v>150000</v>
      </c>
      <c r="BO37" s="897">
        <f t="shared" si="9"/>
        <v>5040000</v>
      </c>
      <c r="BP37" s="32">
        <f>'Analisa RAP IV'!AC64</f>
        <v>32822808</v>
      </c>
      <c r="BQ37" s="32">
        <f>'Analisa RAP IV'!AD64</f>
        <v>4646206.799999997</v>
      </c>
      <c r="BR37" s="692">
        <f>'Analisa RAP IV'!AE64</f>
        <v>12.400130680777862</v>
      </c>
      <c r="BS37" s="717">
        <f>'Analisa RAP IV'!AG64</f>
        <v>950000</v>
      </c>
      <c r="BT37" s="897">
        <f t="shared" si="10"/>
        <v>31920000</v>
      </c>
      <c r="BU37" s="32">
        <f>'Analisa RAP IV'!AJ64</f>
        <v>32370000</v>
      </c>
      <c r="BV37" s="32">
        <f>'Analisa RAP IV'!AK64</f>
        <v>5099014.799999997</v>
      </c>
      <c r="BW37" s="692">
        <f>'Analisa RAP IV'!AL64</f>
        <v>13.608617219367074</v>
      </c>
    </row>
    <row r="38" spans="1:75" x14ac:dyDescent="0.35">
      <c r="A38" s="691"/>
      <c r="B38" s="22" t="s">
        <v>636</v>
      </c>
      <c r="C38" s="22"/>
      <c r="D38" s="23"/>
      <c r="E38" s="21">
        <v>5563.92</v>
      </c>
      <c r="F38" s="16" t="s">
        <v>189</v>
      </c>
      <c r="G38" s="47">
        <f>'Analisa '!K118</f>
        <v>14444.575000000001</v>
      </c>
      <c r="H38" s="692">
        <f>ROUND(E38*$G38,2)</f>
        <v>80368459.730000004</v>
      </c>
      <c r="I38" s="711">
        <f>H38/$H$86*100</f>
        <v>5.9193279923606363</v>
      </c>
      <c r="J38" s="692">
        <f>'Analisa RAP IV'!K155</f>
        <v>4</v>
      </c>
      <c r="K38" s="717">
        <f>'Analisa RAP IV'!O156</f>
        <v>10</v>
      </c>
      <c r="L38" s="32"/>
      <c r="M38" s="32"/>
      <c r="N38" s="32">
        <f>'Analisa RAP IV'!O157</f>
        <v>10</v>
      </c>
      <c r="O38" s="32"/>
      <c r="P38" s="32"/>
      <c r="Q38" s="32"/>
      <c r="R38" s="32">
        <f>'Analisa RAP IV'!O159</f>
        <v>1</v>
      </c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>
        <f>'Analisa RAP IV'!O161</f>
        <v>5843</v>
      </c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>
        <f>'Analisa RAP IV'!O162</f>
        <v>83.5</v>
      </c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>
        <f>'Analisa RAP IV'!U155</f>
        <v>69612750</v>
      </c>
      <c r="BL38" s="32">
        <f>'Analisa RAP IV'!W155</f>
        <v>10755709.730000004</v>
      </c>
      <c r="BM38" s="692">
        <f>'Analisa RAP IV'!X155</f>
        <v>13.382998462498968</v>
      </c>
      <c r="BN38" s="717">
        <f>'Analisa RAP IV'!Z155</f>
        <v>1200</v>
      </c>
      <c r="BO38" s="897">
        <f t="shared" si="9"/>
        <v>6676704</v>
      </c>
      <c r="BP38" s="32">
        <f>'Analisa RAP IV'!AC155</f>
        <v>69489454</v>
      </c>
      <c r="BQ38" s="32">
        <f>'Analisa RAP IV'!AD155</f>
        <v>10879005.730000004</v>
      </c>
      <c r="BR38" s="692">
        <f>'Analisa RAP IV'!AE155</f>
        <v>13.536411879172894</v>
      </c>
      <c r="BS38" s="717">
        <f>'Analisa RAP IV'!AG155</f>
        <v>12000</v>
      </c>
      <c r="BT38" s="897">
        <f t="shared" si="10"/>
        <v>66767040</v>
      </c>
      <c r="BU38" s="32">
        <f>'Analisa RAP IV'!AJ155</f>
        <v>66767040</v>
      </c>
      <c r="BV38" s="32">
        <f>'Analisa RAP IV'!AK155</f>
        <v>13601419.730000004</v>
      </c>
      <c r="BW38" s="692">
        <f>'Analisa RAP IV'!AL155</f>
        <v>16.923827799729317</v>
      </c>
    </row>
    <row r="39" spans="1:75" x14ac:dyDescent="0.35">
      <c r="A39" s="691"/>
      <c r="B39" s="14" t="s">
        <v>445</v>
      </c>
      <c r="C39" s="14"/>
      <c r="D39" s="15"/>
      <c r="E39" s="21">
        <v>146.80000000000001</v>
      </c>
      <c r="F39" s="16" t="s">
        <v>30</v>
      </c>
      <c r="G39" s="47">
        <f>'Analisa '!K131</f>
        <v>155399.5</v>
      </c>
      <c r="H39" s="692">
        <f>ROUND(E39*$G39,2)</f>
        <v>22812646.600000001</v>
      </c>
      <c r="I39" s="711">
        <f>H39/$H$86*100</f>
        <v>1.6802056186328098</v>
      </c>
      <c r="J39" s="692">
        <f>'Analisa RAP IV'!K243</f>
        <v>4</v>
      </c>
      <c r="K39" s="717">
        <f>'Analisa RAP IV'!O244</f>
        <v>20</v>
      </c>
      <c r="L39" s="32">
        <f>'Analisa RAP IV'!O245</f>
        <v>10</v>
      </c>
      <c r="M39" s="32"/>
      <c r="N39" s="32"/>
      <c r="O39" s="32"/>
      <c r="P39" s="32"/>
      <c r="Q39" s="32"/>
      <c r="R39" s="32">
        <f>'Analisa RAP IV'!O247</f>
        <v>1</v>
      </c>
      <c r="S39" s="32">
        <f>'Analisa RAP IV'!O249</f>
        <v>3</v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>
        <f>'Analisa RAP IV'!O251</f>
        <v>15</v>
      </c>
      <c r="AV39" s="32"/>
      <c r="AW39" s="32"/>
      <c r="AX39" s="32"/>
      <c r="AY39" s="32">
        <f>'Analisa RAP IV'!O250</f>
        <v>44</v>
      </c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>
        <f>'Analisa RAP IV'!U243</f>
        <v>19890000</v>
      </c>
      <c r="BL39" s="32">
        <f>'Analisa RAP IV'!W243</f>
        <v>2922646.6000000015</v>
      </c>
      <c r="BM39" s="692">
        <f>'Analisa RAP IV'!X243</f>
        <v>12.811519203563174</v>
      </c>
      <c r="BN39" s="717">
        <f>'Analisa RAP IV'!Z243</f>
        <v>60000</v>
      </c>
      <c r="BO39" s="897">
        <f t="shared" si="9"/>
        <v>8808000</v>
      </c>
      <c r="BP39" s="32">
        <f>'Analisa RAP IV'!AC243</f>
        <v>18898000</v>
      </c>
      <c r="BQ39" s="32">
        <f>'Analisa RAP IV'!AD243</f>
        <v>3914646.6000000015</v>
      </c>
      <c r="BR39" s="692">
        <f>'Analisa RAP IV'!AE243</f>
        <v>17.159984409700193</v>
      </c>
      <c r="BS39" s="717">
        <f>'Analisa RAP IV'!AG243</f>
        <v>130000</v>
      </c>
      <c r="BT39" s="897">
        <f t="shared" si="10"/>
        <v>19084000</v>
      </c>
      <c r="BU39" s="32">
        <f>'Analisa RAP IV'!AJ243</f>
        <v>19084000</v>
      </c>
      <c r="BV39" s="32">
        <f>'Analisa RAP IV'!AK243</f>
        <v>3728646.6000000015</v>
      </c>
      <c r="BW39" s="692">
        <f>'Analisa RAP IV'!AL243</f>
        <v>16.344647183549501</v>
      </c>
    </row>
    <row r="40" spans="1:75" x14ac:dyDescent="0.35">
      <c r="A40" s="865">
        <v>4</v>
      </c>
      <c r="B40" s="17" t="s">
        <v>272</v>
      </c>
      <c r="C40" s="17"/>
      <c r="D40" s="18"/>
      <c r="E40" s="25"/>
      <c r="F40" s="19"/>
      <c r="G40" s="26"/>
      <c r="H40" s="867"/>
      <c r="I40" s="711"/>
      <c r="J40" s="692"/>
      <c r="K40" s="717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692"/>
      <c r="BN40" s="717"/>
      <c r="BO40" s="897"/>
      <c r="BP40" s="32"/>
      <c r="BQ40" s="32"/>
      <c r="BR40" s="692"/>
      <c r="BS40" s="717"/>
      <c r="BT40" s="897"/>
      <c r="BU40" s="32"/>
      <c r="BV40" s="32"/>
      <c r="BW40" s="692"/>
    </row>
    <row r="41" spans="1:75" x14ac:dyDescent="0.35">
      <c r="A41" s="691"/>
      <c r="B41" s="22" t="s">
        <v>618</v>
      </c>
      <c r="C41" s="22"/>
      <c r="D41" s="23"/>
      <c r="E41" s="21">
        <v>13.54</v>
      </c>
      <c r="F41" s="16" t="s">
        <v>12</v>
      </c>
      <c r="G41" s="47">
        <f>G37</f>
        <v>1115149.25</v>
      </c>
      <c r="H41" s="868">
        <f>ROUND(E41*G41,2)</f>
        <v>15099120.85</v>
      </c>
      <c r="I41" s="711">
        <f>H41/$H$86*100</f>
        <v>1.1120861219401788</v>
      </c>
      <c r="J41" s="692">
        <f>'Analisa RAP IV'!K87</f>
        <v>2</v>
      </c>
      <c r="K41" s="717">
        <f>'Analisa RAP IV'!O88</f>
        <v>11</v>
      </c>
      <c r="L41" s="32"/>
      <c r="M41" s="32">
        <f>'Analisa RAP IV'!O89</f>
        <v>2</v>
      </c>
      <c r="N41" s="32"/>
      <c r="O41" s="32"/>
      <c r="P41" s="32"/>
      <c r="Q41" s="32"/>
      <c r="R41" s="32">
        <f>'Analisa RAP IV'!O91</f>
        <v>1</v>
      </c>
      <c r="S41" s="32"/>
      <c r="T41" s="32"/>
      <c r="U41" s="32"/>
      <c r="V41" s="32"/>
      <c r="W41" s="32"/>
      <c r="X41" s="32"/>
      <c r="Y41" s="32"/>
      <c r="Z41" s="32">
        <f>'Analisa RAP IV'!O94</f>
        <v>6</v>
      </c>
      <c r="AA41" s="32">
        <f>'Analisa RAP IV'!O95</f>
        <v>10</v>
      </c>
      <c r="AB41" s="32"/>
      <c r="AC41" s="32">
        <f>'Analisa RAP IV'!O93</f>
        <v>130</v>
      </c>
      <c r="AD41" s="32">
        <f>'Analisa RAP IV'!O96</f>
        <v>2912</v>
      </c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>
        <f>'Analisa RAP IV'!O98</f>
        <v>2</v>
      </c>
      <c r="BK41" s="32">
        <f>'Analisa RAP IV'!U87</f>
        <v>13589504</v>
      </c>
      <c r="BL41" s="32">
        <f>'Analisa RAP IV'!W87</f>
        <v>1509616.8499999996</v>
      </c>
      <c r="BM41" s="692">
        <f>'Analisa RAP IV'!X87</f>
        <v>9.9980446874825812</v>
      </c>
      <c r="BN41" s="717">
        <f>'Analisa RAP IV'!Z87</f>
        <v>150000</v>
      </c>
      <c r="BO41" s="897">
        <f t="shared" si="9"/>
        <v>2030999.9999999998</v>
      </c>
      <c r="BP41" s="32">
        <f>'Analisa RAP IV'!AC87</f>
        <v>13430504</v>
      </c>
      <c r="BQ41" s="32">
        <f>'Analisa RAP IV'!AD87</f>
        <v>1668616.8499999996</v>
      </c>
      <c r="BR41" s="692">
        <f>'Analisa RAP IV'!AE87</f>
        <v>11.051086129958353</v>
      </c>
      <c r="BS41" s="717">
        <f>'Analisa RAP IV'!AG87</f>
        <v>950000</v>
      </c>
      <c r="BT41" s="897">
        <f t="shared" si="10"/>
        <v>12863000</v>
      </c>
      <c r="BU41" s="32">
        <f>'Analisa RAP IV'!AJ87</f>
        <v>13163000</v>
      </c>
      <c r="BV41" s="32">
        <f>'Analisa RAP IV'!AK87</f>
        <v>1936120.8499999996</v>
      </c>
      <c r="BW41" s="692">
        <f>'Analisa RAP IV'!AL87</f>
        <v>12.82273894774476</v>
      </c>
    </row>
    <row r="42" spans="1:75" x14ac:dyDescent="0.35">
      <c r="A42" s="691"/>
      <c r="B42" s="22" t="s">
        <v>636</v>
      </c>
      <c r="C42" s="22"/>
      <c r="D42" s="23"/>
      <c r="E42" s="21">
        <v>1642.79</v>
      </c>
      <c r="F42" s="16" t="s">
        <v>189</v>
      </c>
      <c r="G42" s="47">
        <f>'Analisa '!K118</f>
        <v>14444.575000000001</v>
      </c>
      <c r="H42" s="868">
        <f>ROUND(E42*G42,2)</f>
        <v>23729403.359999999</v>
      </c>
      <c r="I42" s="711">
        <f>H42/$H$86*100</f>
        <v>1.747726931967476</v>
      </c>
      <c r="J42" s="692">
        <f>'Analisa RAP IV'!K177</f>
        <v>2</v>
      </c>
      <c r="K42" s="717">
        <f>'Analisa RAP IV'!O178</f>
        <v>6</v>
      </c>
      <c r="L42" s="32"/>
      <c r="M42" s="32"/>
      <c r="N42" s="32">
        <f>'Analisa RAP IV'!O179</f>
        <v>6</v>
      </c>
      <c r="O42" s="32"/>
      <c r="P42" s="32"/>
      <c r="Q42" s="32"/>
      <c r="R42" s="32">
        <f>'Analisa RAP IV'!O181</f>
        <v>1</v>
      </c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>
        <f>'Analisa RAP IV'!O183</f>
        <v>1725</v>
      </c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>
        <f>'Analisa RAP IV'!O184</f>
        <v>25</v>
      </c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>
        <f>'Analisa RAP IV'!U177</f>
        <v>20670000</v>
      </c>
      <c r="BL42" s="32">
        <f>'Analisa RAP IV'!W177</f>
        <v>3059403.3599999994</v>
      </c>
      <c r="BM42" s="692">
        <f>'Analisa RAP IV'!X177</f>
        <v>12.892879410348559</v>
      </c>
      <c r="BN42" s="717">
        <f>'Analisa RAP IV'!Z177</f>
        <v>1200</v>
      </c>
      <c r="BO42" s="897">
        <f t="shared" si="9"/>
        <v>1971348</v>
      </c>
      <c r="BP42" s="32">
        <f>'Analisa RAP IV'!AC177</f>
        <v>20521348</v>
      </c>
      <c r="BQ42" s="32">
        <f>'Analisa RAP IV'!AD177</f>
        <v>3208055.3599999994</v>
      </c>
      <c r="BR42" s="692">
        <f>'Analisa RAP IV'!AE177</f>
        <v>13.519325839467713</v>
      </c>
      <c r="BS42" s="717">
        <f>'Analisa RAP IV'!AG177</f>
        <v>12000</v>
      </c>
      <c r="BT42" s="897">
        <f t="shared" si="10"/>
        <v>19713480</v>
      </c>
      <c r="BU42" s="32">
        <f>'Analisa RAP IV'!AJ177</f>
        <v>19713480</v>
      </c>
      <c r="BV42" s="32">
        <f>'Analisa RAP IV'!AK177</f>
        <v>4015923.3599999994</v>
      </c>
      <c r="BW42" s="692">
        <f>'Analisa RAP IV'!AL177</f>
        <v>16.923827788984912</v>
      </c>
    </row>
    <row r="43" spans="1:75" x14ac:dyDescent="0.35">
      <c r="A43" s="691"/>
      <c r="B43" s="14" t="s">
        <v>445</v>
      </c>
      <c r="C43" s="14"/>
      <c r="D43" s="15"/>
      <c r="E43" s="21">
        <v>90.29</v>
      </c>
      <c r="F43" s="16" t="s">
        <v>30</v>
      </c>
      <c r="G43" s="47">
        <f>'Analisa '!K145</f>
        <v>165749.5</v>
      </c>
      <c r="H43" s="868">
        <f>ROUND(E43*G43,2)</f>
        <v>14965522.359999999</v>
      </c>
      <c r="I43" s="711">
        <f>H43/$H$86*100</f>
        <v>1.1022462757585938</v>
      </c>
      <c r="J43" s="692">
        <f>'Analisa RAP IV'!K265</f>
        <v>2</v>
      </c>
      <c r="K43" s="717">
        <f>'Analisa RAP IV'!O266</f>
        <v>24</v>
      </c>
      <c r="L43" s="32"/>
      <c r="M43" s="32"/>
      <c r="N43" s="32">
        <f>'Analisa RAP IV'!O267</f>
        <v>12</v>
      </c>
      <c r="O43" s="32"/>
      <c r="P43" s="32"/>
      <c r="Q43" s="32"/>
      <c r="R43" s="32">
        <f>'Analisa RAP IV'!O269</f>
        <v>1</v>
      </c>
      <c r="S43" s="32">
        <f>'Analisa RAP IV'!O271</f>
        <v>2</v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>
        <f>'Analisa RAP IV'!O273</f>
        <v>9</v>
      </c>
      <c r="AV43" s="32"/>
      <c r="AW43" s="32"/>
      <c r="AX43" s="32"/>
      <c r="AY43" s="32">
        <f>'Analisa RAP IV'!O272</f>
        <v>27</v>
      </c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>
        <f>'Analisa RAP IV'!U265</f>
        <v>12506000</v>
      </c>
      <c r="BL43" s="32">
        <f>'Analisa RAP IV'!W265</f>
        <v>2459522.3599999994</v>
      </c>
      <c r="BM43" s="692">
        <f>'Analisa RAP IV'!X265</f>
        <v>16.434590793662078</v>
      </c>
      <c r="BN43" s="717">
        <f>'Analisa RAP IV'!Z265</f>
        <v>60000</v>
      </c>
      <c r="BO43" s="897">
        <f t="shared" si="9"/>
        <v>5417400</v>
      </c>
      <c r="BP43" s="32">
        <f>'Analisa RAP IV'!AC265</f>
        <v>12083400</v>
      </c>
      <c r="BQ43" s="32">
        <f>'Analisa RAP IV'!AD265</f>
        <v>2882122.3599999994</v>
      </c>
      <c r="BR43" s="692">
        <f>'Analisa RAP IV'!AE265</f>
        <v>19.258414712628845</v>
      </c>
      <c r="BS43" s="717">
        <f>'Analisa RAP IV'!AG265</f>
        <v>130000</v>
      </c>
      <c r="BT43" s="897">
        <f t="shared" si="10"/>
        <v>11737700</v>
      </c>
      <c r="BU43" s="32">
        <f>'Analisa RAP IV'!AJ265</f>
        <v>11737700</v>
      </c>
      <c r="BV43" s="32">
        <f>'Analisa RAP IV'!AK265</f>
        <v>3227822.3599999994</v>
      </c>
      <c r="BW43" s="692">
        <f>'Analisa RAP IV'!AL265</f>
        <v>21.568390881078471</v>
      </c>
    </row>
    <row r="44" spans="1:75" x14ac:dyDescent="0.35">
      <c r="A44" s="865">
        <v>5</v>
      </c>
      <c r="B44" s="17" t="s">
        <v>612</v>
      </c>
      <c r="C44" s="17"/>
      <c r="D44" s="18"/>
      <c r="E44" s="28"/>
      <c r="F44" s="27"/>
      <c r="G44" s="30"/>
      <c r="H44" s="869"/>
      <c r="I44" s="711"/>
      <c r="J44" s="692"/>
      <c r="K44" s="717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692"/>
      <c r="BN44" s="717"/>
      <c r="BO44" s="897"/>
      <c r="BP44" s="32"/>
      <c r="BQ44" s="32"/>
      <c r="BR44" s="692"/>
      <c r="BS44" s="717"/>
      <c r="BT44" s="897"/>
      <c r="BU44" s="32"/>
      <c r="BV44" s="32"/>
      <c r="BW44" s="692"/>
    </row>
    <row r="45" spans="1:75" x14ac:dyDescent="0.35">
      <c r="A45" s="691"/>
      <c r="B45" s="22" t="s">
        <v>618</v>
      </c>
      <c r="C45" s="22"/>
      <c r="D45" s="23"/>
      <c r="E45" s="21">
        <v>16.53</v>
      </c>
      <c r="F45" s="16" t="s">
        <v>12</v>
      </c>
      <c r="G45" s="47">
        <f>+G41</f>
        <v>1115149.25</v>
      </c>
      <c r="H45" s="692">
        <f>ROUND(E45*$G45,2)</f>
        <v>18433417.100000001</v>
      </c>
      <c r="I45" s="711">
        <f>H45/$H$86*100</f>
        <v>1.3576649621189552</v>
      </c>
      <c r="J45" s="692">
        <f>'Analisa RAP IV'!K110</f>
        <v>2</v>
      </c>
      <c r="K45" s="717">
        <f>'Analisa RAP IV'!O111</f>
        <v>14</v>
      </c>
      <c r="L45" s="32"/>
      <c r="M45" s="32">
        <f>'Analisa RAP IV'!O112</f>
        <v>3</v>
      </c>
      <c r="N45" s="32"/>
      <c r="O45" s="32"/>
      <c r="P45" s="32"/>
      <c r="Q45" s="32"/>
      <c r="R45" s="32">
        <f>'Analisa RAP IV'!O114</f>
        <v>1</v>
      </c>
      <c r="S45" s="32"/>
      <c r="T45" s="32"/>
      <c r="U45" s="32"/>
      <c r="V45" s="32"/>
      <c r="W45" s="32"/>
      <c r="X45" s="32"/>
      <c r="Y45" s="32"/>
      <c r="Z45" s="32">
        <f>'Analisa RAP IV'!O117</f>
        <v>7.5</v>
      </c>
      <c r="AA45" s="32">
        <f>'Analisa RAP IV'!O118</f>
        <v>12</v>
      </c>
      <c r="AB45" s="32"/>
      <c r="AC45" s="32">
        <f>'Analisa RAP IV'!O116</f>
        <v>159</v>
      </c>
      <c r="AD45" s="32">
        <f>'Analisa RAP IV'!O119</f>
        <v>3554</v>
      </c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>
        <f>'Analisa RAP IV'!O121</f>
        <v>2</v>
      </c>
      <c r="BK45" s="32">
        <f>'Analisa RAP IV'!U110</f>
        <v>16662918</v>
      </c>
      <c r="BL45" s="32">
        <f>'Analisa RAP IV'!W110</f>
        <v>1770499.1000000015</v>
      </c>
      <c r="BM45" s="692">
        <f>'Analisa RAP IV'!X110</f>
        <v>9.6048339295702334</v>
      </c>
      <c r="BN45" s="717">
        <f>'Analisa RAP IV'!Z110</f>
        <v>150000</v>
      </c>
      <c r="BO45" s="897">
        <f t="shared" si="9"/>
        <v>2479500</v>
      </c>
      <c r="BP45" s="32">
        <f>'Analisa RAP IV'!AC110</f>
        <v>16332418</v>
      </c>
      <c r="BQ45" s="32">
        <f>'Analisa RAP IV'!AD110</f>
        <v>2100999.1000000015</v>
      </c>
      <c r="BR45" s="692">
        <f>'Analisa RAP IV'!AE110</f>
        <v>11.397773340679203</v>
      </c>
      <c r="BS45" s="717">
        <f>'Analisa RAP IV'!AG110</f>
        <v>950000</v>
      </c>
      <c r="BT45" s="897">
        <f t="shared" si="10"/>
        <v>15703500.000000002</v>
      </c>
      <c r="BU45" s="32">
        <f>'Analisa RAP IV'!AJ110</f>
        <v>16003500.000000002</v>
      </c>
      <c r="BV45" s="32">
        <f>'Analisa RAP IV'!AK110</f>
        <v>2429917.0999999996</v>
      </c>
      <c r="BW45" s="692">
        <f>'Analisa RAP IV'!AL110</f>
        <v>13.182130512307452</v>
      </c>
    </row>
    <row r="46" spans="1:75" x14ac:dyDescent="0.35">
      <c r="A46" s="691"/>
      <c r="B46" s="22" t="s">
        <v>636</v>
      </c>
      <c r="C46" s="22"/>
      <c r="D46" s="23"/>
      <c r="E46" s="21">
        <v>5244.35</v>
      </c>
      <c r="F46" s="16" t="s">
        <v>189</v>
      </c>
      <c r="G46" s="47">
        <f>G42</f>
        <v>14444.575000000001</v>
      </c>
      <c r="H46" s="692">
        <f>ROUND(E46*$G46,2)</f>
        <v>75752406.900000006</v>
      </c>
      <c r="I46" s="711">
        <f>H46/$H$86*100</f>
        <v>5.5793447349655096</v>
      </c>
      <c r="J46" s="692">
        <f>'Analisa RAP IV'!K199</f>
        <v>4</v>
      </c>
      <c r="K46" s="717">
        <f>'Analisa RAP IV'!O200</f>
        <v>10</v>
      </c>
      <c r="L46" s="32"/>
      <c r="M46" s="32">
        <f>'Analisa RAP IV'!O201</f>
        <v>10</v>
      </c>
      <c r="N46" s="32"/>
      <c r="O46" s="32"/>
      <c r="P46" s="32"/>
      <c r="Q46" s="32"/>
      <c r="R46" s="32">
        <f>'Analisa RAP IV'!O203</f>
        <v>1</v>
      </c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>
        <f>'Analisa RAP IV'!O205</f>
        <v>5507</v>
      </c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>
        <f>'Analisa RAP IV'!O206</f>
        <v>79</v>
      </c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>
        <f>'Analisa RAP IV'!U199</f>
        <v>66006000</v>
      </c>
      <c r="BL46" s="32">
        <f>'Analisa RAP IV'!W199</f>
        <v>9746406.900000006</v>
      </c>
      <c r="BM46" s="692">
        <f>'Analisa RAP IV'!X199</f>
        <v>12.866134950492253</v>
      </c>
      <c r="BN46" s="717">
        <f>'Analisa RAP IV'!Z199</f>
        <v>1200</v>
      </c>
      <c r="BO46" s="897">
        <f t="shared" si="9"/>
        <v>6293220</v>
      </c>
      <c r="BP46" s="32">
        <f>'Analisa RAP IV'!AC199</f>
        <v>65499220</v>
      </c>
      <c r="BQ46" s="32">
        <f>'Analisa RAP IV'!AD199</f>
        <v>10253186.900000006</v>
      </c>
      <c r="BR46" s="692">
        <f>'Analisa RAP IV'!AE199</f>
        <v>13.535130195315293</v>
      </c>
      <c r="BS46" s="717">
        <f>'Analisa RAP IV'!AG199</f>
        <v>12000</v>
      </c>
      <c r="BT46" s="897">
        <f t="shared" si="10"/>
        <v>62932200.000000007</v>
      </c>
      <c r="BU46" s="32">
        <f>'Analisa RAP IV'!AJ199</f>
        <v>62932200.000000007</v>
      </c>
      <c r="BV46" s="32">
        <f>'Analisa RAP IV'!AK199</f>
        <v>12820206.899999999</v>
      </c>
      <c r="BW46" s="692">
        <f>'Analisa RAP IV'!AL199</f>
        <v>16.923827802493228</v>
      </c>
    </row>
    <row r="47" spans="1:75" x14ac:dyDescent="0.35">
      <c r="A47" s="691"/>
      <c r="B47" s="14" t="s">
        <v>445</v>
      </c>
      <c r="C47" s="14"/>
      <c r="D47" s="15"/>
      <c r="E47" s="21">
        <v>165.31200000000001</v>
      </c>
      <c r="F47" s="16" t="s">
        <v>30</v>
      </c>
      <c r="G47" s="47">
        <f>'Analisa '!K159</f>
        <v>399067.25</v>
      </c>
      <c r="H47" s="692">
        <f>ROUND(E47*$G47,2)</f>
        <v>65970605.229999997</v>
      </c>
      <c r="I47" s="711">
        <f>H47/$H$86*100</f>
        <v>4.8588918031129715</v>
      </c>
      <c r="J47" s="692">
        <f>'Analisa RAP IV'!K287</f>
        <v>4</v>
      </c>
      <c r="K47" s="717">
        <f>'Analisa RAP IV'!O288</f>
        <v>28</v>
      </c>
      <c r="L47" s="32">
        <f>'Analisa RAP IV'!O289</f>
        <v>14</v>
      </c>
      <c r="M47" s="32"/>
      <c r="N47" s="32"/>
      <c r="O47" s="32"/>
      <c r="P47" s="32"/>
      <c r="Q47" s="32"/>
      <c r="R47" s="32">
        <f>'Analisa RAP IV'!O291</f>
        <v>1</v>
      </c>
      <c r="S47" s="32">
        <f>'Analisa RAP IV'!O293</f>
        <v>7</v>
      </c>
      <c r="T47" s="32">
        <f>'Analisa RAP IV'!O296</f>
        <v>2.5</v>
      </c>
      <c r="U47" s="32">
        <f>'Analisa RAP IV'!O298</f>
        <v>331</v>
      </c>
      <c r="V47" s="32"/>
      <c r="W47" s="32">
        <f>'Analisa RAP IV'!O297</f>
        <v>58</v>
      </c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>
        <f>'Analisa RAP IV'!O295</f>
        <v>33</v>
      </c>
      <c r="AV47" s="32"/>
      <c r="AW47" s="32"/>
      <c r="AX47" s="32"/>
      <c r="AY47" s="32">
        <f>'Analisa RAP IV'!O294</f>
        <v>67</v>
      </c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>
        <f>'Analisa RAP IV'!U287</f>
        <v>57979500</v>
      </c>
      <c r="BL47" s="32">
        <f>'Analisa RAP IV'!W287</f>
        <v>7991105.2299999967</v>
      </c>
      <c r="BM47" s="692">
        <f>'Analisa RAP IV'!X287</f>
        <v>12.113130085952369</v>
      </c>
      <c r="BN47" s="717">
        <f>'Analisa RAP IV'!Z287</f>
        <v>80000</v>
      </c>
      <c r="BO47" s="897">
        <f t="shared" si="9"/>
        <v>13224960.000000002</v>
      </c>
      <c r="BP47" s="32">
        <f>'Analisa RAP IV'!AC287</f>
        <v>57644460</v>
      </c>
      <c r="BQ47" s="32">
        <f>'Analisa RAP IV'!AD287</f>
        <v>8326145.2299999967</v>
      </c>
      <c r="BR47" s="692">
        <f>'Analisa RAP IV'!AE287</f>
        <v>12.620992639027207</v>
      </c>
      <c r="BS47" s="717">
        <f>'Analisa RAP IV'!AG287</f>
        <v>350000</v>
      </c>
      <c r="BT47" s="897">
        <f t="shared" si="10"/>
        <v>57859200.000000007</v>
      </c>
      <c r="BU47" s="32">
        <f>'Analisa RAP IV'!AJ287</f>
        <v>57859200.000000007</v>
      </c>
      <c r="BV47" s="32">
        <f>'Analisa RAP IV'!AK287</f>
        <v>8111405.2299999893</v>
      </c>
      <c r="BW47" s="692">
        <f>'Analisa RAP IV'!AL287</f>
        <v>12.295484029167804</v>
      </c>
    </row>
    <row r="48" spans="1:75" x14ac:dyDescent="0.35">
      <c r="A48" s="865">
        <v>6</v>
      </c>
      <c r="B48" s="17" t="s">
        <v>615</v>
      </c>
      <c r="C48" s="17"/>
      <c r="D48" s="18"/>
      <c r="E48" s="28"/>
      <c r="F48" s="27"/>
      <c r="G48" s="30"/>
      <c r="H48" s="869"/>
      <c r="I48" s="711"/>
      <c r="J48" s="692"/>
      <c r="K48" s="717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692"/>
      <c r="BN48" s="717"/>
      <c r="BO48" s="897"/>
      <c r="BP48" s="32"/>
      <c r="BQ48" s="32"/>
      <c r="BR48" s="692"/>
      <c r="BS48" s="717"/>
      <c r="BT48" s="897"/>
      <c r="BU48" s="32"/>
      <c r="BV48" s="32"/>
      <c r="BW48" s="692"/>
    </row>
    <row r="49" spans="1:75" x14ac:dyDescent="0.35">
      <c r="A49" s="691"/>
      <c r="B49" s="22" t="s">
        <v>618</v>
      </c>
      <c r="C49" s="22"/>
      <c r="D49" s="23"/>
      <c r="E49" s="21">
        <v>17.913</v>
      </c>
      <c r="F49" s="16" t="s">
        <v>12</v>
      </c>
      <c r="G49" s="47">
        <f>G45</f>
        <v>1115149.25</v>
      </c>
      <c r="H49" s="692">
        <f>ROUND(E49*$G49,2)</f>
        <v>19975668.52</v>
      </c>
      <c r="I49" s="711">
        <f>H49/$H$86*100</f>
        <v>1.4712554431650442</v>
      </c>
      <c r="J49" s="692">
        <f>'Analisa RAP IV'!K133</f>
        <v>2</v>
      </c>
      <c r="K49" s="717">
        <f>'Analisa RAP IV'!O134</f>
        <v>15</v>
      </c>
      <c r="L49" s="32"/>
      <c r="M49" s="32">
        <f>'Analisa RAP IV'!O135</f>
        <v>3</v>
      </c>
      <c r="N49" s="32"/>
      <c r="O49" s="32"/>
      <c r="P49" s="32"/>
      <c r="Q49" s="32"/>
      <c r="R49" s="32">
        <f>'Analisa RAP IV'!O137</f>
        <v>1</v>
      </c>
      <c r="S49" s="32"/>
      <c r="T49" s="32"/>
      <c r="U49" s="32"/>
      <c r="V49" s="32"/>
      <c r="W49" s="32"/>
      <c r="X49" s="32"/>
      <c r="Y49" s="32"/>
      <c r="Z49" s="32">
        <f>'Analisa RAP IV'!O140</f>
        <v>8</v>
      </c>
      <c r="AA49" s="32">
        <f>'Analisa RAP IV'!O141</f>
        <v>13</v>
      </c>
      <c r="AB49" s="32"/>
      <c r="AC49" s="32">
        <f>'Analisa RAP IV'!O139</f>
        <v>172</v>
      </c>
      <c r="AD49" s="32">
        <f>'Analisa RAP IV'!O142</f>
        <v>3852</v>
      </c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>
        <f>'Analisa RAP IV'!O144</f>
        <v>2</v>
      </c>
      <c r="BK49" s="32">
        <f>'Analisa RAP IV'!U133</f>
        <v>17890484</v>
      </c>
      <c r="BL49" s="32">
        <f>'Analisa RAP IV'!W133</f>
        <v>2085184.5199999996</v>
      </c>
      <c r="BM49" s="692">
        <f>'Analisa RAP IV'!X133</f>
        <v>10.438621956067578</v>
      </c>
      <c r="BN49" s="717">
        <f>'Analisa RAP IV'!Z133</f>
        <v>150000</v>
      </c>
      <c r="BO49" s="897">
        <f t="shared" si="9"/>
        <v>2686950</v>
      </c>
      <c r="BP49" s="32">
        <f>'Analisa RAP IV'!AC133</f>
        <v>17617434</v>
      </c>
      <c r="BQ49" s="32">
        <f>'Analisa RAP IV'!AD133</f>
        <v>2358234.5199999996</v>
      </c>
      <c r="BR49" s="692">
        <f>'Analisa RAP IV'!AE133</f>
        <v>11.805534906823732</v>
      </c>
      <c r="BS49" s="717">
        <f>'Analisa RAP IV'!AG133</f>
        <v>950000</v>
      </c>
      <c r="BT49" s="897">
        <f t="shared" si="10"/>
        <v>17017350</v>
      </c>
      <c r="BU49" s="32">
        <f>'Analisa RAP IV'!AJ133</f>
        <v>17317350</v>
      </c>
      <c r="BV49" s="32">
        <f>'Analisa RAP IV'!AK133</f>
        <v>2658318.5199999996</v>
      </c>
      <c r="BW49" s="692">
        <f>'Analisa RAP IV'!AL133</f>
        <v>13.307782502189816</v>
      </c>
    </row>
    <row r="50" spans="1:75" x14ac:dyDescent="0.35">
      <c r="A50" s="691"/>
      <c r="B50" s="22" t="s">
        <v>636</v>
      </c>
      <c r="C50" s="22"/>
      <c r="D50" s="23"/>
      <c r="E50" s="21">
        <v>2498.1799999999998</v>
      </c>
      <c r="F50" s="16" t="s">
        <v>189</v>
      </c>
      <c r="G50" s="47">
        <f>G46</f>
        <v>14444.575000000001</v>
      </c>
      <c r="H50" s="692">
        <f>ROUND(E50*$G50,2)</f>
        <v>36085148.369999997</v>
      </c>
      <c r="I50" s="711">
        <f>H50/$H$86*100</f>
        <v>2.6577569057889394</v>
      </c>
      <c r="J50" s="692">
        <f>'Analisa RAP IV'!K221</f>
        <v>3</v>
      </c>
      <c r="K50" s="717">
        <f>'Analisa RAP IV'!O222</f>
        <v>6</v>
      </c>
      <c r="L50" s="32"/>
      <c r="M50" s="32"/>
      <c r="N50" s="32">
        <f>'Analisa RAP IV'!O223</f>
        <v>6</v>
      </c>
      <c r="O50" s="32"/>
      <c r="P50" s="32"/>
      <c r="Q50" s="32"/>
      <c r="R50" s="32">
        <f>'Analisa RAP IV'!O225</f>
        <v>1</v>
      </c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>
        <f>'Analisa RAP IV'!O227</f>
        <v>2624</v>
      </c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>
        <f>'Analisa RAP IV'!O228</f>
        <v>37.5</v>
      </c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>
        <f>'Analisa RAP IV'!U221</f>
        <v>31388250</v>
      </c>
      <c r="BL50" s="32">
        <f>'Analisa RAP IV'!W221</f>
        <v>4696898.3699999973</v>
      </c>
      <c r="BM50" s="692">
        <f>'Analisa RAP IV'!X221</f>
        <v>13.016153686941312</v>
      </c>
      <c r="BN50" s="717">
        <f>'Analisa RAP IV'!Z221</f>
        <v>1200</v>
      </c>
      <c r="BO50" s="897">
        <f t="shared" si="9"/>
        <v>2997816</v>
      </c>
      <c r="BP50" s="32">
        <f>'Analisa RAP IV'!AC221</f>
        <v>31206066</v>
      </c>
      <c r="BQ50" s="32">
        <f>'Analisa RAP IV'!AD221</f>
        <v>4879082.3699999973</v>
      </c>
      <c r="BR50" s="692">
        <f>'Analisa RAP IV'!AE221</f>
        <v>13.521026212701692</v>
      </c>
      <c r="BS50" s="717">
        <f>'Analisa RAP IV'!AG221</f>
        <v>12000</v>
      </c>
      <c r="BT50" s="897">
        <f t="shared" si="10"/>
        <v>29978159.999999996</v>
      </c>
      <c r="BU50" s="32">
        <f>'Analisa RAP IV'!AJ221</f>
        <v>29978159.999999996</v>
      </c>
      <c r="BV50" s="32">
        <f>'Analisa RAP IV'!AK221</f>
        <v>6106988.370000001</v>
      </c>
      <c r="BW50" s="692">
        <f>'Analisa RAP IV'!AL221</f>
        <v>16.923827795806293</v>
      </c>
    </row>
    <row r="51" spans="1:75" x14ac:dyDescent="0.35">
      <c r="A51" s="691"/>
      <c r="B51" s="14" t="s">
        <v>445</v>
      </c>
      <c r="C51" s="14"/>
      <c r="D51" s="15"/>
      <c r="E51" s="21">
        <v>158.55000000000001</v>
      </c>
      <c r="F51" s="16" t="s">
        <v>30</v>
      </c>
      <c r="G51" s="47">
        <f t="shared" ref="G51" si="11">G47</f>
        <v>399067.25</v>
      </c>
      <c r="H51" s="692">
        <f>ROUND(E51*$G51,2)</f>
        <v>63272112.490000002</v>
      </c>
      <c r="I51" s="711">
        <f>H51/$H$86*100</f>
        <v>4.6601414019390965</v>
      </c>
      <c r="J51" s="692">
        <f>'Analisa RAP IV'!K311</f>
        <v>5</v>
      </c>
      <c r="K51" s="717">
        <f>'Analisa RAP IV'!O312</f>
        <v>21</v>
      </c>
      <c r="L51" s="32">
        <f>'Analisa RAP IV'!O313</f>
        <v>11</v>
      </c>
      <c r="M51" s="32"/>
      <c r="N51" s="32"/>
      <c r="O51" s="32"/>
      <c r="P51" s="32"/>
      <c r="Q51" s="32"/>
      <c r="R51" s="32">
        <f>'Analisa RAP IV'!O315</f>
        <v>1</v>
      </c>
      <c r="S51" s="32">
        <f>'Analisa RAP IV'!O317</f>
        <v>6.5</v>
      </c>
      <c r="T51" s="32">
        <f>'Analisa RAP IV'!O320</f>
        <v>3</v>
      </c>
      <c r="U51" s="32">
        <f>'Analisa RAP IV'!O322</f>
        <v>317</v>
      </c>
      <c r="V51" s="32"/>
      <c r="W51" s="32">
        <f>'Analisa RAP IV'!O321</f>
        <v>56</v>
      </c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>
        <f>'Analisa RAP IV'!O319</f>
        <v>32</v>
      </c>
      <c r="AV51" s="32"/>
      <c r="AW51" s="32"/>
      <c r="AX51" s="32"/>
      <c r="AY51" s="32">
        <f>'Analisa RAP IV'!O318</f>
        <v>63.5</v>
      </c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>
        <f>'Analisa RAP IV'!U311</f>
        <v>56840500</v>
      </c>
      <c r="BL51" s="32">
        <f>'Analisa RAP IV'!W311</f>
        <v>6431612.4900000021</v>
      </c>
      <c r="BM51" s="692">
        <f>'Analisa RAP IV'!X311</f>
        <v>10.165003564590169</v>
      </c>
      <c r="BN51" s="717">
        <f>'Analisa RAP IV'!Z311</f>
        <v>80000</v>
      </c>
      <c r="BO51" s="897">
        <f t="shared" si="9"/>
        <v>12684000</v>
      </c>
      <c r="BP51" s="32">
        <f>'Analisa RAP IV'!AC311</f>
        <v>56474500</v>
      </c>
      <c r="BQ51" s="32">
        <f>'Analisa RAP IV'!AD311</f>
        <v>6797612.4900000021</v>
      </c>
      <c r="BR51" s="692">
        <f>'Analisa RAP IV'!AE311</f>
        <v>10.74345746093802</v>
      </c>
      <c r="BS51" s="717">
        <f>'Analisa RAP IV'!AG311</f>
        <v>350000</v>
      </c>
      <c r="BT51" s="897">
        <f t="shared" si="10"/>
        <v>55492500.000000007</v>
      </c>
      <c r="BU51" s="32">
        <f>'Analisa RAP IV'!AJ311</f>
        <v>55492500.000000007</v>
      </c>
      <c r="BV51" s="32">
        <f>'Analisa RAP IV'!AK311</f>
        <v>7779612.4899999946</v>
      </c>
      <c r="BW51" s="692">
        <f>'Analisa RAP IV'!AL311</f>
        <v>12.295484035292077</v>
      </c>
    </row>
    <row r="52" spans="1:75" x14ac:dyDescent="0.35">
      <c r="A52" s="865">
        <v>7</v>
      </c>
      <c r="B52" s="17" t="s">
        <v>187</v>
      </c>
      <c r="C52" s="24"/>
      <c r="D52" s="20"/>
      <c r="E52" s="77">
        <v>72.8</v>
      </c>
      <c r="F52" s="16" t="s">
        <v>31</v>
      </c>
      <c r="G52" s="79">
        <f>'Analisa '!K193</f>
        <v>78596.75</v>
      </c>
      <c r="H52" s="692">
        <f>ROUND(E52*$G52,2)</f>
        <v>5721843.4000000004</v>
      </c>
      <c r="I52" s="711">
        <f>H52/$H$86*100</f>
        <v>0.42142735992837671</v>
      </c>
      <c r="J52" s="692">
        <f>'Analisa RAP IV'!K335</f>
        <v>3</v>
      </c>
      <c r="K52" s="717">
        <f>'Analisa RAP IV'!O336</f>
        <v>4</v>
      </c>
      <c r="L52" s="32">
        <f>'Analisa RAP IV'!O338</f>
        <v>1</v>
      </c>
      <c r="M52" s="32">
        <f>'Analisa RAP IV'!O337</f>
        <v>1</v>
      </c>
      <c r="N52" s="32">
        <f>'Analisa RAP IV'!O339</f>
        <v>1</v>
      </c>
      <c r="O52" s="32"/>
      <c r="P52" s="32"/>
      <c r="Q52" s="32"/>
      <c r="R52" s="32">
        <f>'Analisa RAP IV'!O341</f>
        <v>1</v>
      </c>
      <c r="S52" s="32"/>
      <c r="T52" s="32"/>
      <c r="U52" s="32"/>
      <c r="V52" s="32"/>
      <c r="W52" s="32"/>
      <c r="X52" s="32"/>
      <c r="Y52" s="32"/>
      <c r="Z52" s="32">
        <f>'Analisa RAP IV'!O348</f>
        <v>0.5</v>
      </c>
      <c r="AA52" s="32">
        <f>'Analisa RAP IV'!O349</f>
        <v>0.5</v>
      </c>
      <c r="AB52" s="32"/>
      <c r="AC52" s="32">
        <f>'Analisa RAP IV'!O347</f>
        <v>7</v>
      </c>
      <c r="AD52" s="32"/>
      <c r="AE52" s="32">
        <f>'Analisa RAP IV'!O345</f>
        <v>219</v>
      </c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>
        <f>'Analisa RAP IV'!O346</f>
        <v>3</v>
      </c>
      <c r="AR52" s="32"/>
      <c r="AS52" s="32"/>
      <c r="AT52" s="32"/>
      <c r="AU52" s="32"/>
      <c r="AV52" s="32"/>
      <c r="AW52" s="32"/>
      <c r="AX52" s="32"/>
      <c r="AY52" s="32">
        <f>'Analisa RAP IV'!O344</f>
        <v>0.5</v>
      </c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>
        <f>'Analisa RAP IV'!U335</f>
        <v>4967000</v>
      </c>
      <c r="BL52" s="32">
        <f>'Analisa RAP IV'!W335</f>
        <v>754843.40000000037</v>
      </c>
      <c r="BM52" s="692">
        <f>'Analisa RAP IV'!X335</f>
        <v>13.192311414884236</v>
      </c>
      <c r="BN52" s="717">
        <f>'Analisa RAP IV'!Z335</f>
        <v>25000</v>
      </c>
      <c r="BO52" s="897">
        <f t="shared" si="9"/>
        <v>1820000</v>
      </c>
      <c r="BP52" s="32">
        <f>'Analisa RAP IV'!AC335</f>
        <v>4822000</v>
      </c>
      <c r="BQ52" s="32">
        <f>'Analisa RAP IV'!AD335</f>
        <v>899843.40000000037</v>
      </c>
      <c r="BR52" s="692">
        <f>'Analisa RAP IV'!AE335</f>
        <v>15.726459762949826</v>
      </c>
      <c r="BS52" s="717">
        <f>'Analisa RAP IV'!AG335</f>
        <v>65000</v>
      </c>
      <c r="BT52" s="897">
        <f t="shared" si="10"/>
        <v>4732000</v>
      </c>
      <c r="BU52" s="32">
        <f>'Analisa RAP IV'!AJ335</f>
        <v>4732000</v>
      </c>
      <c r="BV52" s="32">
        <f>'Analisa RAP IV'!AK335</f>
        <v>989843.40000000037</v>
      </c>
      <c r="BW52" s="692">
        <f>'Analisa RAP IV'!AL335</f>
        <v>17.299379427266402</v>
      </c>
    </row>
    <row r="53" spans="1:75" ht="16" thickBot="1" x14ac:dyDescent="0.4">
      <c r="A53" s="870">
        <v>8</v>
      </c>
      <c r="B53" s="80" t="s">
        <v>188</v>
      </c>
      <c r="C53" s="81"/>
      <c r="D53" s="31"/>
      <c r="E53" s="82">
        <v>64.84</v>
      </c>
      <c r="F53" s="48" t="s">
        <v>31</v>
      </c>
      <c r="G53" s="83">
        <f>'Analisa '!K213</f>
        <v>110253.375</v>
      </c>
      <c r="H53" s="864">
        <f>ROUND(E53*$G53,2)</f>
        <v>7148828.8399999999</v>
      </c>
      <c r="I53" s="873">
        <f>H53/$H$86*100</f>
        <v>0.5265282277073573</v>
      </c>
      <c r="J53" s="864">
        <f>'Analisa RAP IV'!K362</f>
        <v>3</v>
      </c>
      <c r="K53" s="874">
        <f>'Analisa RAP IV'!O363</f>
        <v>6</v>
      </c>
      <c r="L53" s="51">
        <f>'Analisa RAP IV'!O365</f>
        <v>1</v>
      </c>
      <c r="M53" s="51">
        <f>'Analisa RAP IV'!O364</f>
        <v>1</v>
      </c>
      <c r="N53" s="51">
        <f>'Analisa RAP IV'!O366</f>
        <v>1</v>
      </c>
      <c r="O53" s="51"/>
      <c r="P53" s="51"/>
      <c r="Q53" s="51"/>
      <c r="R53" s="51">
        <f>'Analisa RAP IV'!O368</f>
        <v>1</v>
      </c>
      <c r="S53" s="51"/>
      <c r="T53" s="51"/>
      <c r="U53" s="51"/>
      <c r="V53" s="51"/>
      <c r="W53" s="51"/>
      <c r="X53" s="51"/>
      <c r="Y53" s="51"/>
      <c r="Z53" s="51">
        <f>'Analisa RAP IV'!O375</f>
        <v>0.5</v>
      </c>
      <c r="AA53" s="51">
        <f>'Analisa RAP IV'!O376</f>
        <v>1</v>
      </c>
      <c r="AB53" s="51"/>
      <c r="AC53" s="51">
        <f>'Analisa RAP IV'!O374</f>
        <v>9</v>
      </c>
      <c r="AD53" s="51"/>
      <c r="AE53" s="51">
        <f>'Analisa RAP IV'!O372</f>
        <v>234</v>
      </c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>
        <f>'Analisa RAP IV'!O373</f>
        <v>3.5</v>
      </c>
      <c r="AR53" s="51"/>
      <c r="AS53" s="51"/>
      <c r="AT53" s="51"/>
      <c r="AU53" s="51"/>
      <c r="AV53" s="51"/>
      <c r="AW53" s="51"/>
      <c r="AX53" s="51"/>
      <c r="AY53" s="51">
        <f>'Analisa RAP IV'!O371</f>
        <v>1.5</v>
      </c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>
        <f>'Analisa RAP IV'!U362</f>
        <v>5855750</v>
      </c>
      <c r="BL53" s="51">
        <f>'Analisa RAP IV'!W362</f>
        <v>1293078.8399999999</v>
      </c>
      <c r="BM53" s="864">
        <f>'Analisa RAP IV'!X362</f>
        <v>18.087981527335039</v>
      </c>
      <c r="BN53" s="874">
        <f>'Analisa RAP IV'!Z362</f>
        <v>25000</v>
      </c>
      <c r="BO53" s="1007">
        <f>E53*BN53</f>
        <v>1621000</v>
      </c>
      <c r="BP53" s="51">
        <f>'Analisa RAP IV'!AC362</f>
        <v>5061750</v>
      </c>
      <c r="BQ53" s="51">
        <f>'Analisa RAP IV'!AD362</f>
        <v>2087078.8399999999</v>
      </c>
      <c r="BR53" s="864">
        <f>'Analisa RAP IV'!AE362</f>
        <v>29.194695896509948</v>
      </c>
      <c r="BS53" s="874">
        <f>'Analisa RAP IV'!AG362</f>
        <v>65000</v>
      </c>
      <c r="BT53" s="897">
        <f t="shared" si="10"/>
        <v>4214600</v>
      </c>
      <c r="BU53" s="51">
        <f>'Analisa RAP IV'!AJ362</f>
        <v>4214600</v>
      </c>
      <c r="BV53" s="51">
        <f>'Analisa RAP IV'!AK362</f>
        <v>2934228.84</v>
      </c>
      <c r="BW53" s="864">
        <f>'Analisa RAP IV'!AL362</f>
        <v>41.044888689767539</v>
      </c>
    </row>
    <row r="54" spans="1:75" ht="16" thickBot="1" x14ac:dyDescent="0.4">
      <c r="A54" s="1136" t="s">
        <v>295</v>
      </c>
      <c r="B54" s="1137"/>
      <c r="C54" s="1137"/>
      <c r="D54" s="1137"/>
      <c r="E54" s="1137"/>
      <c r="F54" s="1137"/>
      <c r="G54" s="1138"/>
      <c r="H54" s="772">
        <f>SUM(H34:H53)</f>
        <v>507382909.42999995</v>
      </c>
      <c r="I54" s="774">
        <f>SUM(I34:I53)</f>
        <v>37.369956681069532</v>
      </c>
      <c r="J54" s="772">
        <v>0</v>
      </c>
      <c r="K54" s="778">
        <f t="shared" ref="K54:S54" si="12">SUM(K34:K53)</f>
        <v>208</v>
      </c>
      <c r="L54" s="771">
        <f t="shared" si="12"/>
        <v>37</v>
      </c>
      <c r="M54" s="771">
        <f t="shared" si="12"/>
        <v>26</v>
      </c>
      <c r="N54" s="771">
        <f t="shared" si="12"/>
        <v>36</v>
      </c>
      <c r="O54" s="771">
        <f t="shared" si="12"/>
        <v>0</v>
      </c>
      <c r="P54" s="771">
        <f t="shared" si="12"/>
        <v>0</v>
      </c>
      <c r="Q54" s="771">
        <f t="shared" si="12"/>
        <v>0</v>
      </c>
      <c r="R54" s="771">
        <f t="shared" si="12"/>
        <v>16</v>
      </c>
      <c r="S54" s="771">
        <f t="shared" si="12"/>
        <v>18.5</v>
      </c>
      <c r="T54" s="771"/>
      <c r="U54" s="771">
        <f t="shared" ref="U54:BH54" si="13">SUM(U34:U53)</f>
        <v>648</v>
      </c>
      <c r="V54" s="771">
        <f t="shared" si="13"/>
        <v>0</v>
      </c>
      <c r="W54" s="771">
        <f t="shared" si="13"/>
        <v>114</v>
      </c>
      <c r="X54" s="771">
        <f t="shared" si="13"/>
        <v>0</v>
      </c>
      <c r="Y54" s="771">
        <f t="shared" si="13"/>
        <v>0</v>
      </c>
      <c r="Z54" s="771">
        <f t="shared" si="13"/>
        <v>50</v>
      </c>
      <c r="AA54" s="771">
        <f t="shared" si="13"/>
        <v>77</v>
      </c>
      <c r="AB54" s="771">
        <f t="shared" si="13"/>
        <v>0</v>
      </c>
      <c r="AC54" s="771">
        <f t="shared" si="13"/>
        <v>931</v>
      </c>
      <c r="AD54" s="771">
        <f t="shared" si="13"/>
        <v>22106</v>
      </c>
      <c r="AE54" s="771">
        <f t="shared" si="13"/>
        <v>16152</v>
      </c>
      <c r="AF54" s="771">
        <f t="shared" si="13"/>
        <v>0</v>
      </c>
      <c r="AG54" s="771">
        <f t="shared" si="13"/>
        <v>0</v>
      </c>
      <c r="AH54" s="771">
        <f t="shared" si="13"/>
        <v>0</v>
      </c>
      <c r="AI54" s="771">
        <f t="shared" si="13"/>
        <v>0</v>
      </c>
      <c r="AJ54" s="771">
        <f t="shared" si="13"/>
        <v>0</v>
      </c>
      <c r="AK54" s="771">
        <f t="shared" si="13"/>
        <v>0</v>
      </c>
      <c r="AL54" s="771">
        <f t="shared" si="13"/>
        <v>0</v>
      </c>
      <c r="AM54" s="771">
        <f t="shared" si="13"/>
        <v>0</v>
      </c>
      <c r="AN54" s="771">
        <f t="shared" si="13"/>
        <v>0</v>
      </c>
      <c r="AO54" s="771">
        <f t="shared" si="13"/>
        <v>0</v>
      </c>
      <c r="AP54" s="771">
        <f t="shared" si="13"/>
        <v>0</v>
      </c>
      <c r="AQ54" s="771">
        <f t="shared" si="13"/>
        <v>231.5</v>
      </c>
      <c r="AR54" s="771">
        <f t="shared" si="13"/>
        <v>0</v>
      </c>
      <c r="AS54" s="771">
        <f t="shared" si="13"/>
        <v>0</v>
      </c>
      <c r="AT54" s="771">
        <f t="shared" si="13"/>
        <v>0</v>
      </c>
      <c r="AU54" s="771">
        <f t="shared" si="13"/>
        <v>89</v>
      </c>
      <c r="AV54" s="771">
        <f t="shared" si="13"/>
        <v>0</v>
      </c>
      <c r="AW54" s="771">
        <f t="shared" si="13"/>
        <v>0</v>
      </c>
      <c r="AX54" s="771">
        <f t="shared" si="13"/>
        <v>0</v>
      </c>
      <c r="AY54" s="771">
        <f t="shared" si="13"/>
        <v>203.5</v>
      </c>
      <c r="AZ54" s="771">
        <f t="shared" si="13"/>
        <v>0</v>
      </c>
      <c r="BA54" s="771">
        <f t="shared" si="13"/>
        <v>0</v>
      </c>
      <c r="BB54" s="771">
        <f t="shared" si="13"/>
        <v>0</v>
      </c>
      <c r="BC54" s="771">
        <f t="shared" si="13"/>
        <v>0</v>
      </c>
      <c r="BD54" s="771">
        <f t="shared" si="13"/>
        <v>0</v>
      </c>
      <c r="BE54" s="771">
        <f t="shared" si="13"/>
        <v>0</v>
      </c>
      <c r="BF54" s="771">
        <f t="shared" si="13"/>
        <v>0</v>
      </c>
      <c r="BG54" s="771">
        <f t="shared" si="13"/>
        <v>0</v>
      </c>
      <c r="BH54" s="771">
        <f t="shared" si="13"/>
        <v>0</v>
      </c>
      <c r="BI54" s="771">
        <f>SUM(BI34:BI53)</f>
        <v>0</v>
      </c>
      <c r="BJ54" s="771">
        <f>SUM(BJ34:BJ53)</f>
        <v>11</v>
      </c>
      <c r="BK54" s="771">
        <f>SUM(BK34:BK53)</f>
        <v>445204052</v>
      </c>
      <c r="BL54" s="771">
        <f>SUM(BL34:BL53)</f>
        <v>62178857.429999992</v>
      </c>
      <c r="BM54" s="772">
        <f>BL54/H54*100</f>
        <v>12.254819047778426</v>
      </c>
      <c r="BN54" s="778">
        <v>0</v>
      </c>
      <c r="BO54" s="1005">
        <f>SUM(BO34:BO53)</f>
        <v>76138898</v>
      </c>
      <c r="BP54" s="771">
        <f>SUM(BP34:BP53)</f>
        <v>440137950</v>
      </c>
      <c r="BQ54" s="771">
        <f>SUM(BQ34:BQ53)</f>
        <v>67244959.429999992</v>
      </c>
      <c r="BR54" s="772">
        <f>BQ54/H54*100</f>
        <v>13.253296116249519</v>
      </c>
      <c r="BS54" s="778">
        <v>0</v>
      </c>
      <c r="BT54" s="1005">
        <f>SUM(BT34:BT53)</f>
        <v>427339730</v>
      </c>
      <c r="BU54" s="771">
        <f>SUM(BU34:BU53)</f>
        <v>429139730</v>
      </c>
      <c r="BV54" s="771">
        <f>SUM(BV34:BV53)</f>
        <v>78243179.429999992</v>
      </c>
      <c r="BW54" s="772">
        <f>BV54/H54*100</f>
        <v>15.420933180011781</v>
      </c>
    </row>
    <row r="55" spans="1:75" x14ac:dyDescent="0.35">
      <c r="A55" s="802" t="s">
        <v>35</v>
      </c>
      <c r="B55" s="803" t="s">
        <v>447</v>
      </c>
      <c r="C55" s="804"/>
      <c r="D55" s="805"/>
      <c r="E55" s="898"/>
      <c r="F55" s="861"/>
      <c r="G55" s="899"/>
      <c r="H55" s="900"/>
      <c r="I55" s="901"/>
      <c r="J55" s="900"/>
      <c r="K55" s="901"/>
      <c r="L55" s="902"/>
      <c r="M55" s="902"/>
      <c r="N55" s="902"/>
      <c r="O55" s="902"/>
      <c r="P55" s="902"/>
      <c r="Q55" s="902"/>
      <c r="R55" s="902"/>
      <c r="S55" s="902"/>
      <c r="T55" s="902"/>
      <c r="U55" s="902"/>
      <c r="V55" s="902"/>
      <c r="W55" s="902"/>
      <c r="X55" s="902"/>
      <c r="Y55" s="902"/>
      <c r="Z55" s="902"/>
      <c r="AA55" s="902"/>
      <c r="AB55" s="902"/>
      <c r="AC55" s="902"/>
      <c r="AD55" s="902"/>
      <c r="AE55" s="902"/>
      <c r="AF55" s="902"/>
      <c r="AG55" s="902"/>
      <c r="AH55" s="902"/>
      <c r="AI55" s="902"/>
      <c r="AJ55" s="902"/>
      <c r="AK55" s="902"/>
      <c r="AL55" s="902"/>
      <c r="AM55" s="902"/>
      <c r="AN55" s="902"/>
      <c r="AO55" s="902"/>
      <c r="AP55" s="902"/>
      <c r="AQ55" s="902"/>
      <c r="AR55" s="902"/>
      <c r="AS55" s="902"/>
      <c r="AT55" s="902"/>
      <c r="AU55" s="902"/>
      <c r="AV55" s="902"/>
      <c r="AW55" s="902"/>
      <c r="AX55" s="902"/>
      <c r="AY55" s="902"/>
      <c r="AZ55" s="902"/>
      <c r="BA55" s="902"/>
      <c r="BB55" s="902"/>
      <c r="BC55" s="902"/>
      <c r="BD55" s="902"/>
      <c r="BE55" s="902"/>
      <c r="BF55" s="902"/>
      <c r="BG55" s="902"/>
      <c r="BH55" s="902"/>
      <c r="BI55" s="902"/>
      <c r="BJ55" s="902"/>
      <c r="BK55" s="902"/>
      <c r="BL55" s="902"/>
      <c r="BM55" s="900"/>
      <c r="BN55" s="901"/>
      <c r="BO55" s="999"/>
      <c r="BP55" s="902"/>
      <c r="BQ55" s="902"/>
      <c r="BR55" s="900"/>
      <c r="BS55" s="901"/>
      <c r="BT55" s="999"/>
      <c r="BU55" s="902"/>
      <c r="BV55" s="902"/>
      <c r="BW55" s="900"/>
    </row>
    <row r="56" spans="1:75" x14ac:dyDescent="0.35">
      <c r="A56" s="691">
        <v>1</v>
      </c>
      <c r="B56" s="37" t="s">
        <v>440</v>
      </c>
      <c r="C56" s="14"/>
      <c r="D56" s="15"/>
      <c r="E56" s="42">
        <v>290.97480000000002</v>
      </c>
      <c r="F56" s="16" t="s">
        <v>30</v>
      </c>
      <c r="G56" s="47">
        <f>'Analisa '!K233</f>
        <v>130539.375</v>
      </c>
      <c r="H56" s="868">
        <f>ROUND(E56*G56,2)</f>
        <v>37983668.530000001</v>
      </c>
      <c r="I56" s="711">
        <f>H56/$H$86*100</f>
        <v>2.7975874259320808</v>
      </c>
      <c r="J56" s="692">
        <f>'Analisa RAP V'!K19</f>
        <v>4</v>
      </c>
      <c r="K56" s="717">
        <f>'Analisa RAP V'!O20</f>
        <v>21</v>
      </c>
      <c r="L56" s="32"/>
      <c r="M56" s="32">
        <f>'Analisa RAP V'!O21</f>
        <v>7</v>
      </c>
      <c r="N56" s="32"/>
      <c r="O56" s="32"/>
      <c r="P56" s="32"/>
      <c r="Q56" s="32"/>
      <c r="R56" s="32">
        <f>'Analisa RAP V'!O23</f>
        <v>1</v>
      </c>
      <c r="S56" s="32"/>
      <c r="T56" s="32"/>
      <c r="U56" s="32"/>
      <c r="V56" s="32"/>
      <c r="W56" s="32"/>
      <c r="X56" s="32"/>
      <c r="Y56" s="32">
        <f>'Analisa RAP V'!O25</f>
        <v>20369</v>
      </c>
      <c r="Z56" s="32">
        <f>'Analisa RAP V'!O27</f>
        <v>12.5</v>
      </c>
      <c r="AA56" s="32"/>
      <c r="AB56" s="32"/>
      <c r="AC56" s="32">
        <f>'Analisa RAP V'!O26</f>
        <v>84</v>
      </c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>
        <f>'Analisa RAP V'!U19</f>
        <v>32199250</v>
      </c>
      <c r="BL56" s="32">
        <f>'Analisa RAP V'!W19</f>
        <v>5784418.5300000012</v>
      </c>
      <c r="BM56" s="692">
        <f>'Analisa RAP V'!X19</f>
        <v>15.228698948421455</v>
      </c>
      <c r="BN56" s="717">
        <f>'Analisa RAP V'!Z19</f>
        <v>30000</v>
      </c>
      <c r="BO56" s="897">
        <f>E56*BN56</f>
        <v>8729244</v>
      </c>
      <c r="BP56" s="32">
        <f>'Analisa RAP V'!AC19</f>
        <v>31848494</v>
      </c>
      <c r="BQ56" s="32">
        <f>'Analisa RAP V'!AD19</f>
        <v>6135174.5300000012</v>
      </c>
      <c r="BR56" s="692">
        <f>'Analisa RAP V'!AE19</f>
        <v>16.152137925156858</v>
      </c>
      <c r="BS56" s="717">
        <f>'Analisa RAP V'!AG19</f>
        <v>110000</v>
      </c>
      <c r="BT56" s="897">
        <f>E56*BS56</f>
        <v>32007228</v>
      </c>
      <c r="BU56" s="32">
        <f>'Analisa RAP V'!AJ19</f>
        <v>32007228</v>
      </c>
      <c r="BV56" s="32">
        <f>'Analisa RAP V'!AK19</f>
        <v>5976440.5300000012</v>
      </c>
      <c r="BW56" s="692">
        <f>'Analisa RAP V'!AL19</f>
        <v>15.734237269050855</v>
      </c>
    </row>
    <row r="57" spans="1:75" x14ac:dyDescent="0.35">
      <c r="A57" s="691">
        <v>2</v>
      </c>
      <c r="B57" s="37" t="s">
        <v>282</v>
      </c>
      <c r="C57" s="14"/>
      <c r="D57" s="15"/>
      <c r="E57" s="42">
        <v>631.7016000000001</v>
      </c>
      <c r="F57" s="16" t="s">
        <v>30</v>
      </c>
      <c r="G57" s="47">
        <f>'Analisa '!K248</f>
        <v>61979.25</v>
      </c>
      <c r="H57" s="868">
        <f>ROUND(E57*G57,2)</f>
        <v>39152391.390000001</v>
      </c>
      <c r="I57" s="711">
        <f>H57/$H$86*100</f>
        <v>2.8836666411335563</v>
      </c>
      <c r="J57" s="692">
        <f>'Analisa RAP V'!K42</f>
        <v>8</v>
      </c>
      <c r="K57" s="717">
        <f>'Analisa RAP V'!O43</f>
        <v>24</v>
      </c>
      <c r="L57" s="32"/>
      <c r="M57" s="32">
        <f>'Analisa RAP V'!O44</f>
        <v>12</v>
      </c>
      <c r="N57" s="32"/>
      <c r="O57" s="32"/>
      <c r="P57" s="32"/>
      <c r="Q57" s="32"/>
      <c r="R57" s="32">
        <f>'Analisa RAP V'!O46</f>
        <v>1</v>
      </c>
      <c r="S57" s="32"/>
      <c r="T57" s="32"/>
      <c r="U57" s="32"/>
      <c r="V57" s="32"/>
      <c r="W57" s="32"/>
      <c r="X57" s="32"/>
      <c r="Y57" s="32"/>
      <c r="Z57" s="32">
        <f>'Analisa RAP V'!O49</f>
        <v>15.5</v>
      </c>
      <c r="AA57" s="32"/>
      <c r="AB57" s="32"/>
      <c r="AC57" s="32">
        <f>'Analisa RAP V'!O48</f>
        <v>96</v>
      </c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>
        <f>'Analisa RAP V'!U42</f>
        <v>32717500</v>
      </c>
      <c r="BL57" s="32">
        <f>'Analisa RAP V'!W42</f>
        <v>6434891.3900000006</v>
      </c>
      <c r="BM57" s="692">
        <f>'Analisa RAP V'!X42</f>
        <v>16.43550026332121</v>
      </c>
      <c r="BN57" s="717">
        <f>'Analisa RAP V'!Z42</f>
        <v>35000</v>
      </c>
      <c r="BO57" s="897">
        <f t="shared" ref="BO57:BO58" si="14">E57*BN57</f>
        <v>22109556.000000004</v>
      </c>
      <c r="BP57" s="32">
        <f>'Analisa RAP V'!AC42</f>
        <v>31467056.000000004</v>
      </c>
      <c r="BQ57" s="32">
        <f>'Analisa RAP V'!AD42</f>
        <v>7685335.3899999969</v>
      </c>
      <c r="BR57" s="692">
        <f>'Analisa RAP V'!AE42</f>
        <v>19.629287298049757</v>
      </c>
      <c r="BS57" s="717">
        <f>'Analisa RAP V'!AG42</f>
        <v>50000</v>
      </c>
      <c r="BT57" s="897">
        <f t="shared" ref="BT57:BT58" si="15">E57*BS57</f>
        <v>31585080.000000004</v>
      </c>
      <c r="BU57" s="32">
        <f>'Analisa RAP V'!AJ42</f>
        <v>31585080.000000004</v>
      </c>
      <c r="BV57" s="32">
        <f>'Analisa RAP V'!AK42</f>
        <v>7567311.3899999969</v>
      </c>
      <c r="BW57" s="692">
        <f>'Analisa RAP V'!AL42</f>
        <v>19.327839555498468</v>
      </c>
    </row>
    <row r="58" spans="1:75" ht="16" thickBot="1" x14ac:dyDescent="0.4">
      <c r="A58" s="825">
        <v>3</v>
      </c>
      <c r="B58" s="903" t="s">
        <v>446</v>
      </c>
      <c r="C58" s="904"/>
      <c r="D58" s="905"/>
      <c r="E58" s="60">
        <v>631.7016000000001</v>
      </c>
      <c r="F58" s="48" t="s">
        <v>30</v>
      </c>
      <c r="G58" s="50">
        <f>'Analisa '!K261</f>
        <v>34162.1875</v>
      </c>
      <c r="H58" s="906">
        <f t="shared" ref="H58" si="16">ROUND(E58*G58,2)</f>
        <v>21580308.5</v>
      </c>
      <c r="I58" s="873">
        <f>H58/$H$86*100</f>
        <v>1.5894409898731074</v>
      </c>
      <c r="J58" s="864">
        <f>'Analisa RAP V'!K65</f>
        <v>6</v>
      </c>
      <c r="K58" s="874">
        <f>'Analisa RAP V'!O66</f>
        <v>22</v>
      </c>
      <c r="L58" s="51"/>
      <c r="M58" s="51">
        <f>'Analisa RAP V'!O67</f>
        <v>11</v>
      </c>
      <c r="N58" s="51"/>
      <c r="O58" s="51"/>
      <c r="P58" s="51"/>
      <c r="Q58" s="51"/>
      <c r="R58" s="51">
        <f>'Analisa RAP V'!O69</f>
        <v>1</v>
      </c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>
        <f>'Analisa RAP V'!O71</f>
        <v>52</v>
      </c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>
        <f>'Analisa RAP V'!U65</f>
        <v>18450000</v>
      </c>
      <c r="BL58" s="51">
        <f>'Analisa RAP V'!W65</f>
        <v>3130308.5</v>
      </c>
      <c r="BM58" s="864">
        <f>'Analisa RAP V'!X65</f>
        <v>14.505392728746209</v>
      </c>
      <c r="BN58" s="874">
        <f>'Analisa RAP V'!Z65</f>
        <v>25000</v>
      </c>
      <c r="BO58" s="897">
        <f t="shared" si="14"/>
        <v>15792540.000000002</v>
      </c>
      <c r="BP58" s="51">
        <f>'Analisa RAP V'!AC65</f>
        <v>18132540</v>
      </c>
      <c r="BQ58" s="51">
        <f>'Analisa RAP V'!AD65</f>
        <v>3447768.5</v>
      </c>
      <c r="BR58" s="864">
        <f>'Analisa RAP V'!AE65</f>
        <v>15.976456036298092</v>
      </c>
      <c r="BS58" s="874">
        <f>'Analisa RAP V'!AG65</f>
        <v>29000</v>
      </c>
      <c r="BT58" s="897">
        <f t="shared" si="15"/>
        <v>18319346.400000002</v>
      </c>
      <c r="BU58" s="51">
        <f>'Analisa RAP V'!AJ65</f>
        <v>18319346.400000002</v>
      </c>
      <c r="BV58" s="51">
        <f>'Analisa RAP V'!AK65</f>
        <v>3260962.0999999978</v>
      </c>
      <c r="BW58" s="864">
        <f>'Analisa RAP V'!AL65</f>
        <v>15.110822442598529</v>
      </c>
    </row>
    <row r="59" spans="1:75" ht="16" thickBot="1" x14ac:dyDescent="0.4">
      <c r="A59" s="1136" t="s">
        <v>296</v>
      </c>
      <c r="B59" s="1137"/>
      <c r="C59" s="1137"/>
      <c r="D59" s="1137"/>
      <c r="E59" s="1137"/>
      <c r="F59" s="1137"/>
      <c r="G59" s="1138"/>
      <c r="H59" s="772">
        <f t="shared" ref="H59:N59" si="17">SUM(H56:H58)</f>
        <v>98716368.420000002</v>
      </c>
      <c r="I59" s="774">
        <f t="shared" si="17"/>
        <v>7.2706950569387452</v>
      </c>
      <c r="J59" s="772">
        <v>0</v>
      </c>
      <c r="K59" s="778">
        <f t="shared" si="17"/>
        <v>67</v>
      </c>
      <c r="L59" s="771">
        <f t="shared" si="17"/>
        <v>0</v>
      </c>
      <c r="M59" s="771">
        <f t="shared" si="17"/>
        <v>30</v>
      </c>
      <c r="N59" s="771">
        <f t="shared" si="17"/>
        <v>0</v>
      </c>
      <c r="O59" s="771">
        <f t="shared" ref="O59" si="18">SUM(O56:O58)</f>
        <v>0</v>
      </c>
      <c r="P59" s="771">
        <f t="shared" ref="P59" si="19">SUM(P56:P58)</f>
        <v>0</v>
      </c>
      <c r="Q59" s="771">
        <f t="shared" ref="Q59" si="20">SUM(Q56:Q58)</f>
        <v>0</v>
      </c>
      <c r="R59" s="771">
        <f t="shared" ref="R59" si="21">SUM(R56:R58)</f>
        <v>3</v>
      </c>
      <c r="S59" s="771">
        <f t="shared" ref="S59" si="22">SUM(S56:S58)</f>
        <v>0</v>
      </c>
      <c r="T59" s="771">
        <f t="shared" ref="T59" si="23">SUM(T56:T58)</f>
        <v>0</v>
      </c>
      <c r="U59" s="771">
        <f t="shared" ref="U59" si="24">SUM(U56:U58)</f>
        <v>0</v>
      </c>
      <c r="V59" s="771">
        <f t="shared" ref="V59" si="25">SUM(V56:V58)</f>
        <v>0</v>
      </c>
      <c r="W59" s="771">
        <f t="shared" ref="W59" si="26">SUM(W56:W58)</f>
        <v>0</v>
      </c>
      <c r="X59" s="771">
        <f t="shared" ref="X59" si="27">SUM(X56:X58)</f>
        <v>0</v>
      </c>
      <c r="Y59" s="771">
        <f t="shared" ref="Y59" si="28">SUM(Y56:Y58)</f>
        <v>20369</v>
      </c>
      <c r="Z59" s="771">
        <f t="shared" ref="Z59" si="29">SUM(Z56:Z58)</f>
        <v>28</v>
      </c>
      <c r="AA59" s="771">
        <f t="shared" ref="AA59" si="30">SUM(AA56:AA58)</f>
        <v>0</v>
      </c>
      <c r="AB59" s="771">
        <f t="shared" ref="AB59" si="31">SUM(AB56:AB58)</f>
        <v>0</v>
      </c>
      <c r="AC59" s="771">
        <f t="shared" ref="AC59" si="32">SUM(AC56:AC58)</f>
        <v>232</v>
      </c>
      <c r="AD59" s="771">
        <f t="shared" ref="AD59" si="33">SUM(AD56:AD58)</f>
        <v>0</v>
      </c>
      <c r="AE59" s="771">
        <f t="shared" ref="AE59" si="34">SUM(AE56:AE58)</f>
        <v>0</v>
      </c>
      <c r="AF59" s="771">
        <f t="shared" ref="AF59" si="35">SUM(AF56:AF58)</f>
        <v>0</v>
      </c>
      <c r="AG59" s="771">
        <f t="shared" ref="AG59" si="36">SUM(AG56:AG58)</f>
        <v>0</v>
      </c>
      <c r="AH59" s="771">
        <f t="shared" ref="AH59" si="37">SUM(AH56:AH58)</f>
        <v>0</v>
      </c>
      <c r="AI59" s="771">
        <f t="shared" ref="AI59" si="38">SUM(AI56:AI58)</f>
        <v>0</v>
      </c>
      <c r="AJ59" s="771">
        <f t="shared" ref="AJ59" si="39">SUM(AJ56:AJ58)</f>
        <v>0</v>
      </c>
      <c r="AK59" s="771">
        <f t="shared" ref="AK59" si="40">SUM(AK56:AK58)</f>
        <v>0</v>
      </c>
      <c r="AL59" s="771">
        <f t="shared" ref="AL59" si="41">SUM(AL56:AL58)</f>
        <v>0</v>
      </c>
      <c r="AM59" s="771">
        <f t="shared" ref="AM59" si="42">SUM(AM56:AM58)</f>
        <v>0</v>
      </c>
      <c r="AN59" s="771">
        <f t="shared" ref="AN59" si="43">SUM(AN56:AN58)</f>
        <v>0</v>
      </c>
      <c r="AO59" s="771">
        <f t="shared" ref="AO59" si="44">SUM(AO56:AO58)</f>
        <v>0</v>
      </c>
      <c r="AP59" s="771">
        <f t="shared" ref="AP59" si="45">SUM(AP56:AP58)</f>
        <v>0</v>
      </c>
      <c r="AQ59" s="771">
        <f t="shared" ref="AQ59" si="46">SUM(AQ56:AQ58)</f>
        <v>0</v>
      </c>
      <c r="AR59" s="771">
        <f t="shared" ref="AR59" si="47">SUM(AR56:AR58)</f>
        <v>0</v>
      </c>
      <c r="AS59" s="771">
        <f t="shared" ref="AS59" si="48">SUM(AS56:AS58)</f>
        <v>0</v>
      </c>
      <c r="AT59" s="771">
        <f t="shared" ref="AT59" si="49">SUM(AT56:AT58)</f>
        <v>0</v>
      </c>
      <c r="AU59" s="771">
        <f t="shared" ref="AU59" si="50">SUM(AU56:AU58)</f>
        <v>0</v>
      </c>
      <c r="AV59" s="771">
        <f t="shared" ref="AV59" si="51">SUM(AV56:AV58)</f>
        <v>0</v>
      </c>
      <c r="AW59" s="771">
        <f t="shared" ref="AW59" si="52">SUM(AW56:AW58)</f>
        <v>0</v>
      </c>
      <c r="AX59" s="771">
        <f t="shared" ref="AX59" si="53">SUM(AX56:AX58)</f>
        <v>0</v>
      </c>
      <c r="AY59" s="771">
        <f t="shared" ref="AY59" si="54">SUM(AY56:AY58)</f>
        <v>0</v>
      </c>
      <c r="AZ59" s="771">
        <f t="shared" ref="AZ59" si="55">SUM(AZ56:AZ58)</f>
        <v>0</v>
      </c>
      <c r="BA59" s="771">
        <f t="shared" ref="BA59" si="56">SUM(BA56:BA58)</f>
        <v>0</v>
      </c>
      <c r="BB59" s="771">
        <f t="shared" ref="BB59" si="57">SUM(BB56:BB58)</f>
        <v>0</v>
      </c>
      <c r="BC59" s="771">
        <f t="shared" ref="BC59" si="58">SUM(BC56:BC58)</f>
        <v>0</v>
      </c>
      <c r="BD59" s="771">
        <f t="shared" ref="BD59" si="59">SUM(BD56:BD58)</f>
        <v>0</v>
      </c>
      <c r="BE59" s="771">
        <f t="shared" ref="BE59" si="60">SUM(BE56:BE58)</f>
        <v>0</v>
      </c>
      <c r="BF59" s="771">
        <f t="shared" ref="BF59" si="61">SUM(BF56:BF58)</f>
        <v>0</v>
      </c>
      <c r="BG59" s="771">
        <f t="shared" ref="BG59" si="62">SUM(BG56:BG58)</f>
        <v>0</v>
      </c>
      <c r="BH59" s="771">
        <f t="shared" ref="BH59" si="63">SUM(BH56:BH58)</f>
        <v>0</v>
      </c>
      <c r="BI59" s="771">
        <f t="shared" ref="BI59" si="64">SUM(BI56:BI58)</f>
        <v>0</v>
      </c>
      <c r="BJ59" s="771">
        <f t="shared" ref="BJ59" si="65">SUM(BJ56:BJ58)</f>
        <v>0</v>
      </c>
      <c r="BK59" s="771">
        <f t="shared" ref="BK59:BV59" si="66">SUM(BK56:BK58)</f>
        <v>83366750</v>
      </c>
      <c r="BL59" s="771">
        <f t="shared" si="66"/>
        <v>15349618.420000002</v>
      </c>
      <c r="BM59" s="772">
        <f>BL59/H59*100</f>
        <v>15.549213028880182</v>
      </c>
      <c r="BN59" s="778">
        <v>0</v>
      </c>
      <c r="BO59" s="1005">
        <f>SUM(BO56:BO58)</f>
        <v>46631340.000000007</v>
      </c>
      <c r="BP59" s="771">
        <f t="shared" si="66"/>
        <v>81448090</v>
      </c>
      <c r="BQ59" s="771">
        <f t="shared" si="66"/>
        <v>17268278.419999998</v>
      </c>
      <c r="BR59" s="772">
        <f>BQ59/H59*100</f>
        <v>17.492821804921093</v>
      </c>
      <c r="BS59" s="778">
        <v>0</v>
      </c>
      <c r="BT59" s="1005">
        <f>SUM(BT56:BT58)</f>
        <v>81911654.400000006</v>
      </c>
      <c r="BU59" s="771">
        <f t="shared" si="66"/>
        <v>81911654.400000006</v>
      </c>
      <c r="BV59" s="771">
        <f t="shared" si="66"/>
        <v>16804714.019999996</v>
      </c>
      <c r="BW59" s="772">
        <f>BV59/H59*100</f>
        <v>17.023229570705471</v>
      </c>
    </row>
    <row r="60" spans="1:75" x14ac:dyDescent="0.35">
      <c r="A60" s="802" t="s">
        <v>36</v>
      </c>
      <c r="B60" s="1146" t="s">
        <v>198</v>
      </c>
      <c r="C60" s="1147"/>
      <c r="D60" s="1148"/>
      <c r="E60" s="921"/>
      <c r="F60" s="806"/>
      <c r="G60" s="806"/>
      <c r="H60" s="922"/>
      <c r="I60" s="802"/>
      <c r="J60" s="922"/>
      <c r="K60" s="802"/>
      <c r="L60" s="806"/>
      <c r="M60" s="806"/>
      <c r="N60" s="806"/>
      <c r="O60" s="806"/>
      <c r="P60" s="806"/>
      <c r="Q60" s="806"/>
      <c r="R60" s="806"/>
      <c r="S60" s="806"/>
      <c r="T60" s="806"/>
      <c r="U60" s="806"/>
      <c r="V60" s="806"/>
      <c r="W60" s="806"/>
      <c r="X60" s="806"/>
      <c r="Y60" s="806"/>
      <c r="Z60" s="806"/>
      <c r="AA60" s="806"/>
      <c r="AB60" s="806"/>
      <c r="AC60" s="806"/>
      <c r="AD60" s="806"/>
      <c r="AE60" s="806"/>
      <c r="AF60" s="806"/>
      <c r="AG60" s="806"/>
      <c r="AH60" s="806"/>
      <c r="AI60" s="806"/>
      <c r="AJ60" s="806"/>
      <c r="AK60" s="806"/>
      <c r="AL60" s="806"/>
      <c r="AM60" s="806"/>
      <c r="AN60" s="806"/>
      <c r="AO60" s="806"/>
      <c r="AP60" s="806"/>
      <c r="AQ60" s="806"/>
      <c r="AR60" s="806"/>
      <c r="AS60" s="806"/>
      <c r="AT60" s="806"/>
      <c r="AU60" s="806"/>
      <c r="AV60" s="806"/>
      <c r="AW60" s="806"/>
      <c r="AX60" s="806"/>
      <c r="AY60" s="806"/>
      <c r="AZ60" s="806"/>
      <c r="BA60" s="806"/>
      <c r="BB60" s="806"/>
      <c r="BC60" s="806"/>
      <c r="BD60" s="806"/>
      <c r="BE60" s="806"/>
      <c r="BF60" s="806"/>
      <c r="BG60" s="806"/>
      <c r="BH60" s="806"/>
      <c r="BI60" s="806"/>
      <c r="BJ60" s="806"/>
      <c r="BK60" s="806"/>
      <c r="BL60" s="806"/>
      <c r="BM60" s="922"/>
      <c r="BN60" s="802"/>
      <c r="BO60" s="1000"/>
      <c r="BP60" s="806"/>
      <c r="BQ60" s="806"/>
      <c r="BR60" s="922"/>
      <c r="BS60" s="802"/>
      <c r="BT60" s="1000"/>
      <c r="BU60" s="806"/>
      <c r="BV60" s="806"/>
      <c r="BW60" s="922"/>
    </row>
    <row r="61" spans="1:75" x14ac:dyDescent="0.35">
      <c r="A61" s="691">
        <v>1</v>
      </c>
      <c r="B61" s="1044" t="s">
        <v>200</v>
      </c>
      <c r="C61" s="1044"/>
      <c r="D61" s="1044"/>
      <c r="E61" s="42">
        <v>262.22000000000003</v>
      </c>
      <c r="F61" s="16" t="s">
        <v>30</v>
      </c>
      <c r="G61" s="47">
        <f>'Analisa '!K273</f>
        <v>369972.25</v>
      </c>
      <c r="H61" s="868">
        <f>ROUND(E61*G61,2)</f>
        <v>97014123.400000006</v>
      </c>
      <c r="I61" s="711">
        <f>H61/$H$86*100</f>
        <v>7.1453206671520846</v>
      </c>
      <c r="J61" s="692">
        <f>'Analisa RAP VI'!K18</f>
        <v>5</v>
      </c>
      <c r="K61" s="717">
        <f>'Analisa RAP VI'!O19</f>
        <v>14</v>
      </c>
      <c r="L61" s="32"/>
      <c r="M61" s="32">
        <f>'Analisa RAP VI'!O20</f>
        <v>7</v>
      </c>
      <c r="N61" s="32"/>
      <c r="O61" s="32"/>
      <c r="P61" s="32"/>
      <c r="Q61" s="32"/>
      <c r="R61" s="32">
        <f>'Analisa RAP VI'!O22</f>
        <v>1</v>
      </c>
      <c r="S61" s="32"/>
      <c r="T61" s="32"/>
      <c r="U61" s="32"/>
      <c r="V61" s="32"/>
      <c r="W61" s="32"/>
      <c r="X61" s="32"/>
      <c r="Y61" s="32"/>
      <c r="Z61" s="32">
        <f>'Analisa RAP VI'!O26</f>
        <v>12</v>
      </c>
      <c r="AA61" s="32"/>
      <c r="AB61" s="32"/>
      <c r="AC61" s="32">
        <f>'Analisa RAP VI'!O25</f>
        <v>65</v>
      </c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>
        <f>'Analisa RAP VI'!O27</f>
        <v>53</v>
      </c>
      <c r="BG61" s="32"/>
      <c r="BH61" s="32">
        <f>'Analisa RAP VI'!O24</f>
        <v>242</v>
      </c>
      <c r="BI61" s="32"/>
      <c r="BJ61" s="32"/>
      <c r="BK61" s="32">
        <f>'Analisa RAP VI'!U18</f>
        <v>74584000</v>
      </c>
      <c r="BL61" s="32">
        <f>'Analisa RAP VI'!W18</f>
        <v>22430123.400000006</v>
      </c>
      <c r="BM61" s="692">
        <f>'Analisa RAP VI'!X18</f>
        <v>23.120472168282259</v>
      </c>
      <c r="BN61" s="717">
        <f>'Analisa RAP VI'!Z18</f>
        <v>30000</v>
      </c>
      <c r="BO61" s="897">
        <f>E61*BN61</f>
        <v>7866600.0000000009</v>
      </c>
      <c r="BP61" s="32">
        <f>'Analisa RAP VI'!AC18</f>
        <v>73725600</v>
      </c>
      <c r="BQ61" s="32">
        <f>'Analisa RAP VI'!AD18</f>
        <v>23288523.400000006</v>
      </c>
      <c r="BR61" s="692">
        <f>'Analisa RAP VI'!AE18</f>
        <v>24.005291790329164</v>
      </c>
      <c r="BS61" s="717">
        <f>'Analisa RAP VI'!AG18</f>
        <v>280000</v>
      </c>
      <c r="BT61" s="897">
        <f>E61*BS61</f>
        <v>73421600.000000015</v>
      </c>
      <c r="BU61" s="32">
        <f>'Analisa RAP VI'!AJ18</f>
        <v>73421600.000000015</v>
      </c>
      <c r="BV61" s="32">
        <f>'Analisa RAP VI'!AK18</f>
        <v>23592523.399999991</v>
      </c>
      <c r="BW61" s="692">
        <f>'Analisa RAP VI'!AL18</f>
        <v>24.318648226841567</v>
      </c>
    </row>
    <row r="62" spans="1:75" ht="15.75" customHeight="1" thickBot="1" x14ac:dyDescent="0.4">
      <c r="A62" s="825">
        <v>2</v>
      </c>
      <c r="B62" s="1140" t="s">
        <v>199</v>
      </c>
      <c r="C62" s="1141"/>
      <c r="D62" s="1142"/>
      <c r="E62" s="60">
        <v>8.48</v>
      </c>
      <c r="F62" s="48" t="s">
        <v>30</v>
      </c>
      <c r="G62" s="50">
        <f>'Analisa '!K288</f>
        <v>211887.5</v>
      </c>
      <c r="H62" s="906">
        <f>ROUND(E62*G62,2)</f>
        <v>1796806</v>
      </c>
      <c r="I62" s="873">
        <f>H62/$H$86*100</f>
        <v>0.13233903061441121</v>
      </c>
      <c r="J62" s="864">
        <f>'Analisa RAP VI'!K41</f>
        <v>1</v>
      </c>
      <c r="K62" s="874">
        <f>'Analisa RAP VI'!O42</f>
        <v>2</v>
      </c>
      <c r="L62" s="51"/>
      <c r="M62" s="51">
        <f>'Analisa RAP VI'!O43</f>
        <v>2</v>
      </c>
      <c r="N62" s="51"/>
      <c r="O62" s="51"/>
      <c r="P62" s="51"/>
      <c r="Q62" s="51"/>
      <c r="R62" s="51">
        <f>'Analisa RAP VI'!O45</f>
        <v>1</v>
      </c>
      <c r="S62" s="51"/>
      <c r="T62" s="51"/>
      <c r="U62" s="51"/>
      <c r="V62" s="51"/>
      <c r="W62" s="51"/>
      <c r="X62" s="51"/>
      <c r="Y62" s="51"/>
      <c r="Z62" s="51">
        <f>'Analisa RAP VI'!O50</f>
        <v>0.5</v>
      </c>
      <c r="AA62" s="51"/>
      <c r="AB62" s="51"/>
      <c r="AC62" s="51">
        <f>'Analisa RAP VI'!O48</f>
        <v>2</v>
      </c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>
        <f>'Analisa RAP VI'!O49</f>
        <v>2</v>
      </c>
      <c r="BG62" s="51">
        <f>'Analisa RAP VI'!O47</f>
        <v>9</v>
      </c>
      <c r="BH62" s="51"/>
      <c r="BI62" s="51"/>
      <c r="BJ62" s="51"/>
      <c r="BK62" s="51">
        <f>'Analisa RAP VI'!U41</f>
        <v>1203500</v>
      </c>
      <c r="BL62" s="51">
        <f>'Analisa RAP VI'!W41</f>
        <v>593306</v>
      </c>
      <c r="BM62" s="864">
        <f>'Analisa RAP VI'!X41</f>
        <v>33.020036665060111</v>
      </c>
      <c r="BN62" s="874">
        <f>'Analisa RAP VI'!Z41</f>
        <v>30000</v>
      </c>
      <c r="BO62" s="897">
        <f>E62*BN62</f>
        <v>254400</v>
      </c>
      <c r="BP62" s="51">
        <f>'Analisa RAP VI'!AC41</f>
        <v>1037900</v>
      </c>
      <c r="BQ62" s="51">
        <f>'Analisa RAP VI'!AD41</f>
        <v>758906</v>
      </c>
      <c r="BR62" s="864">
        <f>'Analisa RAP VI'!AE41</f>
        <v>42.23639057305018</v>
      </c>
      <c r="BS62" s="874">
        <f>'Analisa RAP VI'!AG41</f>
        <v>125000</v>
      </c>
      <c r="BT62" s="897">
        <f>E62*BS62</f>
        <v>1060000</v>
      </c>
      <c r="BU62" s="51">
        <f>'Analisa RAP VI'!AJ41</f>
        <v>1060000</v>
      </c>
      <c r="BV62" s="51">
        <f>'Analisa RAP VI'!AK41</f>
        <v>736806</v>
      </c>
      <c r="BW62" s="864">
        <f>'Analisa RAP VI'!AL41</f>
        <v>41.006430299097396</v>
      </c>
    </row>
    <row r="63" spans="1:75" ht="16" thickBot="1" x14ac:dyDescent="0.4">
      <c r="A63" s="1136" t="s">
        <v>297</v>
      </c>
      <c r="B63" s="1137"/>
      <c r="C63" s="1137"/>
      <c r="D63" s="1137"/>
      <c r="E63" s="1137"/>
      <c r="F63" s="1137"/>
      <c r="G63" s="1138"/>
      <c r="H63" s="772">
        <f t="shared" ref="H63:BI63" si="67">SUM(H61:H62)</f>
        <v>98810929.400000006</v>
      </c>
      <c r="I63" s="774">
        <f t="shared" si="67"/>
        <v>7.277659697766496</v>
      </c>
      <c r="J63" s="772">
        <v>0</v>
      </c>
      <c r="K63" s="778">
        <f t="shared" si="67"/>
        <v>16</v>
      </c>
      <c r="L63" s="771">
        <f t="shared" si="67"/>
        <v>0</v>
      </c>
      <c r="M63" s="771">
        <f t="shared" si="67"/>
        <v>9</v>
      </c>
      <c r="N63" s="771">
        <f t="shared" si="67"/>
        <v>0</v>
      </c>
      <c r="O63" s="771">
        <f t="shared" si="67"/>
        <v>0</v>
      </c>
      <c r="P63" s="771">
        <f t="shared" si="67"/>
        <v>0</v>
      </c>
      <c r="Q63" s="771">
        <f t="shared" si="67"/>
        <v>0</v>
      </c>
      <c r="R63" s="771">
        <f t="shared" si="67"/>
        <v>2</v>
      </c>
      <c r="S63" s="771">
        <f t="shared" si="67"/>
        <v>0</v>
      </c>
      <c r="T63" s="771">
        <f t="shared" si="67"/>
        <v>0</v>
      </c>
      <c r="U63" s="771">
        <f t="shared" si="67"/>
        <v>0</v>
      </c>
      <c r="V63" s="771">
        <f t="shared" si="67"/>
        <v>0</v>
      </c>
      <c r="W63" s="771">
        <f t="shared" si="67"/>
        <v>0</v>
      </c>
      <c r="X63" s="771">
        <f t="shared" si="67"/>
        <v>0</v>
      </c>
      <c r="Y63" s="771">
        <f t="shared" si="67"/>
        <v>0</v>
      </c>
      <c r="Z63" s="771">
        <f t="shared" si="67"/>
        <v>12.5</v>
      </c>
      <c r="AA63" s="771">
        <f t="shared" si="67"/>
        <v>0</v>
      </c>
      <c r="AB63" s="771">
        <f t="shared" si="67"/>
        <v>0</v>
      </c>
      <c r="AC63" s="771">
        <f t="shared" si="67"/>
        <v>67</v>
      </c>
      <c r="AD63" s="771">
        <f t="shared" si="67"/>
        <v>0</v>
      </c>
      <c r="AE63" s="771">
        <f t="shared" si="67"/>
        <v>0</v>
      </c>
      <c r="AF63" s="771">
        <f t="shared" si="67"/>
        <v>0</v>
      </c>
      <c r="AG63" s="771">
        <f t="shared" si="67"/>
        <v>0</v>
      </c>
      <c r="AH63" s="771">
        <f t="shared" si="67"/>
        <v>0</v>
      </c>
      <c r="AI63" s="771">
        <f t="shared" si="67"/>
        <v>0</v>
      </c>
      <c r="AJ63" s="771">
        <f t="shared" si="67"/>
        <v>0</v>
      </c>
      <c r="AK63" s="771">
        <f t="shared" si="67"/>
        <v>0</v>
      </c>
      <c r="AL63" s="771">
        <f t="shared" si="67"/>
        <v>0</v>
      </c>
      <c r="AM63" s="771">
        <f t="shared" si="67"/>
        <v>0</v>
      </c>
      <c r="AN63" s="771">
        <f t="shared" si="67"/>
        <v>0</v>
      </c>
      <c r="AO63" s="771">
        <f t="shared" si="67"/>
        <v>0</v>
      </c>
      <c r="AP63" s="771">
        <f t="shared" si="67"/>
        <v>0</v>
      </c>
      <c r="AQ63" s="771">
        <f t="shared" si="67"/>
        <v>0</v>
      </c>
      <c r="AR63" s="771">
        <f t="shared" si="67"/>
        <v>0</v>
      </c>
      <c r="AS63" s="771">
        <f t="shared" si="67"/>
        <v>0</v>
      </c>
      <c r="AT63" s="771">
        <f t="shared" si="67"/>
        <v>0</v>
      </c>
      <c r="AU63" s="771">
        <f t="shared" si="67"/>
        <v>0</v>
      </c>
      <c r="AV63" s="771">
        <f t="shared" si="67"/>
        <v>0</v>
      </c>
      <c r="AW63" s="771">
        <f t="shared" si="67"/>
        <v>0</v>
      </c>
      <c r="AX63" s="771">
        <f t="shared" si="67"/>
        <v>0</v>
      </c>
      <c r="AY63" s="771">
        <f t="shared" si="67"/>
        <v>0</v>
      </c>
      <c r="AZ63" s="771">
        <f t="shared" si="67"/>
        <v>0</v>
      </c>
      <c r="BA63" s="771">
        <f t="shared" si="67"/>
        <v>0</v>
      </c>
      <c r="BB63" s="771">
        <f t="shared" si="67"/>
        <v>0</v>
      </c>
      <c r="BC63" s="771">
        <f t="shared" si="67"/>
        <v>0</v>
      </c>
      <c r="BD63" s="771">
        <f t="shared" si="67"/>
        <v>0</v>
      </c>
      <c r="BE63" s="771">
        <f t="shared" si="67"/>
        <v>0</v>
      </c>
      <c r="BF63" s="771">
        <f t="shared" si="67"/>
        <v>55</v>
      </c>
      <c r="BG63" s="771">
        <f t="shared" si="67"/>
        <v>9</v>
      </c>
      <c r="BH63" s="771">
        <f t="shared" si="67"/>
        <v>242</v>
      </c>
      <c r="BI63" s="771">
        <f t="shared" si="67"/>
        <v>0</v>
      </c>
      <c r="BJ63" s="771">
        <f>SUM(BJ61:BJ62)</f>
        <v>0</v>
      </c>
      <c r="BK63" s="771">
        <f t="shared" ref="BK63:BV63" si="68">SUM(BK61:BK62)</f>
        <v>75787500</v>
      </c>
      <c r="BL63" s="771">
        <f t="shared" si="68"/>
        <v>23023429.400000006</v>
      </c>
      <c r="BM63" s="772">
        <f>BL63/H63*100</f>
        <v>23.300488660316159</v>
      </c>
      <c r="BN63" s="778">
        <v>0</v>
      </c>
      <c r="BO63" s="1005">
        <f>SUM(BO61:BO62)</f>
        <v>8121000.0000000009</v>
      </c>
      <c r="BP63" s="771">
        <f t="shared" si="68"/>
        <v>74763500</v>
      </c>
      <c r="BQ63" s="771">
        <f t="shared" si="68"/>
        <v>24047429.400000006</v>
      </c>
      <c r="BR63" s="772">
        <f>BQ63/H63*100</f>
        <v>24.336811267762457</v>
      </c>
      <c r="BS63" s="778">
        <v>0</v>
      </c>
      <c r="BT63" s="1005">
        <f>SUM(BT61:BT62)</f>
        <v>74481600.000000015</v>
      </c>
      <c r="BU63" s="771">
        <f t="shared" si="68"/>
        <v>74481600.000000015</v>
      </c>
      <c r="BV63" s="771">
        <f t="shared" si="68"/>
        <v>24329329.399999991</v>
      </c>
      <c r="BW63" s="772">
        <f>BV63/H63*100</f>
        <v>24.622103594949071</v>
      </c>
    </row>
    <row r="64" spans="1:75" x14ac:dyDescent="0.35">
      <c r="A64" s="802" t="s">
        <v>40</v>
      </c>
      <c r="B64" s="823" t="s">
        <v>201</v>
      </c>
      <c r="C64" s="823"/>
      <c r="D64" s="823"/>
      <c r="E64" s="806"/>
      <c r="F64" s="806"/>
      <c r="G64" s="824"/>
      <c r="H64" s="808"/>
      <c r="I64" s="811"/>
      <c r="J64" s="808"/>
      <c r="K64" s="811"/>
      <c r="L64" s="807"/>
      <c r="M64" s="807"/>
      <c r="N64" s="807"/>
      <c r="O64" s="807"/>
      <c r="P64" s="807"/>
      <c r="Q64" s="807"/>
      <c r="R64" s="807"/>
      <c r="S64" s="807"/>
      <c r="T64" s="807"/>
      <c r="U64" s="807"/>
      <c r="V64" s="807"/>
      <c r="W64" s="807"/>
      <c r="X64" s="807"/>
      <c r="Y64" s="807"/>
      <c r="Z64" s="807"/>
      <c r="AA64" s="807"/>
      <c r="AB64" s="807"/>
      <c r="AC64" s="807"/>
      <c r="AD64" s="807"/>
      <c r="AE64" s="807"/>
      <c r="AF64" s="807"/>
      <c r="AG64" s="807"/>
      <c r="AH64" s="807"/>
      <c r="AI64" s="807"/>
      <c r="AJ64" s="807"/>
      <c r="AK64" s="807"/>
      <c r="AL64" s="807"/>
      <c r="AM64" s="807"/>
      <c r="AN64" s="807"/>
      <c r="AO64" s="807"/>
      <c r="AP64" s="807"/>
      <c r="AQ64" s="807"/>
      <c r="AR64" s="807"/>
      <c r="AS64" s="807"/>
      <c r="AT64" s="807"/>
      <c r="AU64" s="807"/>
      <c r="AV64" s="807"/>
      <c r="AW64" s="807"/>
      <c r="AX64" s="807"/>
      <c r="AY64" s="807"/>
      <c r="AZ64" s="807"/>
      <c r="BA64" s="807"/>
      <c r="BB64" s="807"/>
      <c r="BC64" s="807"/>
      <c r="BD64" s="807"/>
      <c r="BE64" s="807"/>
      <c r="BF64" s="807"/>
      <c r="BG64" s="807"/>
      <c r="BH64" s="807"/>
      <c r="BI64" s="807"/>
      <c r="BJ64" s="807"/>
      <c r="BK64" s="807"/>
      <c r="BL64" s="807"/>
      <c r="BM64" s="808"/>
      <c r="BN64" s="811"/>
      <c r="BO64" s="810"/>
      <c r="BP64" s="807"/>
      <c r="BQ64" s="807"/>
      <c r="BR64" s="807"/>
      <c r="BS64" s="807"/>
      <c r="BT64" s="810"/>
      <c r="BU64" s="807"/>
      <c r="BV64" s="807"/>
      <c r="BW64" s="808"/>
    </row>
    <row r="65" spans="1:75" x14ac:dyDescent="0.35">
      <c r="A65" s="691">
        <v>1</v>
      </c>
      <c r="B65" s="41" t="s">
        <v>273</v>
      </c>
      <c r="C65" s="41"/>
      <c r="D65" s="41"/>
      <c r="E65" s="59">
        <v>880.32</v>
      </c>
      <c r="F65" s="16" t="s">
        <v>39</v>
      </c>
      <c r="G65" s="79">
        <f>'Analisa '!K316</f>
        <v>28951.25</v>
      </c>
      <c r="H65" s="692">
        <f t="shared" ref="H65:H70" si="69">ROUND(E65*$G65,2)</f>
        <v>25486364.399999999</v>
      </c>
      <c r="I65" s="711">
        <f t="shared" ref="I65:I70" si="70">H65/$H$86*100</f>
        <v>1.8771312866172754</v>
      </c>
      <c r="J65" s="692">
        <f>'Analisa RAP VII'!K41</f>
        <v>4</v>
      </c>
      <c r="K65" s="717">
        <f>'Analisa RAP VII'!O42</f>
        <v>14</v>
      </c>
      <c r="L65" s="32"/>
      <c r="M65" s="32"/>
      <c r="N65" s="32">
        <f>'Analisa RAP VII'!O43</f>
        <v>14</v>
      </c>
      <c r="O65" s="32"/>
      <c r="P65" s="32"/>
      <c r="Q65" s="32"/>
      <c r="R65" s="32">
        <f>'Analisa RAP VII'!O45</f>
        <v>1</v>
      </c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>
        <f>'Analisa RAP VII'!O47</f>
        <v>1013</v>
      </c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>
        <f>'Analisa RAP VII'!U41</f>
        <v>22022500</v>
      </c>
      <c r="BL65" s="32">
        <f>'Analisa RAP VII'!W41</f>
        <v>3463864.3999999985</v>
      </c>
      <c r="BM65" s="692">
        <f>'Analisa RAP VII'!X41</f>
        <v>13.591049494685867</v>
      </c>
      <c r="BN65" s="717">
        <f>'Analisa RAP VII'!Z41</f>
        <v>9000</v>
      </c>
      <c r="BO65" s="897">
        <f>E65*BN65</f>
        <v>7922880</v>
      </c>
      <c r="BP65" s="32">
        <f>'Analisa RAP VII'!AC41</f>
        <v>20585380</v>
      </c>
      <c r="BQ65" s="32">
        <f>'Analisa RAP VII'!AD41</f>
        <v>4900984.3999999985</v>
      </c>
      <c r="BR65" s="32">
        <f>'Analisa RAP VII'!AE41</f>
        <v>19.229829422041846</v>
      </c>
      <c r="BS65" s="32">
        <f>'Analisa RAP VII'!AG41</f>
        <v>25000</v>
      </c>
      <c r="BT65" s="897">
        <f>E65*BS65</f>
        <v>22008000</v>
      </c>
      <c r="BU65" s="32">
        <f>'Analisa RAP VII'!AJ41</f>
        <v>22008000</v>
      </c>
      <c r="BV65" s="32">
        <f>'Analisa RAP VII'!AK41</f>
        <v>3478364.3999999985</v>
      </c>
      <c r="BW65" s="692">
        <f>'Analisa RAP VII'!AL41</f>
        <v>13.647942662233921</v>
      </c>
    </row>
    <row r="66" spans="1:75" x14ac:dyDescent="0.35">
      <c r="A66" s="691">
        <v>2</v>
      </c>
      <c r="B66" s="41" t="s">
        <v>202</v>
      </c>
      <c r="C66" s="41"/>
      <c r="D66" s="41"/>
      <c r="E66" s="59">
        <v>742.48</v>
      </c>
      <c r="F66" s="16" t="s">
        <v>39</v>
      </c>
      <c r="G66" s="79">
        <f>RAB!H58</f>
        <v>30262.25</v>
      </c>
      <c r="H66" s="692">
        <f t="shared" si="69"/>
        <v>22469115.379999999</v>
      </c>
      <c r="I66" s="711">
        <f t="shared" si="70"/>
        <v>1.6549037281445844</v>
      </c>
      <c r="J66" s="692">
        <f>'Analisa RAP VII'!K18</f>
        <v>3</v>
      </c>
      <c r="K66" s="717">
        <f>'Analisa RAP VII'!O19</f>
        <v>14</v>
      </c>
      <c r="L66" s="32"/>
      <c r="M66" s="32"/>
      <c r="N66" s="32">
        <f>'Analisa RAP VII'!O20</f>
        <v>14</v>
      </c>
      <c r="O66" s="32"/>
      <c r="P66" s="32"/>
      <c r="Q66" s="32"/>
      <c r="R66" s="32">
        <f>'Analisa RAP VII'!O22</f>
        <v>1</v>
      </c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>
        <f>'Analisa RAP VII'!O24</f>
        <v>854</v>
      </c>
      <c r="AI66" s="32"/>
      <c r="AJ66" s="32"/>
      <c r="AK66" s="32"/>
      <c r="AL66" s="32"/>
      <c r="AM66" s="32"/>
      <c r="AN66" s="32"/>
      <c r="AO66" s="32"/>
      <c r="AP66" s="32"/>
      <c r="AQ66" s="32"/>
      <c r="AR66" s="32">
        <f>'Analisa RAP VII'!O25</f>
        <v>45</v>
      </c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>
        <f>'Analisa RAP VII'!U18</f>
        <v>18550000</v>
      </c>
      <c r="BL66" s="32">
        <f>'Analisa RAP VII'!W18</f>
        <v>3919115.379999999</v>
      </c>
      <c r="BM66" s="692">
        <f>'Analisa RAP VII'!X18</f>
        <v>17.442232654554999</v>
      </c>
      <c r="BN66" s="717">
        <f>'Analisa RAP VII'!Z18</f>
        <v>9000</v>
      </c>
      <c r="BO66" s="897">
        <f t="shared" ref="BO66:BO70" si="71">E66*BN66</f>
        <v>6682320</v>
      </c>
      <c r="BP66" s="32">
        <f>'Analisa RAP VII'!AC18</f>
        <v>18212320</v>
      </c>
      <c r="BQ66" s="32">
        <f>'Analisa RAP VII'!AD18</f>
        <v>4256795.379999999</v>
      </c>
      <c r="BR66" s="32">
        <f>'Analisa RAP VII'!AE18</f>
        <v>18.945095558986797</v>
      </c>
      <c r="BS66" s="32">
        <f>'Analisa RAP VII'!AG18</f>
        <v>25000</v>
      </c>
      <c r="BT66" s="897">
        <f t="shared" ref="BT66:BT70" si="72">E66*BS66</f>
        <v>18562000</v>
      </c>
      <c r="BU66" s="32">
        <f>'Analisa RAP VII'!AJ18</f>
        <v>18562000</v>
      </c>
      <c r="BV66" s="32">
        <f>'Analisa RAP VII'!AK18</f>
        <v>3907115.379999999</v>
      </c>
      <c r="BW66" s="692">
        <f>'Analisa RAP VII'!AL18</f>
        <v>17.388826012606462</v>
      </c>
    </row>
    <row r="67" spans="1:75" x14ac:dyDescent="0.35">
      <c r="A67" s="691">
        <v>3</v>
      </c>
      <c r="B67" s="41" t="s">
        <v>203</v>
      </c>
      <c r="C67" s="41"/>
      <c r="D67" s="41"/>
      <c r="E67" s="54">
        <v>571.17471999999998</v>
      </c>
      <c r="F67" s="59" t="s">
        <v>30</v>
      </c>
      <c r="G67" s="47">
        <f>'Analisa '!K328</f>
        <v>70299.5</v>
      </c>
      <c r="H67" s="692">
        <f t="shared" si="69"/>
        <v>40153297.229999997</v>
      </c>
      <c r="I67" s="711">
        <f t="shared" si="70"/>
        <v>2.957385734125177</v>
      </c>
      <c r="J67" s="692">
        <f>'Analisa RAP VII'!K64</f>
        <v>5</v>
      </c>
      <c r="K67" s="717">
        <f>'Analisa RAP VII'!O65</f>
        <v>14</v>
      </c>
      <c r="L67" s="32"/>
      <c r="M67" s="32"/>
      <c r="N67" s="32">
        <f>'Analisa RAP VII'!O66</f>
        <v>7</v>
      </c>
      <c r="O67" s="32"/>
      <c r="P67" s="32"/>
      <c r="Q67" s="32"/>
      <c r="R67" s="32">
        <f>'Analisa RAP VII'!O68</f>
        <v>1</v>
      </c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>
        <f>'Analisa RAP VII'!O70</f>
        <v>400</v>
      </c>
      <c r="AT67" s="32"/>
      <c r="AU67" s="32"/>
      <c r="AV67" s="32">
        <f>'Analisa RAP VII'!O71</f>
        <v>12</v>
      </c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>
        <f>'Analisa RAP VII'!U64</f>
        <v>34977000</v>
      </c>
      <c r="BL67" s="32">
        <f>'Analisa RAP VII'!W64</f>
        <v>5176297.2299999967</v>
      </c>
      <c r="BM67" s="692">
        <f>'Analisa RAP VII'!X64</f>
        <v>12.891337915165272</v>
      </c>
      <c r="BN67" s="717">
        <f>'Analisa RAP VII'!Z64</f>
        <v>15000</v>
      </c>
      <c r="BO67" s="897">
        <f t="shared" si="71"/>
        <v>8567620.7999999989</v>
      </c>
      <c r="BP67" s="32">
        <f>'Analisa RAP VII'!AC64</f>
        <v>34819620.799999997</v>
      </c>
      <c r="BQ67" s="32">
        <f>'Analisa RAP VII'!AD64</f>
        <v>5333676.43</v>
      </c>
      <c r="BR67" s="32">
        <f>'Analisa RAP VII'!AE64</f>
        <v>13.283283809666857</v>
      </c>
      <c r="BS67" s="32">
        <f>'Analisa RAP VII'!AG64</f>
        <v>60000</v>
      </c>
      <c r="BT67" s="897">
        <f t="shared" si="72"/>
        <v>34270483.199999996</v>
      </c>
      <c r="BU67" s="32">
        <f>'Analisa RAP VII'!AJ64</f>
        <v>34270483.199999996</v>
      </c>
      <c r="BV67" s="32">
        <f>'Analisa RAP VII'!AK64</f>
        <v>5882814.0300000012</v>
      </c>
      <c r="BW67" s="692">
        <f>'Analisa RAP VII'!AL64</f>
        <v>14.650886566806612</v>
      </c>
    </row>
    <row r="68" spans="1:75" x14ac:dyDescent="0.35">
      <c r="A68" s="691">
        <v>4</v>
      </c>
      <c r="B68" s="41" t="s">
        <v>204</v>
      </c>
      <c r="C68" s="41"/>
      <c r="D68" s="41"/>
      <c r="E68" s="59">
        <v>52</v>
      </c>
      <c r="F68" s="16" t="s">
        <v>31</v>
      </c>
      <c r="G68" s="79">
        <f>'Analisa '!K341</f>
        <v>37231.25</v>
      </c>
      <c r="H68" s="692">
        <f t="shared" si="69"/>
        <v>1936025</v>
      </c>
      <c r="I68" s="711">
        <f t="shared" si="70"/>
        <v>0.1425928407102745</v>
      </c>
      <c r="J68" s="692">
        <f>'Analisa RAP VII'!K87</f>
        <v>1</v>
      </c>
      <c r="K68" s="717">
        <f>'Analisa RAP VII'!O88</f>
        <v>8</v>
      </c>
      <c r="L68" s="32"/>
      <c r="M68" s="32"/>
      <c r="N68" s="32">
        <f>'Analisa RAP VII'!O89</f>
        <v>4</v>
      </c>
      <c r="O68" s="32"/>
      <c r="P68" s="32"/>
      <c r="Q68" s="32"/>
      <c r="R68" s="32">
        <f>'Analisa RAP VII'!O91</f>
        <v>1</v>
      </c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>
        <f>'Analisa RAP VII'!O93</f>
        <v>16</v>
      </c>
      <c r="AU68" s="32"/>
      <c r="AV68" s="32">
        <f>'Analisa RAP VII'!O94</f>
        <v>2</v>
      </c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>
        <f>'Analisa RAP VII'!U87</f>
        <v>1802000</v>
      </c>
      <c r="BL68" s="32">
        <f>'Analisa RAP VII'!W87</f>
        <v>134025</v>
      </c>
      <c r="BM68" s="692">
        <f>'Analisa RAP VII'!X87</f>
        <v>6.9226895313851831</v>
      </c>
      <c r="BN68" s="717">
        <f>'Analisa RAP VII'!Z87</f>
        <v>20000</v>
      </c>
      <c r="BO68" s="897">
        <f t="shared" si="71"/>
        <v>1040000</v>
      </c>
      <c r="BP68" s="32">
        <f>'Analisa RAP VII'!AC87</f>
        <v>1802000</v>
      </c>
      <c r="BQ68" s="32">
        <f>'Analisa RAP VII'!AD87</f>
        <v>134025</v>
      </c>
      <c r="BR68" s="32">
        <f>'Analisa RAP VII'!AE87</f>
        <v>6.9226895313851831</v>
      </c>
      <c r="BS68" s="32">
        <f>'Analisa RAP VII'!AG87</f>
        <v>35000</v>
      </c>
      <c r="BT68" s="897">
        <f t="shared" si="72"/>
        <v>1820000</v>
      </c>
      <c r="BU68" s="32">
        <f>'Analisa RAP VII'!AJ87</f>
        <v>1820000</v>
      </c>
      <c r="BV68" s="32">
        <f>'Analisa RAP VII'!AK87</f>
        <v>116025</v>
      </c>
      <c r="BW68" s="692">
        <f>'Analisa RAP VII'!AL87</f>
        <v>5.9929494712103413</v>
      </c>
    </row>
    <row r="69" spans="1:75" x14ac:dyDescent="0.35">
      <c r="A69" s="691">
        <v>5</v>
      </c>
      <c r="B69" s="41" t="s">
        <v>205</v>
      </c>
      <c r="C69" s="41"/>
      <c r="D69" s="41"/>
      <c r="E69" s="59">
        <v>428.48</v>
      </c>
      <c r="F69" s="16" t="s">
        <v>30</v>
      </c>
      <c r="G69" s="79">
        <f>'Analisa '!K367</f>
        <v>108450.75</v>
      </c>
      <c r="H69" s="692">
        <f t="shared" si="69"/>
        <v>46468977.359999999</v>
      </c>
      <c r="I69" s="711">
        <f t="shared" si="70"/>
        <v>3.4225505800099856</v>
      </c>
      <c r="J69" s="692">
        <f>'Analisa RAP VII'!K110</f>
        <v>8</v>
      </c>
      <c r="K69" s="717">
        <f>'Analisa RAP VII'!O111</f>
        <v>18</v>
      </c>
      <c r="L69" s="32"/>
      <c r="M69" s="32"/>
      <c r="N69" s="32">
        <f>'Analisa RAP VII'!O112</f>
        <v>18</v>
      </c>
      <c r="O69" s="32"/>
      <c r="P69" s="32"/>
      <c r="Q69" s="32"/>
      <c r="R69" s="32">
        <f>'Analisa RAP VII'!O114</f>
        <v>1</v>
      </c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>
        <f>'Analisa RAP VII'!O116</f>
        <v>429</v>
      </c>
      <c r="AG69" s="32">
        <f>'Analisa RAP VII'!O118</f>
        <v>429</v>
      </c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>
        <f>'Analisa RAP VII'!O119</f>
        <v>18</v>
      </c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>
        <f>'Analisa RAP VII'!U110</f>
        <v>42665000</v>
      </c>
      <c r="BL69" s="32">
        <f>'Analisa RAP VII'!W110</f>
        <v>3803977.3599999994</v>
      </c>
      <c r="BM69" s="692">
        <f>'Analisa RAP VII'!X110</f>
        <v>8.1860578306472966</v>
      </c>
      <c r="BN69" s="717">
        <f>'Analisa RAP VII'!Z110</f>
        <v>50000</v>
      </c>
      <c r="BO69" s="897">
        <f t="shared" si="71"/>
        <v>21424000</v>
      </c>
      <c r="BP69" s="32">
        <f>'Analisa RAP VII'!AC110</f>
        <v>40249000</v>
      </c>
      <c r="BQ69" s="32">
        <f>'Analisa RAP VII'!AD110</f>
        <v>6219977.3599999994</v>
      </c>
      <c r="BR69" s="32">
        <f>'Analisa RAP VII'!AE110</f>
        <v>13.385225398470011</v>
      </c>
      <c r="BS69" s="32">
        <f>'Analisa RAP VII'!AG110</f>
        <v>95000</v>
      </c>
      <c r="BT69" s="897">
        <f t="shared" si="72"/>
        <v>40705600</v>
      </c>
      <c r="BU69" s="32">
        <f>'Analisa RAP VII'!AJ110</f>
        <v>40705600</v>
      </c>
      <c r="BV69" s="32">
        <f>'Analisa RAP VII'!AK110</f>
        <v>5763377.3599999994</v>
      </c>
      <c r="BW69" s="692">
        <f>'Analisa RAP VII'!AL110</f>
        <v>12.402634375511463</v>
      </c>
    </row>
    <row r="70" spans="1:75" ht="16" thickBot="1" x14ac:dyDescent="0.4">
      <c r="A70" s="825">
        <f t="shared" ref="A70" si="73">+A69+1</f>
        <v>6</v>
      </c>
      <c r="B70" s="49" t="s">
        <v>463</v>
      </c>
      <c r="C70" s="49"/>
      <c r="D70" s="49"/>
      <c r="E70" s="937">
        <v>428.48</v>
      </c>
      <c r="F70" s="48" t="s">
        <v>30</v>
      </c>
      <c r="G70" s="50">
        <f>'Analisa '!K380</f>
        <v>43588.45</v>
      </c>
      <c r="H70" s="864">
        <f t="shared" si="69"/>
        <v>18676779.059999999</v>
      </c>
      <c r="I70" s="873">
        <f t="shared" si="70"/>
        <v>1.3755891486337057</v>
      </c>
      <c r="J70" s="864">
        <f>'Analisa RAP VII'!K134</f>
        <v>4</v>
      </c>
      <c r="K70" s="874">
        <f>'Analisa RAP VII'!O135</f>
        <v>10</v>
      </c>
      <c r="L70" s="51">
        <f>'Analisa RAP VII'!O136</f>
        <v>5</v>
      </c>
      <c r="M70" s="51"/>
      <c r="N70" s="51"/>
      <c r="O70" s="51"/>
      <c r="P70" s="51"/>
      <c r="Q70" s="51"/>
      <c r="R70" s="51">
        <f>'Analisa RAP VII'!O138</f>
        <v>1</v>
      </c>
      <c r="S70" s="51"/>
      <c r="T70" s="51"/>
      <c r="U70" s="51"/>
      <c r="V70" s="51"/>
      <c r="W70" s="51"/>
      <c r="X70" s="51">
        <f>'Analisa RAP VII'!O140</f>
        <v>156</v>
      </c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>
        <f>'Analisa RAP VII'!O141</f>
        <v>48</v>
      </c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>
        <f>'Analisa RAP VII'!U134</f>
        <v>15780000</v>
      </c>
      <c r="BL70" s="51">
        <f>'Analisa RAP VII'!W134</f>
        <v>2896779.0599999987</v>
      </c>
      <c r="BM70" s="864">
        <f>'Analisa RAP VII'!X134</f>
        <v>15.510056903783918</v>
      </c>
      <c r="BN70" s="874">
        <f>'Analisa RAP VII'!Z134</f>
        <v>12000</v>
      </c>
      <c r="BO70" s="897">
        <f t="shared" si="71"/>
        <v>5141760</v>
      </c>
      <c r="BP70" s="51">
        <f>'Analisa RAP VII'!AC134</f>
        <v>15821760</v>
      </c>
      <c r="BQ70" s="51">
        <f>'Analisa RAP VII'!AD134</f>
        <v>2855019.0599999987</v>
      </c>
      <c r="BR70" s="51">
        <f>'Analisa RAP VII'!AE134</f>
        <v>15.286463746388607</v>
      </c>
      <c r="BS70" s="51">
        <f>'Analisa RAP VII'!AG134</f>
        <v>35000</v>
      </c>
      <c r="BT70" s="897">
        <f t="shared" si="72"/>
        <v>14996800</v>
      </c>
      <c r="BU70" s="51">
        <f>'Analisa RAP VII'!AJ134</f>
        <v>14996800</v>
      </c>
      <c r="BV70" s="51">
        <f>'Analisa RAP VII'!AK134</f>
        <v>3679979.0599999987</v>
      </c>
      <c r="BW70" s="864">
        <f>'Analisa RAP VII'!AL134</f>
        <v>19.703499453400926</v>
      </c>
    </row>
    <row r="71" spans="1:75" ht="16" thickBot="1" x14ac:dyDescent="0.4">
      <c r="A71" s="1136" t="s">
        <v>298</v>
      </c>
      <c r="B71" s="1137"/>
      <c r="C71" s="1137"/>
      <c r="D71" s="1137"/>
      <c r="E71" s="1137"/>
      <c r="F71" s="1137"/>
      <c r="G71" s="1138"/>
      <c r="H71" s="772">
        <f>SUM(H65:H70)</f>
        <v>155190558.43000001</v>
      </c>
      <c r="I71" s="774">
        <f>SUM(I65:I70)</f>
        <v>11.430153318241002</v>
      </c>
      <c r="J71" s="772">
        <v>0</v>
      </c>
      <c r="K71" s="778">
        <f>SUM(K65:K70)</f>
        <v>78</v>
      </c>
      <c r="L71" s="771">
        <f>SUM(L65:L70)</f>
        <v>5</v>
      </c>
      <c r="M71" s="771">
        <f t="shared" ref="M71:BJ71" si="74">SUM(M65:M70)</f>
        <v>0</v>
      </c>
      <c r="N71" s="771">
        <f t="shared" si="74"/>
        <v>57</v>
      </c>
      <c r="O71" s="771">
        <f t="shared" si="74"/>
        <v>0</v>
      </c>
      <c r="P71" s="771">
        <f t="shared" si="74"/>
        <v>0</v>
      </c>
      <c r="Q71" s="771">
        <f t="shared" si="74"/>
        <v>0</v>
      </c>
      <c r="R71" s="771">
        <f t="shared" si="74"/>
        <v>6</v>
      </c>
      <c r="S71" s="771">
        <f t="shared" si="74"/>
        <v>0</v>
      </c>
      <c r="T71" s="771">
        <f t="shared" si="74"/>
        <v>0</v>
      </c>
      <c r="U71" s="771">
        <f t="shared" si="74"/>
        <v>0</v>
      </c>
      <c r="V71" s="771">
        <f t="shared" si="74"/>
        <v>0</v>
      </c>
      <c r="W71" s="771">
        <f t="shared" si="74"/>
        <v>0</v>
      </c>
      <c r="X71" s="771">
        <f t="shared" si="74"/>
        <v>156</v>
      </c>
      <c r="Y71" s="771">
        <f t="shared" si="74"/>
        <v>0</v>
      </c>
      <c r="Z71" s="771">
        <f t="shared" si="74"/>
        <v>0</v>
      </c>
      <c r="AA71" s="771">
        <f t="shared" si="74"/>
        <v>0</v>
      </c>
      <c r="AB71" s="771">
        <f t="shared" si="74"/>
        <v>0</v>
      </c>
      <c r="AC71" s="771">
        <f t="shared" si="74"/>
        <v>0</v>
      </c>
      <c r="AD71" s="771">
        <f t="shared" si="74"/>
        <v>0</v>
      </c>
      <c r="AE71" s="771">
        <f t="shared" si="74"/>
        <v>0</v>
      </c>
      <c r="AF71" s="771">
        <f t="shared" si="74"/>
        <v>429</v>
      </c>
      <c r="AG71" s="771">
        <f t="shared" si="74"/>
        <v>429</v>
      </c>
      <c r="AH71" s="771">
        <f t="shared" si="74"/>
        <v>854</v>
      </c>
      <c r="AI71" s="771">
        <f t="shared" si="74"/>
        <v>1013</v>
      </c>
      <c r="AJ71" s="771">
        <f t="shared" si="74"/>
        <v>0</v>
      </c>
      <c r="AK71" s="771">
        <f t="shared" si="74"/>
        <v>0</v>
      </c>
      <c r="AL71" s="771">
        <f t="shared" si="74"/>
        <v>0</v>
      </c>
      <c r="AM71" s="771">
        <f t="shared" si="74"/>
        <v>0</v>
      </c>
      <c r="AN71" s="771">
        <f t="shared" si="74"/>
        <v>0</v>
      </c>
      <c r="AO71" s="771">
        <f t="shared" si="74"/>
        <v>0</v>
      </c>
      <c r="AP71" s="771">
        <f t="shared" si="74"/>
        <v>0</v>
      </c>
      <c r="AQ71" s="771">
        <f t="shared" si="74"/>
        <v>0</v>
      </c>
      <c r="AR71" s="771">
        <f t="shared" si="74"/>
        <v>45</v>
      </c>
      <c r="AS71" s="771">
        <f t="shared" si="74"/>
        <v>400</v>
      </c>
      <c r="AT71" s="771">
        <f t="shared" si="74"/>
        <v>16</v>
      </c>
      <c r="AU71" s="771">
        <f t="shared" si="74"/>
        <v>0</v>
      </c>
      <c r="AV71" s="771">
        <f t="shared" si="74"/>
        <v>14</v>
      </c>
      <c r="AW71" s="771">
        <f t="shared" si="74"/>
        <v>66</v>
      </c>
      <c r="AX71" s="771">
        <f t="shared" si="74"/>
        <v>0</v>
      </c>
      <c r="AY71" s="771">
        <f t="shared" si="74"/>
        <v>0</v>
      </c>
      <c r="AZ71" s="771">
        <f t="shared" si="74"/>
        <v>0</v>
      </c>
      <c r="BA71" s="771">
        <f t="shared" si="74"/>
        <v>0</v>
      </c>
      <c r="BB71" s="771">
        <f t="shared" si="74"/>
        <v>0</v>
      </c>
      <c r="BC71" s="771">
        <f t="shared" si="74"/>
        <v>0</v>
      </c>
      <c r="BD71" s="771">
        <f t="shared" si="74"/>
        <v>0</v>
      </c>
      <c r="BE71" s="771">
        <f t="shared" si="74"/>
        <v>0</v>
      </c>
      <c r="BF71" s="771">
        <f t="shared" si="74"/>
        <v>0</v>
      </c>
      <c r="BG71" s="771">
        <f t="shared" si="74"/>
        <v>0</v>
      </c>
      <c r="BH71" s="771">
        <f t="shared" si="74"/>
        <v>0</v>
      </c>
      <c r="BI71" s="771">
        <f t="shared" si="74"/>
        <v>0</v>
      </c>
      <c r="BJ71" s="771">
        <f t="shared" si="74"/>
        <v>0</v>
      </c>
      <c r="BK71" s="771">
        <f>SUM(BK65:BK70)</f>
        <v>135796500</v>
      </c>
      <c r="BL71" s="771">
        <f>SUM(BL65:BL70)</f>
        <v>19394058.429999992</v>
      </c>
      <c r="BM71" s="772">
        <f>BL71/H71*100</f>
        <v>12.49693191789618</v>
      </c>
      <c r="BN71" s="778">
        <v>0</v>
      </c>
      <c r="BO71" s="1005">
        <f>SUM(BO65:BO70)</f>
        <v>50778580.799999997</v>
      </c>
      <c r="BP71" s="771">
        <f>SUM(BP65:BP70)</f>
        <v>131490080.8</v>
      </c>
      <c r="BQ71" s="771">
        <f>SUM(BQ65:BQ70)</f>
        <v>23700477.629999995</v>
      </c>
      <c r="BR71" s="772">
        <f>BQ71/H71*100</f>
        <v>15.271855369146245</v>
      </c>
      <c r="BS71" s="771">
        <v>0</v>
      </c>
      <c r="BT71" s="1005">
        <f>SUM(BT65:BT70)</f>
        <v>132362883.19999999</v>
      </c>
      <c r="BU71" s="771">
        <f>SUM(BU65:BU70)</f>
        <v>132362883.19999999</v>
      </c>
      <c r="BV71" s="771">
        <f>SUM(BV65:BV70)</f>
        <v>22827675.229999997</v>
      </c>
      <c r="BW71" s="772">
        <f>BV71/H71*100</f>
        <v>14.709448474790179</v>
      </c>
    </row>
    <row r="72" spans="1:75" x14ac:dyDescent="0.35">
      <c r="A72" s="947" t="s">
        <v>42</v>
      </c>
      <c r="B72" s="1149" t="s">
        <v>192</v>
      </c>
      <c r="C72" s="1150"/>
      <c r="D72" s="1150"/>
      <c r="E72" s="806"/>
      <c r="F72" s="806"/>
      <c r="G72" s="806"/>
      <c r="H72" s="948"/>
      <c r="I72" s="949"/>
      <c r="J72" s="948"/>
      <c r="K72" s="949"/>
      <c r="L72" s="950"/>
      <c r="M72" s="950"/>
      <c r="N72" s="950"/>
      <c r="O72" s="950"/>
      <c r="P72" s="950"/>
      <c r="Q72" s="950"/>
      <c r="R72" s="950"/>
      <c r="S72" s="950"/>
      <c r="T72" s="950"/>
      <c r="U72" s="950"/>
      <c r="V72" s="950"/>
      <c r="W72" s="950"/>
      <c r="X72" s="950"/>
      <c r="Y72" s="950"/>
      <c r="Z72" s="950"/>
      <c r="AA72" s="950"/>
      <c r="AB72" s="950"/>
      <c r="AC72" s="950"/>
      <c r="AD72" s="950"/>
      <c r="AE72" s="950"/>
      <c r="AF72" s="950"/>
      <c r="AG72" s="950"/>
      <c r="AH72" s="950"/>
      <c r="AI72" s="950"/>
      <c r="AJ72" s="950"/>
      <c r="AK72" s="950"/>
      <c r="AL72" s="950"/>
      <c r="AM72" s="950"/>
      <c r="AN72" s="950"/>
      <c r="AO72" s="950"/>
      <c r="AP72" s="950"/>
      <c r="AQ72" s="950"/>
      <c r="AR72" s="950"/>
      <c r="AS72" s="950"/>
      <c r="AT72" s="950"/>
      <c r="AU72" s="950"/>
      <c r="AV72" s="950"/>
      <c r="AW72" s="950"/>
      <c r="AX72" s="950"/>
      <c r="AY72" s="950"/>
      <c r="AZ72" s="950"/>
      <c r="BA72" s="950"/>
      <c r="BB72" s="950"/>
      <c r="BC72" s="950"/>
      <c r="BD72" s="950"/>
      <c r="BE72" s="950"/>
      <c r="BF72" s="950"/>
      <c r="BG72" s="950"/>
      <c r="BH72" s="950"/>
      <c r="BI72" s="950"/>
      <c r="BJ72" s="950"/>
      <c r="BK72" s="950"/>
      <c r="BL72" s="950"/>
      <c r="BM72" s="948"/>
      <c r="BN72" s="949"/>
      <c r="BO72" s="1001"/>
      <c r="BP72" s="950"/>
      <c r="BQ72" s="950"/>
      <c r="BR72" s="948"/>
      <c r="BS72" s="949"/>
      <c r="BT72" s="1001"/>
      <c r="BU72" s="950"/>
      <c r="BV72" s="950"/>
      <c r="BW72" s="948"/>
    </row>
    <row r="73" spans="1:75" x14ac:dyDescent="0.35">
      <c r="A73" s="691">
        <v>1</v>
      </c>
      <c r="B73" s="41" t="s">
        <v>274</v>
      </c>
      <c r="C73" s="41"/>
      <c r="D73" s="41"/>
      <c r="E73" s="86">
        <v>127.60000000000001</v>
      </c>
      <c r="F73" s="16" t="s">
        <v>31</v>
      </c>
      <c r="G73" s="47">
        <f>'Analisa '!K408</f>
        <v>164949.67499999999</v>
      </c>
      <c r="H73" s="692">
        <f t="shared" ref="H73:H79" si="75">ROUND(E73*G73,2)</f>
        <v>21047578.530000001</v>
      </c>
      <c r="I73" s="711">
        <f t="shared" ref="I73:I79" si="76">H73/$H$86*100</f>
        <v>1.5502041619634477</v>
      </c>
      <c r="J73" s="692">
        <f>'Analisa RAP VIII'!K18</f>
        <v>3</v>
      </c>
      <c r="K73" s="717">
        <f>'Analisa RAP VIII'!O19</f>
        <v>2</v>
      </c>
      <c r="L73" s="32"/>
      <c r="M73" s="32"/>
      <c r="N73" s="32">
        <f>'Analisa RAP VIII'!O20</f>
        <v>2</v>
      </c>
      <c r="O73" s="32"/>
      <c r="P73" s="32"/>
      <c r="Q73" s="32"/>
      <c r="R73" s="32">
        <f>'Analisa RAP VIII'!O22</f>
        <v>1</v>
      </c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>
        <f>'Analisa RAP VIII'!O24</f>
        <v>35</v>
      </c>
      <c r="AK73" s="32"/>
      <c r="AL73" s="32"/>
      <c r="AM73" s="32"/>
      <c r="AN73" s="32"/>
      <c r="AO73" s="32"/>
      <c r="AP73" s="32">
        <f>'Analisa RAP VIII'!O26</f>
        <v>8</v>
      </c>
      <c r="AQ73" s="32"/>
      <c r="AR73" s="32"/>
      <c r="AS73" s="32"/>
      <c r="AT73" s="32"/>
      <c r="AU73" s="32"/>
      <c r="AV73" s="32"/>
      <c r="AW73" s="32"/>
      <c r="AX73" s="32">
        <f>'Analisa RAP VIII'!O25</f>
        <v>255</v>
      </c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>
        <f>'Analisa RAP VIII'!U18</f>
        <v>19244000</v>
      </c>
      <c r="BL73" s="32">
        <f>'Analisa RAP VIII'!W18</f>
        <v>1803578.5300000012</v>
      </c>
      <c r="BM73" s="692">
        <f>'Analisa RAP VIII'!X18</f>
        <v>8.5690547605240415</v>
      </c>
      <c r="BN73" s="717">
        <f>'Analisa RAP VIII'!Z18</f>
        <v>9500</v>
      </c>
      <c r="BO73" s="897">
        <f>E73*BN73</f>
        <v>1212200</v>
      </c>
      <c r="BP73" s="32">
        <f>'Analisa RAP VIII'!AC18</f>
        <v>19196200</v>
      </c>
      <c r="BQ73" s="32">
        <f>'Analisa RAP VIII'!AD18</f>
        <v>1851378.5300000012</v>
      </c>
      <c r="BR73" s="692">
        <f>'Analisa RAP VIII'!AE18</f>
        <v>8.7961592701086886</v>
      </c>
      <c r="BS73" s="717">
        <f>'Analisa RAP VIII'!AG18</f>
        <v>150000</v>
      </c>
      <c r="BT73" s="897">
        <f>E73*BS73</f>
        <v>19140000</v>
      </c>
      <c r="BU73" s="32">
        <f>'Analisa RAP VIII'!AJ18</f>
        <v>19140000</v>
      </c>
      <c r="BV73" s="32">
        <f>'Analisa RAP VIII'!AK18</f>
        <v>1907578.5300000012</v>
      </c>
      <c r="BW73" s="692">
        <f>'Analisa RAP VIII'!AL18</f>
        <v>9.0631733587835246</v>
      </c>
    </row>
    <row r="74" spans="1:75" x14ac:dyDescent="0.35">
      <c r="A74" s="691">
        <f t="shared" ref="A74:A75" si="77">+A73+1</f>
        <v>2</v>
      </c>
      <c r="B74" s="41" t="s">
        <v>275</v>
      </c>
      <c r="C74" s="41"/>
      <c r="D74" s="41"/>
      <c r="E74" s="86">
        <v>543.95000000000005</v>
      </c>
      <c r="F74" s="16" t="s">
        <v>31</v>
      </c>
      <c r="G74" s="47">
        <f>'Analisa '!K408</f>
        <v>164949.67499999999</v>
      </c>
      <c r="H74" s="692">
        <f t="shared" si="75"/>
        <v>89724375.719999999</v>
      </c>
      <c r="I74" s="711">
        <f t="shared" si="76"/>
        <v>6.6084134320945136</v>
      </c>
      <c r="J74" s="692">
        <f>'Analisa RAP VIII'!K41</f>
        <v>4</v>
      </c>
      <c r="K74" s="717">
        <f>'Analisa RAP VIII'!O42</f>
        <v>6</v>
      </c>
      <c r="L74" s="32"/>
      <c r="M74" s="32"/>
      <c r="N74" s="32">
        <f>'Analisa RAP VIII'!O43</f>
        <v>6</v>
      </c>
      <c r="O74" s="32"/>
      <c r="P74" s="32"/>
      <c r="Q74" s="32"/>
      <c r="R74" s="32">
        <f>'Analisa RAP VIII'!O45</f>
        <v>1</v>
      </c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>
        <f>'Analisa RAP VIII'!O47</f>
        <v>150</v>
      </c>
      <c r="AK74" s="32"/>
      <c r="AL74" s="32"/>
      <c r="AM74" s="32"/>
      <c r="AN74" s="32"/>
      <c r="AO74" s="32"/>
      <c r="AP74" s="32">
        <f>'Analisa RAP VIII'!O49</f>
        <v>33</v>
      </c>
      <c r="AQ74" s="32"/>
      <c r="AR74" s="32"/>
      <c r="AS74" s="32"/>
      <c r="AT74" s="32"/>
      <c r="AU74" s="32"/>
      <c r="AV74" s="32"/>
      <c r="AW74" s="32"/>
      <c r="AX74" s="32">
        <f>'Analisa RAP VIII'!O48</f>
        <v>1088</v>
      </c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>
        <f>'Analisa RAP VIII'!U41</f>
        <v>81265400</v>
      </c>
      <c r="BL74" s="32">
        <f>'Analisa RAP VIII'!W41</f>
        <v>8458975.7199999988</v>
      </c>
      <c r="BM74" s="692">
        <f>'Analisa RAP VIII'!X41</f>
        <v>9.4277342718969201</v>
      </c>
      <c r="BN74" s="717">
        <f>'Analisa RAP VIII'!Z41</f>
        <v>9500</v>
      </c>
      <c r="BO74" s="897">
        <f t="shared" ref="BO74:BO79" si="78">E74*BN74</f>
        <v>5167525</v>
      </c>
      <c r="BP74" s="32">
        <f>'Analisa RAP VIII'!AC41</f>
        <v>82192925</v>
      </c>
      <c r="BQ74" s="32">
        <f>'Analisa RAP VIII'!AD41</f>
        <v>7531450.7199999988</v>
      </c>
      <c r="BR74" s="692">
        <f>'Analisa RAP VIII'!AE41</f>
        <v>8.3939850899639108</v>
      </c>
      <c r="BS74" s="717">
        <f>'Analisa RAP VIII'!AG41</f>
        <v>150000</v>
      </c>
      <c r="BT74" s="897">
        <f t="shared" ref="BT74:BT79" si="79">E74*BS74</f>
        <v>81592500</v>
      </c>
      <c r="BU74" s="32">
        <f>'Analisa RAP VIII'!AJ41</f>
        <v>81592500</v>
      </c>
      <c r="BV74" s="32">
        <f>'Analisa RAP VIII'!AK41</f>
        <v>8131875.7199999988</v>
      </c>
      <c r="BW74" s="692">
        <f>'Analisa RAP VIII'!AL41</f>
        <v>9.0631733625841928</v>
      </c>
    </row>
    <row r="75" spans="1:75" x14ac:dyDescent="0.35">
      <c r="A75" s="691">
        <f t="shared" si="77"/>
        <v>3</v>
      </c>
      <c r="B75" s="41" t="s">
        <v>283</v>
      </c>
      <c r="C75" s="41"/>
      <c r="D75" s="41"/>
      <c r="E75" s="86">
        <v>26.256</v>
      </c>
      <c r="F75" s="16" t="s">
        <v>30</v>
      </c>
      <c r="G75" s="47">
        <f>'Analisa '!K435</f>
        <v>1230362</v>
      </c>
      <c r="H75" s="692">
        <f t="shared" si="75"/>
        <v>32304384.670000002</v>
      </c>
      <c r="I75" s="711">
        <f t="shared" si="76"/>
        <v>2.3792946772344075</v>
      </c>
      <c r="J75" s="692">
        <f>'Analisa RAP VIII'!K64</f>
        <v>2</v>
      </c>
      <c r="K75" s="717">
        <f>'Analisa RAP VIII'!O65</f>
        <v>2</v>
      </c>
      <c r="L75" s="32"/>
      <c r="M75" s="32"/>
      <c r="N75" s="32">
        <f>'Analisa RAP VIII'!O66</f>
        <v>2</v>
      </c>
      <c r="O75" s="32"/>
      <c r="P75" s="32"/>
      <c r="Q75" s="32"/>
      <c r="R75" s="32">
        <f>'Analisa RAP VIII'!O68</f>
        <v>1</v>
      </c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>
        <f>'Analisa RAP VIII'!O70</f>
        <v>29</v>
      </c>
      <c r="AL75" s="32">
        <f>'Analisa RAP VIII'!O71</f>
        <v>30</v>
      </c>
      <c r="AM75" s="32"/>
      <c r="AN75" s="32"/>
      <c r="AO75" s="32"/>
      <c r="AP75" s="32">
        <f>'Analisa RAP VIII'!O72</f>
        <v>7</v>
      </c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>
        <f>'Analisa RAP VIII'!U64</f>
        <v>28335000</v>
      </c>
      <c r="BL75" s="32">
        <f>'Analisa RAP VIII'!W64</f>
        <v>3969384.6700000018</v>
      </c>
      <c r="BM75" s="692">
        <f>'Analisa RAP VIII'!X64</f>
        <v>12.287448625159037</v>
      </c>
      <c r="BN75" s="717">
        <f>'Analisa RAP VIII'!Z64</f>
        <v>25000</v>
      </c>
      <c r="BO75" s="897">
        <f t="shared" si="78"/>
        <v>656400</v>
      </c>
      <c r="BP75" s="32">
        <f>'Analisa RAP VIII'!AC64</f>
        <v>28151400</v>
      </c>
      <c r="BQ75" s="32">
        <f>'Analisa RAP VIII'!AD64</f>
        <v>4152984.6700000018</v>
      </c>
      <c r="BR75" s="692">
        <f>'Analisa RAP VIII'!AE64</f>
        <v>12.855792526073834</v>
      </c>
      <c r="BS75" s="717">
        <f>'Analisa RAP VIII'!AG64</f>
        <v>1000000</v>
      </c>
      <c r="BT75" s="897">
        <f t="shared" si="79"/>
        <v>26256000</v>
      </c>
      <c r="BU75" s="32">
        <f>'Analisa RAP VIII'!AJ64</f>
        <v>26256000</v>
      </c>
      <c r="BV75" s="32">
        <f>'Analisa RAP VIII'!AK64</f>
        <v>6048384.6700000018</v>
      </c>
      <c r="BW75" s="692">
        <f>'Analisa RAP VIII'!AL64</f>
        <v>18.723107503164837</v>
      </c>
    </row>
    <row r="76" spans="1:75" x14ac:dyDescent="0.35">
      <c r="A76" s="691">
        <v>4</v>
      </c>
      <c r="B76" s="41" t="s">
        <v>277</v>
      </c>
      <c r="C76" s="41"/>
      <c r="D76" s="41"/>
      <c r="E76" s="86">
        <v>156.60000000000002</v>
      </c>
      <c r="F76" s="16" t="s">
        <v>30</v>
      </c>
      <c r="G76" s="47">
        <f>G75</f>
        <v>1230362</v>
      </c>
      <c r="H76" s="692">
        <f>ROUND(E76*G76,2)</f>
        <v>192674689.19999999</v>
      </c>
      <c r="I76" s="711">
        <f t="shared" si="76"/>
        <v>14.19094860138544</v>
      </c>
      <c r="J76" s="692">
        <f>'Analisa RAP VIII'!K87</f>
        <v>6</v>
      </c>
      <c r="K76" s="717">
        <f>'Analisa RAP VIII'!O88</f>
        <v>3</v>
      </c>
      <c r="L76" s="32"/>
      <c r="M76" s="32"/>
      <c r="N76" s="32">
        <f>'Analisa RAP VIII'!O89</f>
        <v>3</v>
      </c>
      <c r="O76" s="32"/>
      <c r="P76" s="32"/>
      <c r="Q76" s="32"/>
      <c r="R76" s="32">
        <f>'Analisa RAP VIII'!O91</f>
        <v>1</v>
      </c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>
        <f>'Analisa RAP VIII'!O93</f>
        <v>173</v>
      </c>
      <c r="AL76" s="32">
        <f>'Analisa RAP VIII'!O94</f>
        <v>177</v>
      </c>
      <c r="AM76" s="32"/>
      <c r="AN76" s="32"/>
      <c r="AO76" s="32"/>
      <c r="AP76" s="32">
        <f>'Analisa RAP VIII'!O95</f>
        <v>43</v>
      </c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>
        <f>'Analisa RAP VIII'!U87</f>
        <v>166710000</v>
      </c>
      <c r="BL76" s="32">
        <f>'Analisa RAP VIII'!W87</f>
        <v>25964689.199999988</v>
      </c>
      <c r="BM76" s="692">
        <f>'Analisa RAP VIII'!X87</f>
        <v>13.475921153840892</v>
      </c>
      <c r="BN76" s="717">
        <f>'Analisa RAP VIII'!Z87</f>
        <v>25000</v>
      </c>
      <c r="BO76" s="897">
        <f t="shared" si="78"/>
        <v>3915000.0000000005</v>
      </c>
      <c r="BP76" s="32">
        <f>'Analisa RAP VIII'!AC87</f>
        <v>167145000</v>
      </c>
      <c r="BQ76" s="32">
        <f>'Analisa RAP VIII'!AD87</f>
        <v>25529689.199999988</v>
      </c>
      <c r="BR76" s="692">
        <f>'Analisa RAP VIII'!AE87</f>
        <v>13.250152008030325</v>
      </c>
      <c r="BS76" s="717">
        <f>'Analisa RAP VIII'!AG87</f>
        <v>1000000</v>
      </c>
      <c r="BT76" s="897">
        <f t="shared" si="79"/>
        <v>156600000.00000003</v>
      </c>
      <c r="BU76" s="32">
        <f>'Analisa RAP VIII'!AJ87</f>
        <v>156600000.00000003</v>
      </c>
      <c r="BV76" s="32">
        <f>'Analisa RAP VIII'!AK87</f>
        <v>36074689.199999958</v>
      </c>
      <c r="BW76" s="692">
        <f>'Analisa RAP VIII'!AL87</f>
        <v>18.723107508196755</v>
      </c>
    </row>
    <row r="77" spans="1:75" x14ac:dyDescent="0.35">
      <c r="A77" s="691">
        <v>5</v>
      </c>
      <c r="B77" s="41" t="s">
        <v>276</v>
      </c>
      <c r="C77" s="41"/>
      <c r="D77" s="41"/>
      <c r="E77" s="86">
        <v>12.777600000000003</v>
      </c>
      <c r="F77" s="16" t="s">
        <v>30</v>
      </c>
      <c r="G77" s="47">
        <f>'Analisa '!K422</f>
        <v>775898.67500000005</v>
      </c>
      <c r="H77" s="692">
        <f t="shared" si="75"/>
        <v>9914122.9100000001</v>
      </c>
      <c r="I77" s="711">
        <f t="shared" si="76"/>
        <v>0.73019870553722865</v>
      </c>
      <c r="J77" s="692">
        <f>'Analisa RAP VIII'!K110</f>
        <v>1</v>
      </c>
      <c r="K77" s="717">
        <f>'Analisa RAP VIII'!O111</f>
        <v>1</v>
      </c>
      <c r="L77" s="32"/>
      <c r="M77" s="32"/>
      <c r="N77" s="32">
        <f>'Analisa RAP VIII'!O112</f>
        <v>1</v>
      </c>
      <c r="O77" s="32"/>
      <c r="P77" s="32"/>
      <c r="Q77" s="32"/>
      <c r="R77" s="32">
        <f>'Analisa RAP VIII'!O114</f>
        <v>1</v>
      </c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>
        <f>'Analisa RAP VIII'!O116</f>
        <v>15</v>
      </c>
      <c r="AL77" s="32"/>
      <c r="AM77" s="32">
        <f>'Analisa RAP VIII'!O117</f>
        <v>47</v>
      </c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>
        <f>'Analisa RAP VIII'!U110</f>
        <v>9405000</v>
      </c>
      <c r="BL77" s="32">
        <f>'Analisa RAP VIII'!W110</f>
        <v>509122.91000000015</v>
      </c>
      <c r="BM77" s="692">
        <f>'Analisa RAP VIII'!X110</f>
        <v>5.1353298180968396</v>
      </c>
      <c r="BN77" s="717">
        <f>'Analisa RAP VIII'!Z110</f>
        <v>25000</v>
      </c>
      <c r="BO77" s="897">
        <f t="shared" si="78"/>
        <v>319440.00000000006</v>
      </c>
      <c r="BP77" s="32">
        <f>'Analisa RAP VIII'!AC110</f>
        <v>9464440</v>
      </c>
      <c r="BQ77" s="32">
        <f>'Analisa RAP VIII'!AD110</f>
        <v>449682.91000000015</v>
      </c>
      <c r="BR77" s="692">
        <f>'Analisa RAP VIII'!AE110</f>
        <v>4.5357810678988262</v>
      </c>
      <c r="BS77" s="717">
        <f>'Analisa RAP VIII'!AG110</f>
        <v>725000</v>
      </c>
      <c r="BT77" s="897">
        <f t="shared" si="79"/>
        <v>9263760.0000000019</v>
      </c>
      <c r="BU77" s="32">
        <f>'Analisa RAP VIII'!AJ110</f>
        <v>9263760.0000000019</v>
      </c>
      <c r="BV77" s="32">
        <f>'Analisa RAP VIII'!AK110</f>
        <v>650362.90999999829</v>
      </c>
      <c r="BW77" s="692">
        <f>'Analisa RAP VIII'!AL110</f>
        <v>6.5599641632846994</v>
      </c>
    </row>
    <row r="78" spans="1:75" x14ac:dyDescent="0.35">
      <c r="A78" s="825">
        <v>6</v>
      </c>
      <c r="B78" s="49" t="s">
        <v>278</v>
      </c>
      <c r="C78" s="49"/>
      <c r="D78" s="49"/>
      <c r="E78" s="87">
        <v>55.678200000000011</v>
      </c>
      <c r="F78" s="48" t="s">
        <v>30</v>
      </c>
      <c r="G78" s="50">
        <f>'Analisa '!K462</f>
        <v>172364.875</v>
      </c>
      <c r="H78" s="864">
        <f t="shared" si="75"/>
        <v>9596965.9800000004</v>
      </c>
      <c r="I78" s="711">
        <f t="shared" si="76"/>
        <v>0.70683934416552652</v>
      </c>
      <c r="J78" s="692">
        <f>'Analisa RAP VIII'!K156</f>
        <v>2</v>
      </c>
      <c r="K78" s="717">
        <f>'Analisa RAP VIII'!O157</f>
        <v>1</v>
      </c>
      <c r="L78" s="32"/>
      <c r="M78" s="32"/>
      <c r="N78" s="32">
        <f>'Analisa RAP VIII'!O158</f>
        <v>4</v>
      </c>
      <c r="O78" s="32"/>
      <c r="P78" s="32"/>
      <c r="Q78" s="32"/>
      <c r="R78" s="32">
        <f>'Analisa RAP VIII'!O160</f>
        <v>1</v>
      </c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>
        <f>'Analisa RAP VIII'!O162</f>
        <v>62</v>
      </c>
      <c r="AP78" s="32">
        <f>'Analisa RAP VIII'!O163</f>
        <v>3</v>
      </c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>
        <f>'Analisa RAP VIII'!U156</f>
        <v>8265000</v>
      </c>
      <c r="BL78" s="32">
        <f>'Analisa RAP VIII'!W156</f>
        <v>1331965.9800000004</v>
      </c>
      <c r="BM78" s="692">
        <f>'Analisa RAP VIII'!X156</f>
        <v>13.879032006321651</v>
      </c>
      <c r="BN78" s="717">
        <f>'Analisa RAP VIII'!Z156</f>
        <v>16000</v>
      </c>
      <c r="BO78" s="897">
        <f t="shared" si="78"/>
        <v>890851.20000000019</v>
      </c>
      <c r="BP78" s="32">
        <f>'Analisa RAP VIII'!AC156</f>
        <v>8125851.2000000002</v>
      </c>
      <c r="BQ78" s="32">
        <f>'Analisa RAP VIII'!AD156</f>
        <v>1471114.7800000003</v>
      </c>
      <c r="BR78" s="692">
        <f>'Analisa RAP VIII'!AE156</f>
        <v>15.328956912692945</v>
      </c>
      <c r="BS78" s="717">
        <f>'Analisa RAP VIII'!AG156</f>
        <v>125000</v>
      </c>
      <c r="BT78" s="897">
        <f t="shared" si="79"/>
        <v>6959775.0000000009</v>
      </c>
      <c r="BU78" s="32">
        <f>'Analisa RAP VIII'!AJ156</f>
        <v>6959775.0000000009</v>
      </c>
      <c r="BV78" s="32">
        <f>'Analisa RAP VIII'!AK156</f>
        <v>2637190.9799999995</v>
      </c>
      <c r="BW78" s="692">
        <f>'Analisa RAP VIII'!AL156</f>
        <v>27.479424075232572</v>
      </c>
    </row>
    <row r="79" spans="1:75" ht="16" thickBot="1" x14ac:dyDescent="0.4">
      <c r="A79" s="825">
        <v>7</v>
      </c>
      <c r="B79" s="49" t="s">
        <v>469</v>
      </c>
      <c r="C79" s="49"/>
      <c r="D79" s="49"/>
      <c r="E79" s="87">
        <v>152.84880000000004</v>
      </c>
      <c r="F79" s="48" t="s">
        <v>30</v>
      </c>
      <c r="G79" s="50">
        <f>'Analisa '!K449</f>
        <v>147064.875</v>
      </c>
      <c r="H79" s="864">
        <f t="shared" si="75"/>
        <v>22478689.670000002</v>
      </c>
      <c r="I79" s="873">
        <f t="shared" si="76"/>
        <v>1.6556088973489511</v>
      </c>
      <c r="J79" s="864">
        <f>'Analisa RAP VIII'!K133</f>
        <v>3</v>
      </c>
      <c r="K79" s="874">
        <f>'Analisa RAP VIII'!O134</f>
        <v>1</v>
      </c>
      <c r="L79" s="51"/>
      <c r="M79" s="51"/>
      <c r="N79" s="51">
        <f>'Analisa RAP VIII'!O135</f>
        <v>8</v>
      </c>
      <c r="O79" s="51"/>
      <c r="P79" s="51"/>
      <c r="Q79" s="51"/>
      <c r="R79" s="51">
        <f>'Analisa RAP VIII'!O137</f>
        <v>1</v>
      </c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>
        <f>'Analisa RAP VIII'!O139</f>
        <v>169</v>
      </c>
      <c r="AO79" s="51"/>
      <c r="AP79" s="51">
        <f>'Analisa RAP VIII'!O140</f>
        <v>8</v>
      </c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>
        <f>'Analisa RAP VIII'!U133</f>
        <v>19745000</v>
      </c>
      <c r="BL79" s="51">
        <f>'Analisa RAP VIII'!W133</f>
        <v>2733689.6700000018</v>
      </c>
      <c r="BM79" s="864">
        <f>'Analisa RAP VIII'!X133</f>
        <v>12.161250100126505</v>
      </c>
      <c r="BN79" s="874">
        <f>'Analisa RAP VIII'!Z133</f>
        <v>16000</v>
      </c>
      <c r="BO79" s="897">
        <f t="shared" si="78"/>
        <v>2445580.8000000007</v>
      </c>
      <c r="BP79" s="51">
        <f>'Analisa RAP VIII'!AC133</f>
        <v>19625580.800000001</v>
      </c>
      <c r="BQ79" s="51">
        <f>'Analisa RAP VIII'!AD133</f>
        <v>2853108.870000001</v>
      </c>
      <c r="BR79" s="864">
        <f>'Analisa RAP VIII'!AE133</f>
        <v>12.692505265588288</v>
      </c>
      <c r="BS79" s="874">
        <f>'Analisa RAP VIII'!AG133</f>
        <v>125000</v>
      </c>
      <c r="BT79" s="897">
        <f t="shared" si="79"/>
        <v>19106100.000000004</v>
      </c>
      <c r="BU79" s="51">
        <f>'Analisa RAP VIII'!AJ133</f>
        <v>19106100.000000004</v>
      </c>
      <c r="BV79" s="51">
        <f>'Analisa RAP VIII'!AK133</f>
        <v>3372589.6699999981</v>
      </c>
      <c r="BW79" s="864">
        <f>'Analisa RAP VIII'!AL133</f>
        <v>15.003497621576434</v>
      </c>
    </row>
    <row r="80" spans="1:75" ht="16" thickBot="1" x14ac:dyDescent="0.4">
      <c r="A80" s="1136" t="s">
        <v>299</v>
      </c>
      <c r="B80" s="1137"/>
      <c r="C80" s="1137"/>
      <c r="D80" s="1137"/>
      <c r="E80" s="1137"/>
      <c r="F80" s="1137"/>
      <c r="G80" s="1138"/>
      <c r="H80" s="772">
        <f t="shared" ref="H80:BH80" si="80">SUM(H73:H79)</f>
        <v>377740806.68000007</v>
      </c>
      <c r="I80" s="774">
        <f t="shared" si="80"/>
        <v>27.821507819729515</v>
      </c>
      <c r="J80" s="772">
        <v>0</v>
      </c>
      <c r="K80" s="778">
        <f t="shared" si="80"/>
        <v>16</v>
      </c>
      <c r="L80" s="771">
        <f t="shared" si="80"/>
        <v>0</v>
      </c>
      <c r="M80" s="771">
        <f t="shared" si="80"/>
        <v>0</v>
      </c>
      <c r="N80" s="771">
        <f t="shared" si="80"/>
        <v>26</v>
      </c>
      <c r="O80" s="771">
        <f t="shared" si="80"/>
        <v>0</v>
      </c>
      <c r="P80" s="771">
        <f t="shared" si="80"/>
        <v>0</v>
      </c>
      <c r="Q80" s="771">
        <f t="shared" si="80"/>
        <v>0</v>
      </c>
      <c r="R80" s="771">
        <f t="shared" si="80"/>
        <v>7</v>
      </c>
      <c r="S80" s="771">
        <f t="shared" si="80"/>
        <v>0</v>
      </c>
      <c r="T80" s="771">
        <f t="shared" si="80"/>
        <v>0</v>
      </c>
      <c r="U80" s="771">
        <f t="shared" si="80"/>
        <v>0</v>
      </c>
      <c r="V80" s="771">
        <f t="shared" si="80"/>
        <v>0</v>
      </c>
      <c r="W80" s="771">
        <f t="shared" si="80"/>
        <v>0</v>
      </c>
      <c r="X80" s="771">
        <f t="shared" si="80"/>
        <v>0</v>
      </c>
      <c r="Y80" s="771">
        <f t="shared" si="80"/>
        <v>0</v>
      </c>
      <c r="Z80" s="771">
        <f t="shared" si="80"/>
        <v>0</v>
      </c>
      <c r="AA80" s="771">
        <f t="shared" si="80"/>
        <v>0</v>
      </c>
      <c r="AB80" s="771">
        <f t="shared" si="80"/>
        <v>0</v>
      </c>
      <c r="AC80" s="771">
        <f t="shared" si="80"/>
        <v>0</v>
      </c>
      <c r="AD80" s="771">
        <f t="shared" si="80"/>
        <v>0</v>
      </c>
      <c r="AE80" s="771">
        <f t="shared" si="80"/>
        <v>0</v>
      </c>
      <c r="AF80" s="771">
        <f t="shared" si="80"/>
        <v>0</v>
      </c>
      <c r="AG80" s="771">
        <f t="shared" si="80"/>
        <v>0</v>
      </c>
      <c r="AH80" s="771">
        <f t="shared" si="80"/>
        <v>0</v>
      </c>
      <c r="AI80" s="771">
        <f t="shared" si="80"/>
        <v>0</v>
      </c>
      <c r="AJ80" s="771">
        <f t="shared" si="80"/>
        <v>185</v>
      </c>
      <c r="AK80" s="771">
        <f t="shared" si="80"/>
        <v>217</v>
      </c>
      <c r="AL80" s="771">
        <f t="shared" si="80"/>
        <v>207</v>
      </c>
      <c r="AM80" s="771">
        <f t="shared" si="80"/>
        <v>47</v>
      </c>
      <c r="AN80" s="771">
        <f t="shared" si="80"/>
        <v>169</v>
      </c>
      <c r="AO80" s="771">
        <f t="shared" si="80"/>
        <v>62</v>
      </c>
      <c r="AP80" s="771">
        <f t="shared" si="80"/>
        <v>102</v>
      </c>
      <c r="AQ80" s="771">
        <f t="shared" si="80"/>
        <v>0</v>
      </c>
      <c r="AR80" s="771">
        <f t="shared" si="80"/>
        <v>0</v>
      </c>
      <c r="AS80" s="771">
        <f t="shared" si="80"/>
        <v>0</v>
      </c>
      <c r="AT80" s="771">
        <f t="shared" si="80"/>
        <v>0</v>
      </c>
      <c r="AU80" s="771">
        <f t="shared" si="80"/>
        <v>0</v>
      </c>
      <c r="AV80" s="771">
        <f t="shared" si="80"/>
        <v>0</v>
      </c>
      <c r="AW80" s="771">
        <f t="shared" si="80"/>
        <v>0</v>
      </c>
      <c r="AX80" s="771">
        <f t="shared" si="80"/>
        <v>1343</v>
      </c>
      <c r="AY80" s="771">
        <f t="shared" si="80"/>
        <v>0</v>
      </c>
      <c r="AZ80" s="771">
        <f t="shared" si="80"/>
        <v>0</v>
      </c>
      <c r="BA80" s="771">
        <f t="shared" si="80"/>
        <v>0</v>
      </c>
      <c r="BB80" s="771">
        <f t="shared" si="80"/>
        <v>0</v>
      </c>
      <c r="BC80" s="771">
        <f t="shared" si="80"/>
        <v>0</v>
      </c>
      <c r="BD80" s="771">
        <f t="shared" si="80"/>
        <v>0</v>
      </c>
      <c r="BE80" s="771">
        <f t="shared" si="80"/>
        <v>0</v>
      </c>
      <c r="BF80" s="771">
        <f t="shared" si="80"/>
        <v>0</v>
      </c>
      <c r="BG80" s="771">
        <f t="shared" si="80"/>
        <v>0</v>
      </c>
      <c r="BH80" s="771">
        <f t="shared" si="80"/>
        <v>0</v>
      </c>
      <c r="BI80" s="771">
        <f>SUM(BI73:BI79)</f>
        <v>0</v>
      </c>
      <c r="BJ80" s="771">
        <f>SUM(BJ73:BJ79)</f>
        <v>0</v>
      </c>
      <c r="BK80" s="771">
        <f t="shared" ref="BK80:BV80" si="81">SUM(BK73:BK79)</f>
        <v>332969400</v>
      </c>
      <c r="BL80" s="771">
        <f t="shared" si="81"/>
        <v>44771406.679999992</v>
      </c>
      <c r="BM80" s="772">
        <f>BL80/H80*100</f>
        <v>11.852414642066382</v>
      </c>
      <c r="BN80" s="778">
        <v>0</v>
      </c>
      <c r="BO80" s="1005">
        <f>SUM(BO73:BO79)</f>
        <v>14606997</v>
      </c>
      <c r="BP80" s="771">
        <f t="shared" si="81"/>
        <v>333901397</v>
      </c>
      <c r="BQ80" s="771">
        <f t="shared" si="81"/>
        <v>43839409.679999992</v>
      </c>
      <c r="BR80" s="772">
        <f>BQ80/H80*100</f>
        <v>11.605685407755848</v>
      </c>
      <c r="BS80" s="778">
        <v>0</v>
      </c>
      <c r="BT80" s="1005">
        <f>SUM(BT73:BT79)</f>
        <v>318918135</v>
      </c>
      <c r="BU80" s="771">
        <f t="shared" si="81"/>
        <v>318918135</v>
      </c>
      <c r="BV80" s="771">
        <f t="shared" si="81"/>
        <v>58822671.679999948</v>
      </c>
      <c r="BW80" s="772">
        <f>BV80/H80*100</f>
        <v>15.572231180686568</v>
      </c>
    </row>
    <row r="81" spans="1:75" x14ac:dyDescent="0.35">
      <c r="A81" s="802" t="s">
        <v>96</v>
      </c>
      <c r="B81" s="951" t="s">
        <v>193</v>
      </c>
      <c r="C81" s="952"/>
      <c r="D81" s="953"/>
      <c r="E81" s="954"/>
      <c r="F81" s="954"/>
      <c r="G81" s="955"/>
      <c r="H81" s="957"/>
      <c r="I81" s="958"/>
      <c r="J81" s="957"/>
      <c r="K81" s="958"/>
      <c r="L81" s="955"/>
      <c r="M81" s="955"/>
      <c r="N81" s="955"/>
      <c r="O81" s="955"/>
      <c r="P81" s="955"/>
      <c r="Q81" s="955"/>
      <c r="R81" s="955"/>
      <c r="S81" s="955"/>
      <c r="T81" s="955"/>
      <c r="U81" s="955"/>
      <c r="V81" s="955"/>
      <c r="W81" s="955"/>
      <c r="X81" s="955"/>
      <c r="Y81" s="955"/>
      <c r="Z81" s="955"/>
      <c r="AA81" s="955"/>
      <c r="AB81" s="955"/>
      <c r="AC81" s="955"/>
      <c r="AD81" s="955"/>
      <c r="AE81" s="955"/>
      <c r="AF81" s="955"/>
      <c r="AG81" s="955"/>
      <c r="AH81" s="955"/>
      <c r="AI81" s="955"/>
      <c r="AJ81" s="955"/>
      <c r="AK81" s="955"/>
      <c r="AL81" s="955"/>
      <c r="AM81" s="955"/>
      <c r="AN81" s="955"/>
      <c r="AO81" s="955"/>
      <c r="AP81" s="955"/>
      <c r="AQ81" s="955"/>
      <c r="AR81" s="955"/>
      <c r="AS81" s="955"/>
      <c r="AT81" s="955"/>
      <c r="AU81" s="955"/>
      <c r="AV81" s="955"/>
      <c r="AW81" s="955"/>
      <c r="AX81" s="955"/>
      <c r="AY81" s="955"/>
      <c r="AZ81" s="955"/>
      <c r="BA81" s="955"/>
      <c r="BB81" s="955"/>
      <c r="BC81" s="955"/>
      <c r="BD81" s="955"/>
      <c r="BE81" s="955"/>
      <c r="BF81" s="955"/>
      <c r="BG81" s="955"/>
      <c r="BH81" s="955"/>
      <c r="BI81" s="955"/>
      <c r="BJ81" s="955"/>
      <c r="BK81" s="955"/>
      <c r="BL81" s="955"/>
      <c r="BM81" s="957"/>
      <c r="BN81" s="958"/>
      <c r="BO81" s="1002"/>
      <c r="BP81" s="955"/>
      <c r="BQ81" s="955"/>
      <c r="BR81" s="957"/>
      <c r="BS81" s="958"/>
      <c r="BT81" s="1002"/>
      <c r="BU81" s="955"/>
      <c r="BV81" s="955"/>
      <c r="BW81" s="957"/>
    </row>
    <row r="82" spans="1:75" x14ac:dyDescent="0.35">
      <c r="A82" s="691">
        <v>1</v>
      </c>
      <c r="B82" s="574" t="s">
        <v>470</v>
      </c>
      <c r="C82" s="575"/>
      <c r="D82" s="576"/>
      <c r="E82" s="32">
        <v>518.04999999999995</v>
      </c>
      <c r="F82" s="16" t="s">
        <v>30</v>
      </c>
      <c r="G82" s="47">
        <f>'Analisa '!K475</f>
        <v>22308.275000000001</v>
      </c>
      <c r="H82" s="956">
        <f>ROUND(E82*G82,2)</f>
        <v>11556801.859999999</v>
      </c>
      <c r="I82" s="711">
        <f>H82/$H$86*100</f>
        <v>0.85118591275587052</v>
      </c>
      <c r="J82" s="692">
        <f>'Analisa RAP IX'!K18</f>
        <v>8</v>
      </c>
      <c r="K82" s="717">
        <f>'Analisa RAP IX'!O19</f>
        <v>2</v>
      </c>
      <c r="L82" s="32"/>
      <c r="M82" s="32"/>
      <c r="N82" s="32"/>
      <c r="O82" s="32">
        <f>'Analisa RAP IX'!O20</f>
        <v>4</v>
      </c>
      <c r="P82" s="32"/>
      <c r="Q82" s="32"/>
      <c r="R82" s="32">
        <f>'Analisa RAP IX'!O22</f>
        <v>1</v>
      </c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>
        <f>'Analisa RAP IX'!O24</f>
        <v>52</v>
      </c>
      <c r="BA82" s="32">
        <f>'Analisa RAP IX'!O25</f>
        <v>2</v>
      </c>
      <c r="BB82" s="32"/>
      <c r="BC82" s="32">
        <f>'Analisa RAP IX'!O26</f>
        <v>6</v>
      </c>
      <c r="BD82" s="32"/>
      <c r="BE82" s="32"/>
      <c r="BF82" s="32"/>
      <c r="BG82" s="32"/>
      <c r="BH82" s="32"/>
      <c r="BI82" s="32"/>
      <c r="BJ82" s="32"/>
      <c r="BK82" s="32">
        <f>'Analisa RAP IX'!U18</f>
        <v>10722000</v>
      </c>
      <c r="BL82" s="32">
        <f>'Analisa RAP IX'!W18</f>
        <v>834801.8599999994</v>
      </c>
      <c r="BM82" s="692">
        <f>'Analisa RAP IX'!X18</f>
        <v>7.2234677907681926</v>
      </c>
      <c r="BN82" s="717">
        <f>'Analisa RAP IX'!Z18</f>
        <v>8000</v>
      </c>
      <c r="BO82" s="897">
        <f>E82*BN82</f>
        <v>4144399.9999999995</v>
      </c>
      <c r="BP82" s="32">
        <f>'Analisa RAP IX'!AC18</f>
        <v>10146400</v>
      </c>
      <c r="BQ82" s="32">
        <f>'Analisa RAP IX'!AD18</f>
        <v>1410401.8599999994</v>
      </c>
      <c r="BR82" s="692">
        <f>'Analisa RAP IX'!AE18</f>
        <v>12.204084461131355</v>
      </c>
      <c r="BS82" s="717">
        <f>'Analisa RAP IX'!AG18</f>
        <v>20000</v>
      </c>
      <c r="BT82" s="897">
        <f>E82*BS82</f>
        <v>10361000</v>
      </c>
      <c r="BU82" s="32">
        <f>'Analisa RAP IX'!AJ18</f>
        <v>10361000</v>
      </c>
      <c r="BV82" s="32">
        <f>'Analisa RAP IX'!AK18</f>
        <v>1195801.8599999994</v>
      </c>
      <c r="BW82" s="692">
        <f>'Analisa RAP IX'!AL18</f>
        <v>10.347169350881295</v>
      </c>
    </row>
    <row r="83" spans="1:75" x14ac:dyDescent="0.35">
      <c r="A83" s="691">
        <v>2</v>
      </c>
      <c r="B83" s="574" t="s">
        <v>471</v>
      </c>
      <c r="C83" s="575"/>
      <c r="D83" s="576"/>
      <c r="E83" s="32">
        <v>113.65</v>
      </c>
      <c r="F83" s="16" t="s">
        <v>30</v>
      </c>
      <c r="G83" s="47">
        <f>'Analisa '!K490</f>
        <v>26287.275000000001</v>
      </c>
      <c r="H83" s="956">
        <f>ROUND(E83*G83,2)</f>
        <v>2987548.8</v>
      </c>
      <c r="I83" s="711">
        <f>H83/$H$86*100</f>
        <v>0.22004006671017765</v>
      </c>
      <c r="J83" s="692">
        <f>'Analisa RAP IX'!K42</f>
        <v>4</v>
      </c>
      <c r="K83" s="717">
        <f>'Analisa RAP IX'!O43</f>
        <v>0</v>
      </c>
      <c r="L83" s="32"/>
      <c r="M83" s="32"/>
      <c r="N83" s="32"/>
      <c r="O83" s="32">
        <f>'Analisa RAP IX'!O44</f>
        <v>2</v>
      </c>
      <c r="P83" s="32"/>
      <c r="Q83" s="32"/>
      <c r="R83" s="32">
        <f>'Analisa RAP IX'!O46</f>
        <v>1</v>
      </c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>
        <f>'Analisa RAP IX'!O48</f>
        <v>11</v>
      </c>
      <c r="BA83" s="32"/>
      <c r="BB83" s="32">
        <f>'Analisa RAP IX'!O49</f>
        <v>1</v>
      </c>
      <c r="BC83" s="32"/>
      <c r="BD83" s="32"/>
      <c r="BE83" s="32">
        <f>'Analisa RAP IX'!O50</f>
        <v>1</v>
      </c>
      <c r="BF83" s="32"/>
      <c r="BG83" s="32"/>
      <c r="BH83" s="32"/>
      <c r="BI83" s="32"/>
      <c r="BJ83" s="32"/>
      <c r="BK83" s="32">
        <f>'Analisa RAP IX'!U42</f>
        <v>2921000</v>
      </c>
      <c r="BL83" s="32">
        <f>'Analisa RAP IX'!W42</f>
        <v>66548.799999999814</v>
      </c>
      <c r="BM83" s="692">
        <f>'Analisa RAP IX'!X42</f>
        <v>2.2275385091617519</v>
      </c>
      <c r="BN83" s="717">
        <f>'Analisa RAP IX'!Z42</f>
        <v>8000</v>
      </c>
      <c r="BO83" s="897">
        <f t="shared" ref="BO83:BO84" si="82">E83*BN83</f>
        <v>909200</v>
      </c>
      <c r="BP83" s="32">
        <f>'Analisa RAP IX'!AC42</f>
        <v>2750200</v>
      </c>
      <c r="BQ83" s="32">
        <f>'Analisa RAP IX'!AD42</f>
        <v>237348.79999999981</v>
      </c>
      <c r="BR83" s="692">
        <f>'Analisa RAP IX'!AE42</f>
        <v>7.9445999342337048</v>
      </c>
      <c r="BS83" s="717">
        <f>'Analisa RAP IX'!AG42</f>
        <v>25000</v>
      </c>
      <c r="BT83" s="897">
        <f t="shared" ref="BT83:BT84" si="83">E83*BS83</f>
        <v>2841250</v>
      </c>
      <c r="BU83" s="32">
        <f>'Analisa RAP IX'!AJ42</f>
        <v>2841250</v>
      </c>
      <c r="BV83" s="32">
        <f>'Analisa RAP IX'!AK42</f>
        <v>146298.79999999981</v>
      </c>
      <c r="BW83" s="692">
        <f>'Analisa RAP IX'!AL42</f>
        <v>4.89695097198077</v>
      </c>
    </row>
    <row r="84" spans="1:75" ht="16" thickBot="1" x14ac:dyDescent="0.4">
      <c r="A84" s="825">
        <v>3</v>
      </c>
      <c r="B84" s="959" t="s">
        <v>472</v>
      </c>
      <c r="C84" s="960"/>
      <c r="D84" s="961"/>
      <c r="E84" s="51">
        <v>428.48</v>
      </c>
      <c r="F84" s="48" t="s">
        <v>30</v>
      </c>
      <c r="G84" s="50">
        <f>G82</f>
        <v>22308.275000000001</v>
      </c>
      <c r="H84" s="962">
        <f>ROUND(E84*G84,2)</f>
        <v>9558649.6699999999</v>
      </c>
      <c r="I84" s="873">
        <f>H84/$H$86*100</f>
        <v>0.70401725690506478</v>
      </c>
      <c r="J84" s="864">
        <f>'Analisa RAP IX'!K66</f>
        <v>5</v>
      </c>
      <c r="K84" s="874">
        <f>'Analisa RAP IX'!O67</f>
        <v>2</v>
      </c>
      <c r="L84" s="51"/>
      <c r="M84" s="51"/>
      <c r="N84" s="51"/>
      <c r="O84" s="51">
        <f>'Analisa RAP IX'!O68</f>
        <v>6</v>
      </c>
      <c r="P84" s="51"/>
      <c r="Q84" s="51"/>
      <c r="R84" s="51">
        <f>'Analisa RAP IX'!O70</f>
        <v>1</v>
      </c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>
        <f>'Analisa RAP IX'!O72</f>
        <v>42</v>
      </c>
      <c r="BA84" s="51">
        <f>'Analisa RAP IX'!O73</f>
        <v>2</v>
      </c>
      <c r="BB84" s="51"/>
      <c r="BC84" s="51"/>
      <c r="BD84" s="51">
        <f>'Analisa RAP IX'!O74</f>
        <v>5</v>
      </c>
      <c r="BE84" s="51"/>
      <c r="BF84" s="51"/>
      <c r="BG84" s="51"/>
      <c r="BH84" s="51"/>
      <c r="BI84" s="51"/>
      <c r="BJ84" s="51"/>
      <c r="BK84" s="51">
        <f>'Analisa RAP IX'!U66</f>
        <v>8942000</v>
      </c>
      <c r="BL84" s="51">
        <f>'Analisa RAP IX'!W66</f>
        <v>616649.66999999993</v>
      </c>
      <c r="BM84" s="864">
        <f>'Analisa RAP IX'!X66</f>
        <v>6.4512215772000348</v>
      </c>
      <c r="BN84" s="874">
        <f>'Analisa RAP IX'!Z66</f>
        <v>8000</v>
      </c>
      <c r="BO84" s="897">
        <f t="shared" si="82"/>
        <v>3427840</v>
      </c>
      <c r="BP84" s="51">
        <f>'Analisa RAP IX'!AC66</f>
        <v>8569840</v>
      </c>
      <c r="BQ84" s="51">
        <f>'Analisa RAP IX'!AD66</f>
        <v>988809.66999999993</v>
      </c>
      <c r="BR84" s="864">
        <f>'Analisa RAP IX'!AE66</f>
        <v>10.34465854631536</v>
      </c>
      <c r="BS84" s="874">
        <f>'Analisa RAP IX'!AG66</f>
        <v>20000</v>
      </c>
      <c r="BT84" s="897">
        <f t="shared" si="83"/>
        <v>8569600</v>
      </c>
      <c r="BU84" s="51">
        <f>'Analisa RAP IX'!AJ66</f>
        <v>8569600</v>
      </c>
      <c r="BV84" s="51">
        <f>'Analisa RAP IX'!AK66</f>
        <v>989049.66999999993</v>
      </c>
      <c r="BW84" s="864">
        <f>'Analisa RAP IX'!AL66</f>
        <v>10.347169361213759</v>
      </c>
    </row>
    <row r="85" spans="1:75" ht="16" thickBot="1" x14ac:dyDescent="0.4">
      <c r="A85" s="1136" t="s">
        <v>300</v>
      </c>
      <c r="B85" s="1137"/>
      <c r="C85" s="1137"/>
      <c r="D85" s="1137"/>
      <c r="E85" s="1137"/>
      <c r="F85" s="1137"/>
      <c r="G85" s="1138"/>
      <c r="H85" s="772">
        <f t="shared" ref="H85:M85" si="84">SUM(H82:H84)</f>
        <v>24103000.329999998</v>
      </c>
      <c r="I85" s="774">
        <f t="shared" si="84"/>
        <v>1.775243236371113</v>
      </c>
      <c r="J85" s="772">
        <v>0</v>
      </c>
      <c r="K85" s="778">
        <f t="shared" si="84"/>
        <v>4</v>
      </c>
      <c r="L85" s="771">
        <f t="shared" si="84"/>
        <v>0</v>
      </c>
      <c r="M85" s="771">
        <f t="shared" si="84"/>
        <v>0</v>
      </c>
      <c r="N85" s="771">
        <f t="shared" ref="N85" si="85">SUM(N82:N84)</f>
        <v>0</v>
      </c>
      <c r="O85" s="771">
        <f t="shared" ref="O85" si="86">SUM(O82:O84)</f>
        <v>12</v>
      </c>
      <c r="P85" s="771">
        <f t="shared" ref="P85" si="87">SUM(P82:P84)</f>
        <v>0</v>
      </c>
      <c r="Q85" s="771">
        <f t="shared" ref="Q85" si="88">SUM(Q82:Q84)</f>
        <v>0</v>
      </c>
      <c r="R85" s="771">
        <f t="shared" ref="R85" si="89">SUM(R82:R84)</f>
        <v>3</v>
      </c>
      <c r="S85" s="771">
        <f t="shared" ref="S85" si="90">SUM(S82:S84)</f>
        <v>0</v>
      </c>
      <c r="T85" s="771">
        <f t="shared" ref="T85" si="91">SUM(T82:T84)</f>
        <v>0</v>
      </c>
      <c r="U85" s="771">
        <f t="shared" ref="U85" si="92">SUM(U82:U84)</f>
        <v>0</v>
      </c>
      <c r="V85" s="771">
        <f t="shared" ref="V85" si="93">SUM(V82:V84)</f>
        <v>0</v>
      </c>
      <c r="W85" s="771">
        <f t="shared" ref="W85" si="94">SUM(W82:W84)</f>
        <v>0</v>
      </c>
      <c r="X85" s="771">
        <f t="shared" ref="X85" si="95">SUM(X82:X84)</f>
        <v>0</v>
      </c>
      <c r="Y85" s="771">
        <f t="shared" ref="Y85" si="96">SUM(Y82:Y84)</f>
        <v>0</v>
      </c>
      <c r="Z85" s="771">
        <f t="shared" ref="Z85" si="97">SUM(Z82:Z84)</f>
        <v>0</v>
      </c>
      <c r="AA85" s="771">
        <f t="shared" ref="AA85" si="98">SUM(AA82:AA84)</f>
        <v>0</v>
      </c>
      <c r="AB85" s="771">
        <f t="shared" ref="AB85" si="99">SUM(AB82:AB84)</f>
        <v>0</v>
      </c>
      <c r="AC85" s="771">
        <f t="shared" ref="AC85" si="100">SUM(AC82:AC84)</f>
        <v>0</v>
      </c>
      <c r="AD85" s="771">
        <f t="shared" ref="AD85" si="101">SUM(AD82:AD84)</f>
        <v>0</v>
      </c>
      <c r="AE85" s="771">
        <f t="shared" ref="AE85" si="102">SUM(AE82:AE84)</f>
        <v>0</v>
      </c>
      <c r="AF85" s="771">
        <f t="shared" ref="AF85" si="103">SUM(AF82:AF84)</f>
        <v>0</v>
      </c>
      <c r="AG85" s="771">
        <f t="shared" ref="AG85" si="104">SUM(AG82:AG84)</f>
        <v>0</v>
      </c>
      <c r="AH85" s="771">
        <f t="shared" ref="AH85" si="105">SUM(AH82:AH84)</f>
        <v>0</v>
      </c>
      <c r="AI85" s="771">
        <f t="shared" ref="AI85" si="106">SUM(AI82:AI84)</f>
        <v>0</v>
      </c>
      <c r="AJ85" s="771">
        <f t="shared" ref="AJ85" si="107">SUM(AJ82:AJ84)</f>
        <v>0</v>
      </c>
      <c r="AK85" s="771">
        <f t="shared" ref="AK85" si="108">SUM(AK82:AK84)</f>
        <v>0</v>
      </c>
      <c r="AL85" s="771">
        <f t="shared" ref="AL85" si="109">SUM(AL82:AL84)</f>
        <v>0</v>
      </c>
      <c r="AM85" s="771">
        <f t="shared" ref="AM85" si="110">SUM(AM82:AM84)</f>
        <v>0</v>
      </c>
      <c r="AN85" s="771">
        <f t="shared" ref="AN85" si="111">SUM(AN82:AN84)</f>
        <v>0</v>
      </c>
      <c r="AO85" s="771">
        <f t="shared" ref="AO85" si="112">SUM(AO82:AO84)</f>
        <v>0</v>
      </c>
      <c r="AP85" s="771">
        <f t="shared" ref="AP85" si="113">SUM(AP82:AP84)</f>
        <v>0</v>
      </c>
      <c r="AQ85" s="771">
        <f t="shared" ref="AQ85" si="114">SUM(AQ82:AQ84)</f>
        <v>0</v>
      </c>
      <c r="AR85" s="771">
        <f t="shared" ref="AR85" si="115">SUM(AR82:AR84)</f>
        <v>0</v>
      </c>
      <c r="AS85" s="771">
        <f t="shared" ref="AS85" si="116">SUM(AS82:AS84)</f>
        <v>0</v>
      </c>
      <c r="AT85" s="771">
        <f t="shared" ref="AT85" si="117">SUM(AT82:AT84)</f>
        <v>0</v>
      </c>
      <c r="AU85" s="771">
        <f t="shared" ref="AU85" si="118">SUM(AU82:AU84)</f>
        <v>0</v>
      </c>
      <c r="AV85" s="771">
        <f t="shared" ref="AV85" si="119">SUM(AV82:AV84)</f>
        <v>0</v>
      </c>
      <c r="AW85" s="771">
        <f t="shared" ref="AW85" si="120">SUM(AW82:AW84)</f>
        <v>0</v>
      </c>
      <c r="AX85" s="771">
        <f t="shared" ref="AX85" si="121">SUM(AX82:AX84)</f>
        <v>0</v>
      </c>
      <c r="AY85" s="771">
        <f t="shared" ref="AY85" si="122">SUM(AY82:AY84)</f>
        <v>0</v>
      </c>
      <c r="AZ85" s="771">
        <f t="shared" ref="AZ85" si="123">SUM(AZ82:AZ84)</f>
        <v>105</v>
      </c>
      <c r="BA85" s="771">
        <f t="shared" ref="BA85" si="124">SUM(BA82:BA84)</f>
        <v>4</v>
      </c>
      <c r="BB85" s="771">
        <f t="shared" ref="BB85" si="125">SUM(BB82:BB84)</f>
        <v>1</v>
      </c>
      <c r="BC85" s="771">
        <f t="shared" ref="BC85" si="126">SUM(BC82:BC84)</f>
        <v>6</v>
      </c>
      <c r="BD85" s="771">
        <f t="shared" ref="BD85" si="127">SUM(BD82:BD84)</f>
        <v>5</v>
      </c>
      <c r="BE85" s="771">
        <f t="shared" ref="BE85" si="128">SUM(BE82:BE84)</f>
        <v>1</v>
      </c>
      <c r="BF85" s="771">
        <f t="shared" ref="BF85" si="129">SUM(BF82:BF84)</f>
        <v>0</v>
      </c>
      <c r="BG85" s="771">
        <f t="shared" ref="BG85" si="130">SUM(BG82:BG84)</f>
        <v>0</v>
      </c>
      <c r="BH85" s="771">
        <f t="shared" ref="BH85" si="131">SUM(BH82:BH84)</f>
        <v>0</v>
      </c>
      <c r="BI85" s="771">
        <f t="shared" ref="BI85" si="132">SUM(BI82:BI84)</f>
        <v>0</v>
      </c>
      <c r="BJ85" s="771">
        <f t="shared" ref="BJ85" si="133">SUM(BJ82:BJ84)</f>
        <v>0</v>
      </c>
      <c r="BK85" s="771">
        <f t="shared" ref="BK85:BV85" si="134">SUM(BK82:BK84)</f>
        <v>22585000</v>
      </c>
      <c r="BL85" s="771">
        <f t="shared" si="134"/>
        <v>1518000.3299999991</v>
      </c>
      <c r="BM85" s="772">
        <f>BL85/H85*100</f>
        <v>6.2979724898008129</v>
      </c>
      <c r="BN85" s="778">
        <f t="shared" si="134"/>
        <v>24000</v>
      </c>
      <c r="BO85" s="1005">
        <f>SUM(BO82:BO84)</f>
        <v>8481440</v>
      </c>
      <c r="BP85" s="771">
        <f t="shared" si="134"/>
        <v>21466440</v>
      </c>
      <c r="BQ85" s="771">
        <f t="shared" si="134"/>
        <v>2636560.3299999991</v>
      </c>
      <c r="BR85" s="772">
        <f>BQ85/H85*100</f>
        <v>10.938722540356864</v>
      </c>
      <c r="BS85" s="778">
        <v>0</v>
      </c>
      <c r="BT85" s="1005">
        <f>SUM(BT82:BT84)</f>
        <v>21771850</v>
      </c>
      <c r="BU85" s="771">
        <f t="shared" si="134"/>
        <v>21771850</v>
      </c>
      <c r="BV85" s="771">
        <f t="shared" si="134"/>
        <v>2331150.3299999991</v>
      </c>
      <c r="BW85" s="772">
        <f>BV85/H85*100</f>
        <v>9.6716188776652565</v>
      </c>
    </row>
    <row r="86" spans="1:75" ht="16" thickBot="1" x14ac:dyDescent="0.4">
      <c r="A86" s="1133" t="s">
        <v>720</v>
      </c>
      <c r="B86" s="1134"/>
      <c r="C86" s="1134"/>
      <c r="D86" s="1134"/>
      <c r="E86" s="1134"/>
      <c r="F86" s="1134"/>
      <c r="G86" s="1135"/>
      <c r="H86" s="634">
        <f>H22+H29+H32+H54+H59+H63+H71+H80+H85</f>
        <v>1357729455.6699998</v>
      </c>
      <c r="I86" s="634">
        <f>I22+I29+I32+I54+I59+I63+I71+I80+I85</f>
        <v>100.00000000000001</v>
      </c>
      <c r="J86" s="634">
        <v>0</v>
      </c>
      <c r="K86" s="634">
        <f>K22+K29+K32+K54+K59+K63+K71+K80+K85</f>
        <v>443</v>
      </c>
      <c r="L86" s="634">
        <f>L22+L29+L32+L54+L59+L63+L71+L80+L85</f>
        <v>48</v>
      </c>
      <c r="M86" s="634">
        <f>M22+M29+M32+M54+M59+M63+M71+M80+M85</f>
        <v>74</v>
      </c>
      <c r="N86" s="634">
        <f t="shared" ref="N86:BL86" si="135">N22+N29+N32+N54+N59+N63+N71+N80+N85</f>
        <v>119</v>
      </c>
      <c r="O86" s="634">
        <f t="shared" si="135"/>
        <v>12</v>
      </c>
      <c r="P86" s="634">
        <f t="shared" si="135"/>
        <v>0</v>
      </c>
      <c r="Q86" s="634">
        <f t="shared" si="135"/>
        <v>0</v>
      </c>
      <c r="R86" s="634">
        <f t="shared" si="135"/>
        <v>45</v>
      </c>
      <c r="S86" s="634">
        <f t="shared" si="135"/>
        <v>20</v>
      </c>
      <c r="T86" s="634">
        <f t="shared" si="135"/>
        <v>0</v>
      </c>
      <c r="U86" s="634">
        <f t="shared" si="135"/>
        <v>648</v>
      </c>
      <c r="V86" s="634">
        <f t="shared" si="135"/>
        <v>1</v>
      </c>
      <c r="W86" s="634">
        <f t="shared" si="135"/>
        <v>114</v>
      </c>
      <c r="X86" s="634">
        <f t="shared" si="135"/>
        <v>156</v>
      </c>
      <c r="Y86" s="634">
        <f t="shared" si="135"/>
        <v>20369</v>
      </c>
      <c r="Z86" s="634">
        <f t="shared" si="135"/>
        <v>138.5</v>
      </c>
      <c r="AA86" s="634">
        <f t="shared" si="135"/>
        <v>77</v>
      </c>
      <c r="AB86" s="634">
        <f t="shared" si="135"/>
        <v>59</v>
      </c>
      <c r="AC86" s="634">
        <f t="shared" si="135"/>
        <v>1430</v>
      </c>
      <c r="AD86" s="634">
        <f t="shared" si="135"/>
        <v>22106</v>
      </c>
      <c r="AE86" s="634">
        <f t="shared" si="135"/>
        <v>16152</v>
      </c>
      <c r="AF86" s="634">
        <f t="shared" si="135"/>
        <v>429</v>
      </c>
      <c r="AG86" s="634">
        <f t="shared" si="135"/>
        <v>429</v>
      </c>
      <c r="AH86" s="634">
        <f t="shared" si="135"/>
        <v>854</v>
      </c>
      <c r="AI86" s="634">
        <f t="shared" si="135"/>
        <v>1013</v>
      </c>
      <c r="AJ86" s="634">
        <f t="shared" si="135"/>
        <v>185</v>
      </c>
      <c r="AK86" s="634">
        <f t="shared" si="135"/>
        <v>217</v>
      </c>
      <c r="AL86" s="634">
        <f t="shared" si="135"/>
        <v>207</v>
      </c>
      <c r="AM86" s="634">
        <f t="shared" si="135"/>
        <v>47</v>
      </c>
      <c r="AN86" s="634">
        <f t="shared" si="135"/>
        <v>169</v>
      </c>
      <c r="AO86" s="634">
        <f t="shared" si="135"/>
        <v>62</v>
      </c>
      <c r="AP86" s="634">
        <f t="shared" si="135"/>
        <v>102</v>
      </c>
      <c r="AQ86" s="634">
        <f t="shared" si="135"/>
        <v>231.5</v>
      </c>
      <c r="AR86" s="634">
        <f t="shared" si="135"/>
        <v>45</v>
      </c>
      <c r="AS86" s="634">
        <f t="shared" si="135"/>
        <v>400</v>
      </c>
      <c r="AT86" s="634">
        <f t="shared" si="135"/>
        <v>16</v>
      </c>
      <c r="AU86" s="634">
        <f t="shared" si="135"/>
        <v>89</v>
      </c>
      <c r="AV86" s="634">
        <f t="shared" si="135"/>
        <v>14</v>
      </c>
      <c r="AW86" s="634">
        <f t="shared" si="135"/>
        <v>66</v>
      </c>
      <c r="AX86" s="634">
        <f t="shared" si="135"/>
        <v>1343</v>
      </c>
      <c r="AY86" s="634">
        <f t="shared" si="135"/>
        <v>206</v>
      </c>
      <c r="AZ86" s="634">
        <f t="shared" si="135"/>
        <v>105</v>
      </c>
      <c r="BA86" s="634">
        <f t="shared" si="135"/>
        <v>4</v>
      </c>
      <c r="BB86" s="634">
        <f t="shared" si="135"/>
        <v>1</v>
      </c>
      <c r="BC86" s="634">
        <f t="shared" si="135"/>
        <v>6</v>
      </c>
      <c r="BD86" s="634">
        <f t="shared" si="135"/>
        <v>5</v>
      </c>
      <c r="BE86" s="634">
        <f t="shared" si="135"/>
        <v>1</v>
      </c>
      <c r="BF86" s="634">
        <f t="shared" si="135"/>
        <v>55</v>
      </c>
      <c r="BG86" s="634">
        <f t="shared" si="135"/>
        <v>9</v>
      </c>
      <c r="BH86" s="634">
        <f t="shared" si="135"/>
        <v>242</v>
      </c>
      <c r="BI86" s="634">
        <f t="shared" si="135"/>
        <v>1</v>
      </c>
      <c r="BJ86" s="634">
        <f t="shared" si="135"/>
        <v>11</v>
      </c>
      <c r="BK86" s="634">
        <f t="shared" si="135"/>
        <v>1180639202</v>
      </c>
      <c r="BL86" s="634">
        <f t="shared" si="135"/>
        <v>177090253.66999999</v>
      </c>
      <c r="BM86" s="634">
        <f>BL86/H86*100</f>
        <v>13.043117900289724</v>
      </c>
      <c r="BN86" s="634">
        <v>0</v>
      </c>
      <c r="BO86" s="634">
        <f>BO22+BO29+BO32+BO54+BO59+BO63+BO71+BO80+BO85</f>
        <v>237135715.80000001</v>
      </c>
      <c r="BP86" s="634">
        <f>BP22+BP29+BP32+BP54+BP59+BP63+BP71+BP80+BP85</f>
        <v>1167234917.8</v>
      </c>
      <c r="BQ86" s="634">
        <f>BQ22+BQ29+BQ32+BQ54+BQ59+BQ63+BQ71+BQ80+BQ85</f>
        <v>190494537.87000003</v>
      </c>
      <c r="BR86" s="1008">
        <f>BQ86/H86*100</f>
        <v>14.030375276493986</v>
      </c>
      <c r="BS86" s="634">
        <v>0</v>
      </c>
      <c r="BT86" s="634">
        <f>BT22+BT29+BT32+BT54+BT59+BT63+BT71+BT80+BT85</f>
        <v>1139787452.5999999</v>
      </c>
      <c r="BU86" s="634">
        <f>BU22+BU29+BU32+BU54+BU59+BU63+BU71+BU80+BU85</f>
        <v>1141587452.5999999</v>
      </c>
      <c r="BV86" s="634">
        <f>BV22+BV29+BV32+BV54+BV59+BV63+BV71+BV80+BV85</f>
        <v>216142003.06999993</v>
      </c>
      <c r="BW86" s="1008">
        <f>BV86/H86*100</f>
        <v>15.919372019762227</v>
      </c>
    </row>
  </sheetData>
  <mergeCells count="42">
    <mergeCell ref="A86:G86"/>
    <mergeCell ref="A85:G85"/>
    <mergeCell ref="A1:I1"/>
    <mergeCell ref="B62:D62"/>
    <mergeCell ref="B17:D17"/>
    <mergeCell ref="A22:G22"/>
    <mergeCell ref="A29:G29"/>
    <mergeCell ref="A32:G32"/>
    <mergeCell ref="A54:G54"/>
    <mergeCell ref="B61:D61"/>
    <mergeCell ref="A59:G59"/>
    <mergeCell ref="B60:D60"/>
    <mergeCell ref="A63:G63"/>
    <mergeCell ref="A71:G71"/>
    <mergeCell ref="B72:D72"/>
    <mergeCell ref="A80:G80"/>
    <mergeCell ref="A13:A16"/>
    <mergeCell ref="B13:D16"/>
    <mergeCell ref="E13:E16"/>
    <mergeCell ref="F13:F16"/>
    <mergeCell ref="K14:R14"/>
    <mergeCell ref="G13:H14"/>
    <mergeCell ref="I13:I15"/>
    <mergeCell ref="J13:J15"/>
    <mergeCell ref="K13:BM13"/>
    <mergeCell ref="S14:AY14"/>
    <mergeCell ref="BK14:BK15"/>
    <mergeCell ref="BL14:BL15"/>
    <mergeCell ref="BM14:BM15"/>
    <mergeCell ref="BI14:BJ14"/>
    <mergeCell ref="BN13:BR13"/>
    <mergeCell ref="BS13:BW13"/>
    <mergeCell ref="BS14:BS15"/>
    <mergeCell ref="BU14:BU15"/>
    <mergeCell ref="BV14:BV15"/>
    <mergeCell ref="BW14:BW15"/>
    <mergeCell ref="BN14:BN15"/>
    <mergeCell ref="BP14:BP15"/>
    <mergeCell ref="BQ14:BQ15"/>
    <mergeCell ref="BR14:BR15"/>
    <mergeCell ref="BO14:BO15"/>
    <mergeCell ref="BT14:BT15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773F-8416-48B6-8BFE-F11ECBA9F9F5}">
  <sheetPr>
    <tabColor rgb="FFFFFF00"/>
  </sheetPr>
  <dimension ref="A1:AL68"/>
  <sheetViews>
    <sheetView tabSelected="1" view="pageBreakPreview" topLeftCell="E7" zoomScale="70" zoomScaleNormal="100" zoomScaleSheetLayoutView="70" workbookViewId="0">
      <selection activeCell="L23" sqref="L23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7.72656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5.54296875" customWidth="1"/>
    <col min="20" max="20" width="18.54296875" customWidth="1"/>
    <col min="21" max="21" width="19.26953125" customWidth="1"/>
    <col min="22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RAP!B18</f>
        <v>PEKERJAAN PERSIAPAN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ht="19.5" customHeight="1" thickBot="1" x14ac:dyDescent="0.5">
      <c r="B9" s="568" t="s">
        <v>490</v>
      </c>
      <c r="C9" s="111" t="str">
        <f>RAP!B19</f>
        <v>Pengukuran dan Pemasangan Bouwplank</v>
      </c>
      <c r="D9" s="111"/>
      <c r="E9" s="111"/>
      <c r="F9" s="111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ht="19.5" customHeight="1" x14ac:dyDescent="0.45">
      <c r="B10" s="1168" t="s">
        <v>99</v>
      </c>
      <c r="C10" s="1171" t="s">
        <v>100</v>
      </c>
      <c r="D10" s="1171" t="s">
        <v>89</v>
      </c>
      <c r="E10" s="1171" t="s">
        <v>101</v>
      </c>
      <c r="F10" s="1171" t="s">
        <v>102</v>
      </c>
      <c r="G10" s="1109" t="s">
        <v>103</v>
      </c>
      <c r="H10" s="1110"/>
      <c r="I10" s="1110"/>
      <c r="J10" s="1151" t="s">
        <v>539</v>
      </c>
      <c r="K10" s="1152"/>
      <c r="L10" s="1152"/>
      <c r="M10" s="1152"/>
      <c r="N10" s="1152"/>
      <c r="O10" s="1152"/>
      <c r="P10" s="1152"/>
      <c r="Q10" s="1152"/>
      <c r="R10" s="1152"/>
      <c r="S10" s="1152"/>
      <c r="T10" s="1152"/>
      <c r="U10" s="1152"/>
      <c r="V10" s="1152"/>
      <c r="W10" s="1152"/>
      <c r="X10" s="1152"/>
      <c r="Y10" s="1153" t="s">
        <v>540</v>
      </c>
      <c r="Z10" s="1154"/>
      <c r="AA10" s="1154"/>
      <c r="AB10" s="1154"/>
      <c r="AC10" s="1154"/>
      <c r="AD10" s="1154"/>
      <c r="AE10" s="1155"/>
      <c r="AF10" s="1156" t="s">
        <v>541</v>
      </c>
      <c r="AG10" s="1157"/>
      <c r="AH10" s="1157"/>
      <c r="AI10" s="1157"/>
      <c r="AJ10" s="1157"/>
      <c r="AK10" s="1157"/>
      <c r="AL10" s="1158"/>
    </row>
    <row r="11" spans="2:38" ht="45" x14ac:dyDescent="0.45">
      <c r="B11" s="1169"/>
      <c r="C11" s="1089"/>
      <c r="D11" s="1089"/>
      <c r="E11" s="1089"/>
      <c r="F11" s="1089"/>
      <c r="G11" s="1026"/>
      <c r="H11" s="1027"/>
      <c r="I11" s="1027"/>
      <c r="J11" s="1159" t="s">
        <v>15</v>
      </c>
      <c r="K11" s="673" t="s">
        <v>493</v>
      </c>
      <c r="L11" s="1161" t="s">
        <v>491</v>
      </c>
      <c r="M11" s="1162"/>
      <c r="N11" s="1162"/>
      <c r="O11" s="1162"/>
      <c r="P11" s="1163"/>
      <c r="Q11" s="674" t="s">
        <v>533</v>
      </c>
      <c r="R11" s="1161" t="s">
        <v>501</v>
      </c>
      <c r="S11" s="1162"/>
      <c r="T11" s="1163"/>
      <c r="U11" s="674" t="s">
        <v>530</v>
      </c>
      <c r="V11" s="674" t="s">
        <v>531</v>
      </c>
      <c r="W11" s="674" t="s">
        <v>578</v>
      </c>
      <c r="X11" s="681" t="s">
        <v>579</v>
      </c>
      <c r="Y11" s="1164" t="s">
        <v>534</v>
      </c>
      <c r="Z11" s="1165"/>
      <c r="AA11" s="663" t="s">
        <v>537</v>
      </c>
      <c r="AB11" s="664" t="s">
        <v>538</v>
      </c>
      <c r="AC11" s="665" t="s">
        <v>530</v>
      </c>
      <c r="AD11" s="665" t="s">
        <v>578</v>
      </c>
      <c r="AE11" s="682" t="s">
        <v>579</v>
      </c>
      <c r="AF11" s="1166" t="s">
        <v>542</v>
      </c>
      <c r="AG11" s="1167"/>
      <c r="AH11" s="737" t="s">
        <v>543</v>
      </c>
      <c r="AI11" s="738" t="s">
        <v>544</v>
      </c>
      <c r="AJ11" s="739" t="s">
        <v>530</v>
      </c>
      <c r="AK11" s="739" t="s">
        <v>578</v>
      </c>
      <c r="AL11" s="740" t="s">
        <v>579</v>
      </c>
    </row>
    <row r="12" spans="2:38" ht="30" x14ac:dyDescent="0.45">
      <c r="B12" s="1170"/>
      <c r="C12" s="1090"/>
      <c r="D12" s="1090"/>
      <c r="E12" s="1090"/>
      <c r="F12" s="1090"/>
      <c r="G12" s="1085"/>
      <c r="H12" s="1086"/>
      <c r="I12" s="1086"/>
      <c r="J12" s="1160"/>
      <c r="K12" s="675" t="s">
        <v>495</v>
      </c>
      <c r="L12" s="676" t="s">
        <v>524</v>
      </c>
      <c r="M12" s="676" t="s">
        <v>525</v>
      </c>
      <c r="N12" s="676" t="s">
        <v>526</v>
      </c>
      <c r="O12" s="675" t="s">
        <v>517</v>
      </c>
      <c r="P12" s="675" t="s">
        <v>290</v>
      </c>
      <c r="Q12" s="675" t="s">
        <v>532</v>
      </c>
      <c r="R12" s="676" t="s">
        <v>527</v>
      </c>
      <c r="S12" s="676" t="s">
        <v>528</v>
      </c>
      <c r="T12" s="677" t="s">
        <v>529</v>
      </c>
      <c r="U12" s="675" t="s">
        <v>502</v>
      </c>
      <c r="V12" s="675" t="s">
        <v>502</v>
      </c>
      <c r="W12" s="675" t="s">
        <v>502</v>
      </c>
      <c r="X12" s="678" t="s">
        <v>504</v>
      </c>
      <c r="Y12" s="666" t="s">
        <v>535</v>
      </c>
      <c r="Z12" s="667" t="s">
        <v>536</v>
      </c>
      <c r="AA12" s="668" t="s">
        <v>532</v>
      </c>
      <c r="AB12" s="668" t="s">
        <v>532</v>
      </c>
      <c r="AC12" s="668" t="s">
        <v>532</v>
      </c>
      <c r="AD12" s="668" t="s">
        <v>532</v>
      </c>
      <c r="AE12" s="669" t="s">
        <v>532</v>
      </c>
      <c r="AF12" s="741" t="s">
        <v>535</v>
      </c>
      <c r="AG12" s="742" t="s">
        <v>536</v>
      </c>
      <c r="AH12" s="743" t="s">
        <v>532</v>
      </c>
      <c r="AI12" s="743" t="s">
        <v>532</v>
      </c>
      <c r="AJ12" s="743" t="s">
        <v>532</v>
      </c>
      <c r="AK12" s="743" t="s">
        <v>532</v>
      </c>
      <c r="AL12" s="744" t="s">
        <v>532</v>
      </c>
    </row>
    <row r="13" spans="2:38" ht="30" x14ac:dyDescent="0.45">
      <c r="B13" s="639" t="s">
        <v>4</v>
      </c>
      <c r="C13" s="600" t="s">
        <v>5</v>
      </c>
      <c r="D13" s="570" t="s">
        <v>6</v>
      </c>
      <c r="E13" s="570" t="s">
        <v>112</v>
      </c>
      <c r="F13" s="570" t="s">
        <v>114</v>
      </c>
      <c r="G13" s="1014" t="s">
        <v>115</v>
      </c>
      <c r="H13" s="1014"/>
      <c r="I13" s="1014"/>
      <c r="J13" s="679" t="s">
        <v>21</v>
      </c>
      <c r="K13" s="675" t="s">
        <v>496</v>
      </c>
      <c r="L13" s="675" t="s">
        <v>497</v>
      </c>
      <c r="M13" s="675" t="s">
        <v>498</v>
      </c>
      <c r="N13" s="675" t="s">
        <v>499</v>
      </c>
      <c r="O13" s="676" t="s">
        <v>552</v>
      </c>
      <c r="P13" s="675" t="s">
        <v>512</v>
      </c>
      <c r="Q13" s="675" t="s">
        <v>503</v>
      </c>
      <c r="R13" s="675" t="s">
        <v>553</v>
      </c>
      <c r="S13" s="675" t="s">
        <v>513</v>
      </c>
      <c r="T13" s="675" t="s">
        <v>514</v>
      </c>
      <c r="U13" s="675" t="s">
        <v>554</v>
      </c>
      <c r="V13" s="675" t="s">
        <v>515</v>
      </c>
      <c r="W13" s="675" t="s">
        <v>555</v>
      </c>
      <c r="X13" s="678" t="s">
        <v>516</v>
      </c>
      <c r="Y13" s="670" t="s">
        <v>556</v>
      </c>
      <c r="Z13" s="671" t="s">
        <v>557</v>
      </c>
      <c r="AA13" s="671" t="s">
        <v>558</v>
      </c>
      <c r="AB13" s="671" t="s">
        <v>559</v>
      </c>
      <c r="AC13" s="671" t="s">
        <v>560</v>
      </c>
      <c r="AD13" s="671" t="s">
        <v>561</v>
      </c>
      <c r="AE13" s="672" t="s">
        <v>562</v>
      </c>
      <c r="AF13" s="745" t="s">
        <v>563</v>
      </c>
      <c r="AG13" s="746" t="s">
        <v>564</v>
      </c>
      <c r="AH13" s="746" t="s">
        <v>565</v>
      </c>
      <c r="AI13" s="746" t="s">
        <v>566</v>
      </c>
      <c r="AJ13" s="746" t="s">
        <v>567</v>
      </c>
      <c r="AK13" s="746" t="s">
        <v>568</v>
      </c>
      <c r="AL13" s="747" t="s">
        <v>569</v>
      </c>
    </row>
    <row r="14" spans="2:38" ht="15.5" x14ac:dyDescent="0.45">
      <c r="B14" s="640">
        <v>1</v>
      </c>
      <c r="C14" s="440" t="s">
        <v>179</v>
      </c>
      <c r="D14" s="439"/>
      <c r="E14" s="441">
        <v>1</v>
      </c>
      <c r="F14" s="439" t="s">
        <v>31</v>
      </c>
      <c r="G14" s="442" t="s">
        <v>237</v>
      </c>
      <c r="H14" s="443"/>
      <c r="I14" s="443"/>
      <c r="J14" s="653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658"/>
      <c r="Y14" s="653"/>
      <c r="Z14" s="445"/>
      <c r="AA14" s="445"/>
      <c r="AB14" s="445"/>
      <c r="AC14" s="445"/>
      <c r="AD14" s="445"/>
      <c r="AE14" s="641"/>
      <c r="AF14" s="653"/>
      <c r="AG14" s="445"/>
      <c r="AH14" s="445"/>
      <c r="AI14" s="445"/>
      <c r="AJ14" s="445"/>
      <c r="AK14" s="445"/>
      <c r="AL14" s="641"/>
    </row>
    <row r="15" spans="2:38" x14ac:dyDescent="0.45">
      <c r="B15" s="642"/>
      <c r="C15" s="210"/>
      <c r="D15" s="211"/>
      <c r="E15" s="212"/>
      <c r="F15" s="207" t="s">
        <v>4</v>
      </c>
      <c r="G15" s="213" t="s">
        <v>106</v>
      </c>
      <c r="H15" s="209"/>
      <c r="I15" s="209"/>
      <c r="J15" s="762">
        <f>RAP!E19</f>
        <v>126.61</v>
      </c>
      <c r="K15" s="601">
        <v>2</v>
      </c>
      <c r="L15" s="319"/>
      <c r="M15" s="319"/>
      <c r="N15" s="319"/>
      <c r="O15" s="598"/>
      <c r="P15" s="598"/>
      <c r="Q15" s="605"/>
      <c r="R15" s="485"/>
      <c r="S15" s="485"/>
      <c r="T15" s="485"/>
      <c r="U15" s="752">
        <f>SUM(R16:R24)+(SUM(S16:S24)+SUM(T16:T24))</f>
        <v>11470000</v>
      </c>
      <c r="V15" s="754">
        <f>RAP!H19</f>
        <v>12812932</v>
      </c>
      <c r="W15" s="752">
        <f>V15-U15</f>
        <v>1342932</v>
      </c>
      <c r="X15" s="760">
        <f>W15/V15*100</f>
        <v>10.481067096898665</v>
      </c>
      <c r="Y15" s="755">
        <f>SUM(R16:R24)/J15</f>
        <v>16744.332991074956</v>
      </c>
      <c r="Z15" s="757">
        <v>16000</v>
      </c>
      <c r="AA15" s="758">
        <f>J15*Z15</f>
        <v>2025760</v>
      </c>
      <c r="AB15" s="758">
        <f>SUM(S15:S24)+SUM(T15:T24)</f>
        <v>9350000</v>
      </c>
      <c r="AC15" s="752">
        <f>AA15+AB15</f>
        <v>11375760</v>
      </c>
      <c r="AD15" s="752">
        <f>V15-AC15</f>
        <v>1437172</v>
      </c>
      <c r="AE15" s="760">
        <f>AD15/V15*100</f>
        <v>11.216574005075497</v>
      </c>
      <c r="AF15" s="755">
        <f>(SUM(R15:R24)+SUM(S15:S24))/J15</f>
        <v>90593.160097938555</v>
      </c>
      <c r="AG15" s="757">
        <v>90000</v>
      </c>
      <c r="AH15" s="758">
        <f>AG15*J15</f>
        <v>11394900</v>
      </c>
      <c r="AI15" s="758">
        <f>SUM(T15:T24)</f>
        <v>0</v>
      </c>
      <c r="AJ15" s="752">
        <f>AH15+AI15</f>
        <v>11394900</v>
      </c>
      <c r="AK15" s="752">
        <f>V15-AJ15</f>
        <v>1418032</v>
      </c>
      <c r="AL15" s="760">
        <f>AK15/V15*100</f>
        <v>11.067193675889328</v>
      </c>
    </row>
    <row r="16" spans="2:38" x14ac:dyDescent="0.45">
      <c r="B16" s="643"/>
      <c r="C16" s="215"/>
      <c r="D16" s="211" t="s">
        <v>107</v>
      </c>
      <c r="E16" s="216">
        <v>0.1</v>
      </c>
      <c r="F16" s="217" t="s">
        <v>108</v>
      </c>
      <c r="G16" s="218" t="s">
        <v>51</v>
      </c>
      <c r="H16" s="219"/>
      <c r="I16" s="219"/>
      <c r="J16" s="661"/>
      <c r="K16" s="602"/>
      <c r="L16" s="433">
        <f>E16*J15/K15</f>
        <v>6.3305000000000007</v>
      </c>
      <c r="M16" s="433"/>
      <c r="N16" s="433"/>
      <c r="O16" s="597">
        <v>6</v>
      </c>
      <c r="P16" s="596" t="str">
        <f>F16</f>
        <v>OH</v>
      </c>
      <c r="Q16" s="608">
        <f>'Analisa Upah RAP'!G5</f>
        <v>75000</v>
      </c>
      <c r="R16" s="453">
        <f>O16*Q16*K15</f>
        <v>900000</v>
      </c>
      <c r="S16" s="453"/>
      <c r="T16" s="453"/>
      <c r="U16" s="753"/>
      <c r="V16" s="753"/>
      <c r="W16" s="753"/>
      <c r="X16" s="761"/>
      <c r="Y16" s="756"/>
      <c r="Z16" s="759"/>
      <c r="AA16" s="759"/>
      <c r="AB16" s="759"/>
      <c r="AC16" s="753"/>
      <c r="AD16" s="753"/>
      <c r="AE16" s="761"/>
      <c r="AF16" s="756"/>
      <c r="AG16" s="759"/>
      <c r="AH16" s="759"/>
      <c r="AI16" s="759"/>
      <c r="AJ16" s="753"/>
      <c r="AK16" s="753"/>
      <c r="AL16" s="761"/>
    </row>
    <row r="17" spans="2:38" x14ac:dyDescent="0.45">
      <c r="B17" s="643"/>
      <c r="C17" s="215"/>
      <c r="D17" s="211" t="s">
        <v>121</v>
      </c>
      <c r="E17" s="212">
        <v>0.1</v>
      </c>
      <c r="F17" s="211" t="s">
        <v>108</v>
      </c>
      <c r="G17" s="221" t="s">
        <v>56</v>
      </c>
      <c r="H17" s="209"/>
      <c r="I17" s="209"/>
      <c r="J17" s="661"/>
      <c r="K17" s="602"/>
      <c r="L17" s="433">
        <f>E17*J15/K15</f>
        <v>6.3305000000000007</v>
      </c>
      <c r="M17" s="433"/>
      <c r="N17" s="433"/>
      <c r="O17" s="597">
        <v>6</v>
      </c>
      <c r="P17" s="596" t="str">
        <f>F17</f>
        <v>OH</v>
      </c>
      <c r="Q17" s="608">
        <f>'Analisa Upah RAP'!G6</f>
        <v>85000</v>
      </c>
      <c r="R17" s="453">
        <f>O17*Q17*K15</f>
        <v>1020000</v>
      </c>
      <c r="S17" s="453"/>
      <c r="T17" s="453"/>
      <c r="U17" s="753"/>
      <c r="V17" s="753"/>
      <c r="W17" s="753"/>
      <c r="X17" s="761"/>
      <c r="Y17" s="756"/>
      <c r="Z17" s="759"/>
      <c r="AA17" s="759"/>
      <c r="AB17" s="759"/>
      <c r="AC17" s="753"/>
      <c r="AD17" s="753"/>
      <c r="AE17" s="761"/>
      <c r="AF17" s="756"/>
      <c r="AG17" s="759"/>
      <c r="AH17" s="759"/>
      <c r="AI17" s="759"/>
      <c r="AJ17" s="753"/>
      <c r="AK17" s="753"/>
      <c r="AL17" s="761"/>
    </row>
    <row r="18" spans="2:38" x14ac:dyDescent="0.45">
      <c r="B18" s="643"/>
      <c r="C18" s="215"/>
      <c r="D18" s="211" t="s">
        <v>122</v>
      </c>
      <c r="E18" s="223">
        <v>0.01</v>
      </c>
      <c r="F18" s="224" t="s">
        <v>108</v>
      </c>
      <c r="G18" s="225" t="s">
        <v>123</v>
      </c>
      <c r="H18" s="226"/>
      <c r="I18" s="226"/>
      <c r="J18" s="661"/>
      <c r="K18" s="602"/>
      <c r="L18" s="433">
        <f>E18*J15/K15</f>
        <v>0.63305</v>
      </c>
      <c r="M18" s="433"/>
      <c r="N18" s="433"/>
      <c r="O18" s="597">
        <v>0</v>
      </c>
      <c r="P18" s="596" t="str">
        <f>F18</f>
        <v>OH</v>
      </c>
      <c r="Q18" s="608">
        <f>'Analisa Upah RAP'!G11</f>
        <v>90000</v>
      </c>
      <c r="R18" s="453">
        <f>O18*Q18*K15</f>
        <v>0</v>
      </c>
      <c r="S18" s="453"/>
      <c r="T18" s="453"/>
      <c r="U18" s="753"/>
      <c r="V18" s="753"/>
      <c r="W18" s="753"/>
      <c r="X18" s="761"/>
      <c r="Y18" s="756"/>
      <c r="Z18" s="759"/>
      <c r="AA18" s="759"/>
      <c r="AB18" s="759"/>
      <c r="AC18" s="753"/>
      <c r="AD18" s="753"/>
      <c r="AE18" s="761"/>
      <c r="AF18" s="756"/>
      <c r="AG18" s="759"/>
      <c r="AH18" s="759"/>
      <c r="AI18" s="759"/>
      <c r="AJ18" s="753"/>
      <c r="AK18" s="753"/>
      <c r="AL18" s="761"/>
    </row>
    <row r="19" spans="2:38" x14ac:dyDescent="0.45">
      <c r="B19" s="643"/>
      <c r="C19" s="215"/>
      <c r="D19" s="211" t="s">
        <v>109</v>
      </c>
      <c r="E19" s="216">
        <v>5.0000000000000001E-3</v>
      </c>
      <c r="F19" s="217" t="s">
        <v>108</v>
      </c>
      <c r="G19" s="228" t="s">
        <v>52</v>
      </c>
      <c r="H19" s="229"/>
      <c r="I19" s="229"/>
      <c r="J19" s="661"/>
      <c r="K19" s="602"/>
      <c r="L19" s="433">
        <f>E19*J15/K15</f>
        <v>0.316525</v>
      </c>
      <c r="M19" s="433"/>
      <c r="N19" s="433"/>
      <c r="O19" s="597">
        <v>1</v>
      </c>
      <c r="P19" s="596" t="str">
        <f>F19</f>
        <v>OH</v>
      </c>
      <c r="Q19" s="608">
        <f>'Analisa Upah RAP'!G12</f>
        <v>100000</v>
      </c>
      <c r="R19" s="453">
        <f>O19*Q19*K15</f>
        <v>200000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645"/>
      <c r="C20" s="215"/>
      <c r="D20" s="230"/>
      <c r="E20" s="230"/>
      <c r="F20" s="207" t="s">
        <v>5</v>
      </c>
      <c r="G20" s="213" t="s">
        <v>110</v>
      </c>
      <c r="H20" s="231"/>
      <c r="I20" s="232"/>
      <c r="J20" s="661"/>
      <c r="K20" s="602"/>
      <c r="L20" s="433"/>
      <c r="M20" s="433"/>
      <c r="N20" s="433"/>
      <c r="O20" s="597"/>
      <c r="P20" s="596"/>
      <c r="Q20" s="608"/>
      <c r="R20" s="453"/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645"/>
      <c r="C21" s="215"/>
      <c r="D21" s="230"/>
      <c r="E21" s="234">
        <v>1.2E-2</v>
      </c>
      <c r="F21" s="211" t="s">
        <v>12</v>
      </c>
      <c r="G21" s="235" t="s">
        <v>426</v>
      </c>
      <c r="H21" s="231"/>
      <c r="I21" s="232"/>
      <c r="J21" s="661"/>
      <c r="K21" s="602"/>
      <c r="L21" s="433"/>
      <c r="M21" s="433">
        <f>E21*J15</f>
        <v>1.51932</v>
      </c>
      <c r="N21" s="433"/>
      <c r="O21" s="597">
        <v>1.5</v>
      </c>
      <c r="P21" s="596" t="str">
        <f>F21</f>
        <v>M3</v>
      </c>
      <c r="Q21" s="608">
        <f>'Harga Bahan RAP'!G28</f>
        <v>3000000</v>
      </c>
      <c r="R21" s="453"/>
      <c r="S21" s="453">
        <f>O21*Q21</f>
        <v>4500000</v>
      </c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x14ac:dyDescent="0.45">
      <c r="B22" s="645"/>
      <c r="C22" s="215"/>
      <c r="D22" s="230"/>
      <c r="E22" s="234">
        <v>0.02</v>
      </c>
      <c r="F22" s="211" t="s">
        <v>39</v>
      </c>
      <c r="G22" s="235" t="s">
        <v>427</v>
      </c>
      <c r="H22" s="231"/>
      <c r="I22" s="232"/>
      <c r="J22" s="661"/>
      <c r="K22" s="602"/>
      <c r="L22" s="433">
        <f>Q22/O22</f>
        <v>8000</v>
      </c>
      <c r="M22" s="433">
        <f>E22*J15</f>
        <v>2.5322</v>
      </c>
      <c r="N22" s="433"/>
      <c r="O22" s="597">
        <v>2.5</v>
      </c>
      <c r="P22" s="596" t="str">
        <f>F22</f>
        <v>Kg</v>
      </c>
      <c r="Q22" s="608">
        <f>'Harga Bahan RAP'!G122</f>
        <v>20000</v>
      </c>
      <c r="R22" s="453"/>
      <c r="S22" s="453">
        <f t="shared" ref="S22:S23" si="0">O22*Q22</f>
        <v>50000</v>
      </c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645"/>
      <c r="C23" s="215"/>
      <c r="D23" s="230"/>
      <c r="E23" s="234">
        <v>7.0000000000000001E-3</v>
      </c>
      <c r="F23" s="211" t="s">
        <v>12</v>
      </c>
      <c r="G23" s="235" t="s">
        <v>235</v>
      </c>
      <c r="H23" s="231"/>
      <c r="I23" s="232"/>
      <c r="J23" s="661"/>
      <c r="K23" s="602"/>
      <c r="L23" s="433"/>
      <c r="M23" s="433">
        <f>E23*J15</f>
        <v>0.88627</v>
      </c>
      <c r="N23" s="433"/>
      <c r="O23" s="597">
        <v>1</v>
      </c>
      <c r="P23" s="596" t="str">
        <f>F23</f>
        <v>M3</v>
      </c>
      <c r="Q23" s="608">
        <f>'Harga Bahan RAP'!G27</f>
        <v>4800000</v>
      </c>
      <c r="R23" s="453"/>
      <c r="S23" s="453">
        <f t="shared" si="0"/>
        <v>4800000</v>
      </c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645"/>
      <c r="C24" s="215"/>
      <c r="D24" s="238"/>
      <c r="E24" s="238"/>
      <c r="F24" s="239" t="s">
        <v>6</v>
      </c>
      <c r="G24" s="240" t="s">
        <v>111</v>
      </c>
      <c r="H24" s="241"/>
      <c r="I24" s="242"/>
      <c r="J24" s="661"/>
      <c r="K24" s="602"/>
      <c r="L24" s="433"/>
      <c r="M24" s="433"/>
      <c r="N24" s="433"/>
      <c r="O24" s="599">
        <v>0</v>
      </c>
      <c r="P24" s="599">
        <v>0</v>
      </c>
      <c r="Q24" s="606">
        <v>0</v>
      </c>
      <c r="R24" s="433"/>
      <c r="S24" s="433"/>
      <c r="T24" s="433">
        <f>O24*Q24</f>
        <v>0</v>
      </c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645"/>
      <c r="C25" s="215"/>
      <c r="D25" s="230"/>
      <c r="E25" s="230"/>
      <c r="F25" s="207" t="s">
        <v>112</v>
      </c>
      <c r="G25" s="213" t="s">
        <v>113</v>
      </c>
      <c r="H25" s="244"/>
      <c r="I25" s="245"/>
      <c r="J25" s="661"/>
      <c r="K25" s="602"/>
      <c r="L25" s="433"/>
      <c r="M25" s="433"/>
      <c r="N25" s="433"/>
      <c r="O25" s="433"/>
      <c r="P25" s="433"/>
      <c r="Q25" s="595"/>
      <c r="R25" s="433"/>
      <c r="S25" s="433"/>
      <c r="T25" s="433"/>
      <c r="U25" s="433"/>
      <c r="V25" s="433"/>
      <c r="W25" s="433"/>
      <c r="X25" s="659"/>
      <c r="Y25" s="661"/>
      <c r="Z25" s="433"/>
      <c r="AA25" s="433"/>
      <c r="AB25" s="433"/>
      <c r="AC25" s="433"/>
      <c r="AD25" s="433"/>
      <c r="AE25" s="644"/>
      <c r="AF25" s="661"/>
      <c r="AG25" s="433"/>
      <c r="AH25" s="433"/>
      <c r="AI25" s="433"/>
      <c r="AJ25" s="433"/>
      <c r="AK25" s="433"/>
      <c r="AL25" s="644"/>
    </row>
    <row r="26" spans="2:38" x14ac:dyDescent="0.45">
      <c r="B26" s="645"/>
      <c r="C26" s="215"/>
      <c r="D26" s="230"/>
      <c r="E26" s="230"/>
      <c r="F26" s="207" t="s">
        <v>114</v>
      </c>
      <c r="G26" s="213" t="s">
        <v>248</v>
      </c>
      <c r="H26" s="244"/>
      <c r="I26" s="247">
        <v>0.15</v>
      </c>
      <c r="J26" s="661"/>
      <c r="K26" s="602"/>
      <c r="L26" s="433"/>
      <c r="M26" s="433"/>
      <c r="N26" s="433"/>
      <c r="O26" s="433"/>
      <c r="P26" s="433"/>
      <c r="Q26" s="595"/>
      <c r="R26" s="433"/>
      <c r="S26" s="433"/>
      <c r="T26" s="433"/>
      <c r="U26" s="433"/>
      <c r="V26" s="433"/>
      <c r="W26" s="433"/>
      <c r="X26" s="659"/>
      <c r="Y26" s="661"/>
      <c r="Z26" s="433"/>
      <c r="AA26" s="433"/>
      <c r="AB26" s="433"/>
      <c r="AC26" s="433"/>
      <c r="AD26" s="433"/>
      <c r="AE26" s="644"/>
      <c r="AF26" s="661"/>
      <c r="AG26" s="433"/>
      <c r="AH26" s="433"/>
      <c r="AI26" s="433"/>
      <c r="AJ26" s="433"/>
      <c r="AK26" s="433"/>
      <c r="AL26" s="644"/>
    </row>
    <row r="27" spans="2:38" ht="17" thickBot="1" x14ac:dyDescent="0.5">
      <c r="B27" s="646"/>
      <c r="C27" s="647"/>
      <c r="D27" s="648"/>
      <c r="E27" s="648"/>
      <c r="F27" s="649" t="s">
        <v>115</v>
      </c>
      <c r="G27" s="650" t="s">
        <v>116</v>
      </c>
      <c r="H27" s="651"/>
      <c r="I27" s="652"/>
      <c r="J27" s="662"/>
      <c r="K27" s="763"/>
      <c r="L27" s="655"/>
      <c r="M27" s="655"/>
      <c r="N27" s="655"/>
      <c r="O27" s="655"/>
      <c r="P27" s="655"/>
      <c r="Q27" s="654"/>
      <c r="R27" s="655"/>
      <c r="S27" s="655"/>
      <c r="T27" s="655"/>
      <c r="U27" s="655"/>
      <c r="V27" s="655"/>
      <c r="W27" s="655"/>
      <c r="X27" s="660"/>
      <c r="Y27" s="662"/>
      <c r="Z27" s="655"/>
      <c r="AA27" s="655"/>
      <c r="AB27" s="655"/>
      <c r="AC27" s="655"/>
      <c r="AD27" s="655"/>
      <c r="AE27" s="656"/>
      <c r="AF27" s="662"/>
      <c r="AG27" s="655"/>
      <c r="AH27" s="655"/>
      <c r="AI27" s="655"/>
      <c r="AJ27" s="655"/>
      <c r="AK27" s="655"/>
      <c r="AL27" s="656"/>
    </row>
    <row r="28" spans="2:38" x14ac:dyDescent="0.45">
      <c r="B28" s="748"/>
      <c r="C28" s="749"/>
      <c r="D28" s="238"/>
      <c r="E28" s="238"/>
      <c r="F28" s="239"/>
      <c r="G28" s="240"/>
      <c r="H28" s="241"/>
      <c r="I28" s="241"/>
      <c r="J28" s="604"/>
      <c r="K28" s="603"/>
      <c r="L28" s="604"/>
      <c r="M28" s="604"/>
      <c r="N28" s="604"/>
      <c r="O28" s="604"/>
      <c r="P28" s="604"/>
      <c r="Q28" s="604"/>
      <c r="R28" s="609"/>
      <c r="S28" s="609"/>
      <c r="T28" s="609"/>
      <c r="U28" s="609"/>
      <c r="V28" s="609"/>
      <c r="W28" s="609"/>
      <c r="X28" s="609"/>
      <c r="Y28" s="609"/>
      <c r="Z28" s="609"/>
      <c r="AA28" s="609"/>
      <c r="AB28" s="609"/>
      <c r="AC28" s="609"/>
      <c r="AD28" s="609"/>
      <c r="AE28" s="609"/>
      <c r="AF28" s="609"/>
      <c r="AG28" s="609"/>
      <c r="AH28" s="609"/>
      <c r="AI28" s="609"/>
      <c r="AJ28" s="609"/>
      <c r="AK28" s="609"/>
      <c r="AL28" s="609"/>
    </row>
    <row r="29" spans="2:38" ht="17" thickBot="1" x14ac:dyDescent="0.5">
      <c r="B29" s="749" t="s">
        <v>589</v>
      </c>
      <c r="C29" s="750" t="str">
        <f>RAP!B20</f>
        <v>Pembersihan Lapangan dan Perataan</v>
      </c>
      <c r="D29" s="241"/>
      <c r="E29" s="241"/>
      <c r="F29" s="276"/>
      <c r="G29" s="240"/>
      <c r="H29" s="241"/>
      <c r="I29" s="241"/>
      <c r="J29" s="604"/>
      <c r="K29" s="603"/>
      <c r="L29" s="604"/>
      <c r="M29" s="604"/>
      <c r="N29" s="604"/>
      <c r="O29" s="604"/>
      <c r="P29" s="604"/>
      <c r="Q29" s="604"/>
      <c r="R29" s="609"/>
      <c r="S29" s="609"/>
      <c r="T29" s="609"/>
      <c r="U29" s="609"/>
      <c r="V29" s="609"/>
      <c r="W29" s="609"/>
      <c r="X29" s="609"/>
      <c r="Y29" s="609"/>
      <c r="Z29" s="609"/>
      <c r="AA29" s="609"/>
      <c r="AB29" s="609"/>
      <c r="AC29" s="609"/>
      <c r="AD29" s="609"/>
      <c r="AE29" s="609"/>
      <c r="AF29" s="609"/>
      <c r="AG29" s="609"/>
      <c r="AH29" s="609"/>
      <c r="AI29" s="609"/>
      <c r="AJ29" s="609"/>
      <c r="AK29" s="609"/>
      <c r="AL29" s="609"/>
    </row>
    <row r="30" spans="2:38" ht="19.5" customHeight="1" x14ac:dyDescent="0.45">
      <c r="B30" s="1168" t="s">
        <v>99</v>
      </c>
      <c r="C30" s="1171" t="s">
        <v>100</v>
      </c>
      <c r="D30" s="1171" t="s">
        <v>89</v>
      </c>
      <c r="E30" s="1171" t="s">
        <v>101</v>
      </c>
      <c r="F30" s="1171" t="s">
        <v>102</v>
      </c>
      <c r="G30" s="1109" t="s">
        <v>103</v>
      </c>
      <c r="H30" s="1110"/>
      <c r="I30" s="1110"/>
      <c r="J30" s="1151" t="s">
        <v>539</v>
      </c>
      <c r="K30" s="1152"/>
      <c r="L30" s="1152"/>
      <c r="M30" s="1152"/>
      <c r="N30" s="1152"/>
      <c r="O30" s="1152"/>
      <c r="P30" s="1152"/>
      <c r="Q30" s="1152"/>
      <c r="R30" s="1152"/>
      <c r="S30" s="1152"/>
      <c r="T30" s="1152"/>
      <c r="U30" s="1152"/>
      <c r="V30" s="1152"/>
      <c r="W30" s="1152"/>
      <c r="X30" s="1152"/>
      <c r="Y30" s="1153" t="s">
        <v>540</v>
      </c>
      <c r="Z30" s="1154"/>
      <c r="AA30" s="1154"/>
      <c r="AB30" s="1154"/>
      <c r="AC30" s="1154"/>
      <c r="AD30" s="1154"/>
      <c r="AE30" s="1155"/>
      <c r="AF30" s="1156" t="s">
        <v>541</v>
      </c>
      <c r="AG30" s="1157"/>
      <c r="AH30" s="1157"/>
      <c r="AI30" s="1157"/>
      <c r="AJ30" s="1157"/>
      <c r="AK30" s="1157"/>
      <c r="AL30" s="1158"/>
    </row>
    <row r="31" spans="2:38" ht="45" x14ac:dyDescent="0.45">
      <c r="B31" s="1169"/>
      <c r="C31" s="1089"/>
      <c r="D31" s="1089"/>
      <c r="E31" s="1089"/>
      <c r="F31" s="1089"/>
      <c r="G31" s="1026"/>
      <c r="H31" s="1027"/>
      <c r="I31" s="1027"/>
      <c r="J31" s="1159" t="s">
        <v>15</v>
      </c>
      <c r="K31" s="673" t="s">
        <v>493</v>
      </c>
      <c r="L31" s="1161" t="s">
        <v>491</v>
      </c>
      <c r="M31" s="1162"/>
      <c r="N31" s="1162"/>
      <c r="O31" s="1162"/>
      <c r="P31" s="1163"/>
      <c r="Q31" s="674" t="s">
        <v>533</v>
      </c>
      <c r="R31" s="1161" t="s">
        <v>501</v>
      </c>
      <c r="S31" s="1162"/>
      <c r="T31" s="1163"/>
      <c r="U31" s="674" t="s">
        <v>530</v>
      </c>
      <c r="V31" s="674" t="s">
        <v>531</v>
      </c>
      <c r="W31" s="674" t="s">
        <v>578</v>
      </c>
      <c r="X31" s="681" t="s">
        <v>579</v>
      </c>
      <c r="Y31" s="1164" t="s">
        <v>534</v>
      </c>
      <c r="Z31" s="1165"/>
      <c r="AA31" s="663" t="s">
        <v>537</v>
      </c>
      <c r="AB31" s="664" t="s">
        <v>538</v>
      </c>
      <c r="AC31" s="665" t="s">
        <v>530</v>
      </c>
      <c r="AD31" s="665" t="s">
        <v>578</v>
      </c>
      <c r="AE31" s="682" t="s">
        <v>579</v>
      </c>
      <c r="AF31" s="1166" t="s">
        <v>542</v>
      </c>
      <c r="AG31" s="1167"/>
      <c r="AH31" s="737" t="s">
        <v>543</v>
      </c>
      <c r="AI31" s="738" t="s">
        <v>544</v>
      </c>
      <c r="AJ31" s="739" t="s">
        <v>530</v>
      </c>
      <c r="AK31" s="739" t="s">
        <v>578</v>
      </c>
      <c r="AL31" s="740" t="s">
        <v>579</v>
      </c>
    </row>
    <row r="32" spans="2:38" ht="30" x14ac:dyDescent="0.45">
      <c r="B32" s="1170"/>
      <c r="C32" s="1090"/>
      <c r="D32" s="1090"/>
      <c r="E32" s="1090"/>
      <c r="F32" s="1090"/>
      <c r="G32" s="1085"/>
      <c r="H32" s="1086"/>
      <c r="I32" s="1086"/>
      <c r="J32" s="1160"/>
      <c r="K32" s="675" t="s">
        <v>495</v>
      </c>
      <c r="L32" s="676" t="s">
        <v>524</v>
      </c>
      <c r="M32" s="676" t="s">
        <v>525</v>
      </c>
      <c r="N32" s="676" t="s">
        <v>526</v>
      </c>
      <c r="O32" s="675" t="s">
        <v>517</v>
      </c>
      <c r="P32" s="675" t="s">
        <v>290</v>
      </c>
      <c r="Q32" s="675" t="s">
        <v>532</v>
      </c>
      <c r="R32" s="676" t="s">
        <v>527</v>
      </c>
      <c r="S32" s="676" t="s">
        <v>528</v>
      </c>
      <c r="T32" s="677" t="s">
        <v>529</v>
      </c>
      <c r="U32" s="675" t="s">
        <v>502</v>
      </c>
      <c r="V32" s="675" t="s">
        <v>502</v>
      </c>
      <c r="W32" s="675" t="s">
        <v>502</v>
      </c>
      <c r="X32" s="678" t="s">
        <v>504</v>
      </c>
      <c r="Y32" s="666" t="s">
        <v>535</v>
      </c>
      <c r="Z32" s="667" t="s">
        <v>536</v>
      </c>
      <c r="AA32" s="668" t="s">
        <v>532</v>
      </c>
      <c r="AB32" s="668" t="s">
        <v>532</v>
      </c>
      <c r="AC32" s="668" t="s">
        <v>532</v>
      </c>
      <c r="AD32" s="668" t="s">
        <v>532</v>
      </c>
      <c r="AE32" s="669" t="s">
        <v>532</v>
      </c>
      <c r="AF32" s="741" t="s">
        <v>535</v>
      </c>
      <c r="AG32" s="742" t="s">
        <v>536</v>
      </c>
      <c r="AH32" s="743" t="s">
        <v>532</v>
      </c>
      <c r="AI32" s="743" t="s">
        <v>532</v>
      </c>
      <c r="AJ32" s="743" t="s">
        <v>532</v>
      </c>
      <c r="AK32" s="743" t="s">
        <v>532</v>
      </c>
      <c r="AL32" s="744" t="s">
        <v>532</v>
      </c>
    </row>
    <row r="33" spans="2:38" ht="30" x14ac:dyDescent="0.45">
      <c r="B33" s="639" t="s">
        <v>4</v>
      </c>
      <c r="C33" s="600" t="s">
        <v>5</v>
      </c>
      <c r="D33" s="570" t="s">
        <v>6</v>
      </c>
      <c r="E33" s="570" t="s">
        <v>112</v>
      </c>
      <c r="F33" s="570" t="s">
        <v>114</v>
      </c>
      <c r="G33" s="1014" t="s">
        <v>115</v>
      </c>
      <c r="H33" s="1014"/>
      <c r="I33" s="1014"/>
      <c r="J33" s="679" t="s">
        <v>21</v>
      </c>
      <c r="K33" s="675" t="s">
        <v>496</v>
      </c>
      <c r="L33" s="675" t="s">
        <v>497</v>
      </c>
      <c r="M33" s="675" t="s">
        <v>498</v>
      </c>
      <c r="N33" s="675" t="s">
        <v>499</v>
      </c>
      <c r="O33" s="676" t="s">
        <v>552</v>
      </c>
      <c r="P33" s="675" t="s">
        <v>512</v>
      </c>
      <c r="Q33" s="675" t="s">
        <v>503</v>
      </c>
      <c r="R33" s="675" t="s">
        <v>553</v>
      </c>
      <c r="S33" s="675" t="s">
        <v>513</v>
      </c>
      <c r="T33" s="675" t="s">
        <v>514</v>
      </c>
      <c r="U33" s="675" t="s">
        <v>554</v>
      </c>
      <c r="V33" s="675" t="s">
        <v>515</v>
      </c>
      <c r="W33" s="675" t="s">
        <v>555</v>
      </c>
      <c r="X33" s="678" t="s">
        <v>516</v>
      </c>
      <c r="Y33" s="670" t="s">
        <v>556</v>
      </c>
      <c r="Z33" s="671" t="s">
        <v>557</v>
      </c>
      <c r="AA33" s="671" t="s">
        <v>558</v>
      </c>
      <c r="AB33" s="671" t="s">
        <v>559</v>
      </c>
      <c r="AC33" s="671" t="s">
        <v>560</v>
      </c>
      <c r="AD33" s="671" t="s">
        <v>561</v>
      </c>
      <c r="AE33" s="672" t="s">
        <v>562</v>
      </c>
      <c r="AF33" s="745" t="s">
        <v>563</v>
      </c>
      <c r="AG33" s="746" t="s">
        <v>564</v>
      </c>
      <c r="AH33" s="746" t="s">
        <v>565</v>
      </c>
      <c r="AI33" s="746" t="s">
        <v>566</v>
      </c>
      <c r="AJ33" s="746" t="s">
        <v>567</v>
      </c>
      <c r="AK33" s="746" t="s">
        <v>568</v>
      </c>
      <c r="AL33" s="747" t="s">
        <v>569</v>
      </c>
    </row>
    <row r="34" spans="2:38" ht="15.5" x14ac:dyDescent="0.45">
      <c r="B34" s="764">
        <v>2</v>
      </c>
      <c r="C34" s="440" t="s">
        <v>236</v>
      </c>
      <c r="D34" s="508"/>
      <c r="E34" s="569">
        <v>1</v>
      </c>
      <c r="F34" s="508" t="s">
        <v>30</v>
      </c>
      <c r="G34" s="460" t="s">
        <v>238</v>
      </c>
      <c r="H34" s="494"/>
      <c r="I34" s="494"/>
      <c r="J34" s="653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  <c r="W34" s="445"/>
      <c r="X34" s="658"/>
      <c r="Y34" s="653"/>
      <c r="Z34" s="445"/>
      <c r="AA34" s="445"/>
      <c r="AB34" s="445"/>
      <c r="AC34" s="445"/>
      <c r="AD34" s="445"/>
      <c r="AE34" s="641"/>
      <c r="AF34" s="653"/>
      <c r="AG34" s="445"/>
      <c r="AH34" s="445"/>
      <c r="AI34" s="445"/>
      <c r="AJ34" s="445"/>
      <c r="AK34" s="445"/>
      <c r="AL34" s="641"/>
    </row>
    <row r="35" spans="2:38" x14ac:dyDescent="0.45">
      <c r="B35" s="642"/>
      <c r="C35" s="210"/>
      <c r="D35" s="211"/>
      <c r="E35" s="212"/>
      <c r="F35" s="207" t="s">
        <v>4</v>
      </c>
      <c r="G35" s="213" t="s">
        <v>106</v>
      </c>
      <c r="H35" s="209"/>
      <c r="I35" s="209"/>
      <c r="J35" s="762">
        <f>RAP!E20</f>
        <v>180</v>
      </c>
      <c r="K35" s="601">
        <v>3</v>
      </c>
      <c r="L35" s="319"/>
      <c r="M35" s="319"/>
      <c r="N35" s="319"/>
      <c r="O35" s="598"/>
      <c r="P35" s="598"/>
      <c r="Q35" s="605"/>
      <c r="R35" s="485"/>
      <c r="S35" s="485"/>
      <c r="T35" s="485"/>
      <c r="U35" s="752">
        <f>SUM(R36:R43)+(SUM(S36:S43)+SUM(T36:T43))</f>
        <v>1650000</v>
      </c>
      <c r="V35" s="754">
        <f>RAP!H20</f>
        <v>2691000</v>
      </c>
      <c r="W35" s="752">
        <f>V35-U35</f>
        <v>1041000</v>
      </c>
      <c r="X35" s="760">
        <f>W35/V35*100</f>
        <v>38.684503901895205</v>
      </c>
      <c r="Y35" s="755">
        <f>SUM(R36:R43)/J35</f>
        <v>9166.6666666666661</v>
      </c>
      <c r="Z35" s="757">
        <v>9000</v>
      </c>
      <c r="AA35" s="758">
        <f>J35*Z35</f>
        <v>1620000</v>
      </c>
      <c r="AB35" s="758">
        <f>SUM(S35:S43)+SUM(T35:T43)</f>
        <v>0</v>
      </c>
      <c r="AC35" s="752">
        <f>AA35+AB35</f>
        <v>1620000</v>
      </c>
      <c r="AD35" s="752">
        <f>V35-AC35</f>
        <v>1071000</v>
      </c>
      <c r="AE35" s="760">
        <f>AD35/V35*100</f>
        <v>39.799331103678931</v>
      </c>
      <c r="AF35" s="755">
        <f>(SUM(R35:R43)+SUM(S35:S43))/J35</f>
        <v>9166.6666666666661</v>
      </c>
      <c r="AG35" s="757">
        <v>9000</v>
      </c>
      <c r="AH35" s="758">
        <f>AG35*J35</f>
        <v>1620000</v>
      </c>
      <c r="AI35" s="758">
        <f>SUM(T35:T43)</f>
        <v>0</v>
      </c>
      <c r="AJ35" s="752">
        <f>AH35+AI35</f>
        <v>1620000</v>
      </c>
      <c r="AK35" s="752">
        <f>V35-AJ35</f>
        <v>1071000</v>
      </c>
      <c r="AL35" s="760">
        <f>AK35/V35*100</f>
        <v>39.799331103678931</v>
      </c>
    </row>
    <row r="36" spans="2:38" x14ac:dyDescent="0.45">
      <c r="B36" s="643"/>
      <c r="C36" s="215"/>
      <c r="D36" s="211" t="s">
        <v>107</v>
      </c>
      <c r="E36" s="216">
        <v>0.1</v>
      </c>
      <c r="F36" s="217" t="s">
        <v>108</v>
      </c>
      <c r="G36" s="235" t="s">
        <v>51</v>
      </c>
      <c r="H36" s="209"/>
      <c r="I36" s="209"/>
      <c r="J36" s="661"/>
      <c r="K36" s="602"/>
      <c r="L36" s="433">
        <f>E36*J35/K35</f>
        <v>6</v>
      </c>
      <c r="M36" s="433"/>
      <c r="N36" s="433"/>
      <c r="O36" s="597">
        <v>6</v>
      </c>
      <c r="P36" s="596" t="str">
        <f>F36</f>
        <v>OH</v>
      </c>
      <c r="Q36" s="608">
        <f>'Analisa Upah RAP'!G5</f>
        <v>75000</v>
      </c>
      <c r="R36" s="453">
        <f>O36*Q36*K35</f>
        <v>1350000</v>
      </c>
      <c r="S36" s="453"/>
      <c r="T36" s="453"/>
      <c r="U36" s="753"/>
      <c r="V36" s="753"/>
      <c r="W36" s="753"/>
      <c r="X36" s="761"/>
      <c r="Y36" s="756"/>
      <c r="Z36" s="759"/>
      <c r="AA36" s="759"/>
      <c r="AB36" s="759"/>
      <c r="AC36" s="753"/>
      <c r="AD36" s="753"/>
      <c r="AE36" s="761"/>
      <c r="AF36" s="756"/>
      <c r="AG36" s="759"/>
      <c r="AH36" s="759"/>
      <c r="AI36" s="759"/>
      <c r="AJ36" s="753"/>
      <c r="AK36" s="753"/>
      <c r="AL36" s="761"/>
    </row>
    <row r="37" spans="2:38" x14ac:dyDescent="0.45">
      <c r="B37" s="643"/>
      <c r="C37" s="215"/>
      <c r="D37" s="211" t="s">
        <v>109</v>
      </c>
      <c r="E37" s="216">
        <v>0.05</v>
      </c>
      <c r="F37" s="217" t="s">
        <v>108</v>
      </c>
      <c r="G37" s="228" t="s">
        <v>52</v>
      </c>
      <c r="H37" s="229"/>
      <c r="I37" s="229"/>
      <c r="J37" s="661"/>
      <c r="K37" s="602"/>
      <c r="L37" s="433">
        <f>E37*J35/K35</f>
        <v>3</v>
      </c>
      <c r="M37" s="433"/>
      <c r="N37" s="433"/>
      <c r="O37" s="597">
        <v>1</v>
      </c>
      <c r="P37" s="596" t="str">
        <f>F37</f>
        <v>OH</v>
      </c>
      <c r="Q37" s="608">
        <f>'Analisa Upah RAP'!G12</f>
        <v>100000</v>
      </c>
      <c r="R37" s="453">
        <f>O37*Q37*K35</f>
        <v>300000</v>
      </c>
      <c r="S37" s="453"/>
      <c r="T37" s="453"/>
      <c r="U37" s="753"/>
      <c r="V37" s="753"/>
      <c r="W37" s="753"/>
      <c r="X37" s="761"/>
      <c r="Y37" s="756"/>
      <c r="Z37" s="759"/>
      <c r="AA37" s="759"/>
      <c r="AB37" s="759"/>
      <c r="AC37" s="753"/>
      <c r="AD37" s="753"/>
      <c r="AE37" s="761"/>
      <c r="AF37" s="756"/>
      <c r="AG37" s="759"/>
      <c r="AH37" s="759"/>
      <c r="AI37" s="759"/>
      <c r="AJ37" s="753"/>
      <c r="AK37" s="753"/>
      <c r="AL37" s="761"/>
    </row>
    <row r="38" spans="2:38" x14ac:dyDescent="0.45">
      <c r="B38" s="645"/>
      <c r="C38" s="215"/>
      <c r="D38" s="230"/>
      <c r="E38" s="230"/>
      <c r="F38" s="207" t="s">
        <v>5</v>
      </c>
      <c r="G38" s="213" t="s">
        <v>110</v>
      </c>
      <c r="H38" s="231"/>
      <c r="I38" s="232"/>
      <c r="J38" s="661"/>
      <c r="K38" s="602"/>
      <c r="L38" s="433"/>
      <c r="M38" s="433"/>
      <c r="N38" s="433"/>
      <c r="O38" s="597"/>
      <c r="P38" s="596"/>
      <c r="Q38" s="608"/>
      <c r="R38" s="453"/>
      <c r="S38" s="453"/>
      <c r="T38" s="453"/>
      <c r="U38" s="753"/>
      <c r="V38" s="753"/>
      <c r="W38" s="753"/>
      <c r="X38" s="761"/>
      <c r="Y38" s="756"/>
      <c r="Z38" s="759"/>
      <c r="AA38" s="759"/>
      <c r="AB38" s="759"/>
      <c r="AC38" s="753"/>
      <c r="AD38" s="753"/>
      <c r="AE38" s="761"/>
      <c r="AF38" s="756"/>
      <c r="AG38" s="759"/>
      <c r="AH38" s="759"/>
      <c r="AI38" s="759"/>
      <c r="AJ38" s="753"/>
      <c r="AK38" s="753"/>
      <c r="AL38" s="761"/>
    </row>
    <row r="39" spans="2:38" x14ac:dyDescent="0.45">
      <c r="B39" s="645"/>
      <c r="C39" s="215"/>
      <c r="D39" s="230"/>
      <c r="E39" s="234">
        <v>0</v>
      </c>
      <c r="F39" s="211" t="s">
        <v>154</v>
      </c>
      <c r="G39" s="235" t="s">
        <v>154</v>
      </c>
      <c r="H39" s="231"/>
      <c r="I39" s="232"/>
      <c r="J39" s="661"/>
      <c r="K39" s="602"/>
      <c r="L39" s="433"/>
      <c r="M39" s="433">
        <f>E39*J35</f>
        <v>0</v>
      </c>
      <c r="N39" s="433"/>
      <c r="O39" s="597">
        <v>0</v>
      </c>
      <c r="P39" s="596">
        <f>E39</f>
        <v>0</v>
      </c>
      <c r="Q39" s="608">
        <v>0</v>
      </c>
      <c r="R39" s="453"/>
      <c r="S39" s="453">
        <f>O39*Q39</f>
        <v>0</v>
      </c>
      <c r="T39" s="453"/>
      <c r="U39" s="753"/>
      <c r="V39" s="753"/>
      <c r="W39" s="753"/>
      <c r="X39" s="761"/>
      <c r="Y39" s="756"/>
      <c r="Z39" s="759"/>
      <c r="AA39" s="759"/>
      <c r="AB39" s="759"/>
      <c r="AC39" s="753"/>
      <c r="AD39" s="753"/>
      <c r="AE39" s="761"/>
      <c r="AF39" s="756"/>
      <c r="AG39" s="759"/>
      <c r="AH39" s="759"/>
      <c r="AI39" s="759"/>
      <c r="AJ39" s="753"/>
      <c r="AK39" s="753"/>
      <c r="AL39" s="761"/>
    </row>
    <row r="40" spans="2:38" x14ac:dyDescent="0.45">
      <c r="B40" s="645"/>
      <c r="C40" s="215"/>
      <c r="D40" s="230"/>
      <c r="E40" s="234">
        <v>0</v>
      </c>
      <c r="F40" s="211" t="s">
        <v>154</v>
      </c>
      <c r="G40" s="235" t="s">
        <v>154</v>
      </c>
      <c r="H40" s="231"/>
      <c r="I40" s="232"/>
      <c r="J40" s="661"/>
      <c r="K40" s="602"/>
      <c r="L40" s="433"/>
      <c r="M40" s="433">
        <f>E40*J35</f>
        <v>0</v>
      </c>
      <c r="N40" s="433"/>
      <c r="O40" s="597">
        <v>0</v>
      </c>
      <c r="P40" s="596">
        <f>E40</f>
        <v>0</v>
      </c>
      <c r="Q40" s="608">
        <v>0</v>
      </c>
      <c r="R40" s="453"/>
      <c r="S40" s="453">
        <f t="shared" ref="S40:S41" si="1">O40*Q40</f>
        <v>0</v>
      </c>
      <c r="T40" s="453"/>
      <c r="U40" s="753"/>
      <c r="V40" s="753"/>
      <c r="W40" s="753"/>
      <c r="X40" s="761"/>
      <c r="Y40" s="756"/>
      <c r="Z40" s="759"/>
      <c r="AA40" s="759"/>
      <c r="AB40" s="759"/>
      <c r="AC40" s="753"/>
      <c r="AD40" s="753"/>
      <c r="AE40" s="761"/>
      <c r="AF40" s="756"/>
      <c r="AG40" s="759"/>
      <c r="AH40" s="759"/>
      <c r="AI40" s="759"/>
      <c r="AJ40" s="753"/>
      <c r="AK40" s="753"/>
      <c r="AL40" s="761"/>
    </row>
    <row r="41" spans="2:38" x14ac:dyDescent="0.45">
      <c r="B41" s="645"/>
      <c r="C41" s="215"/>
      <c r="D41" s="230"/>
      <c r="E41" s="234">
        <v>0</v>
      </c>
      <c r="F41" s="211" t="s">
        <v>154</v>
      </c>
      <c r="G41" s="235" t="s">
        <v>154</v>
      </c>
      <c r="H41" s="231"/>
      <c r="I41" s="232"/>
      <c r="J41" s="661"/>
      <c r="K41" s="602"/>
      <c r="L41" s="433"/>
      <c r="M41" s="433">
        <f>E41*J35</f>
        <v>0</v>
      </c>
      <c r="N41" s="433"/>
      <c r="O41" s="597">
        <v>0</v>
      </c>
      <c r="P41" s="596">
        <f>E41</f>
        <v>0</v>
      </c>
      <c r="Q41" s="608">
        <v>0</v>
      </c>
      <c r="R41" s="453"/>
      <c r="S41" s="453">
        <f t="shared" si="1"/>
        <v>0</v>
      </c>
      <c r="T41" s="453"/>
      <c r="U41" s="753"/>
      <c r="V41" s="753"/>
      <c r="W41" s="753"/>
      <c r="X41" s="761"/>
      <c r="Y41" s="756"/>
      <c r="Z41" s="759"/>
      <c r="AA41" s="759"/>
      <c r="AB41" s="759"/>
      <c r="AC41" s="753"/>
      <c r="AD41" s="753"/>
      <c r="AE41" s="761"/>
      <c r="AF41" s="756"/>
      <c r="AG41" s="759"/>
      <c r="AH41" s="759"/>
      <c r="AI41" s="759"/>
      <c r="AJ41" s="753"/>
      <c r="AK41" s="753"/>
      <c r="AL41" s="761"/>
    </row>
    <row r="42" spans="2:38" x14ac:dyDescent="0.45">
      <c r="B42" s="645"/>
      <c r="C42" s="215"/>
      <c r="D42" s="230"/>
      <c r="E42" s="230"/>
      <c r="F42" s="207" t="s">
        <v>6</v>
      </c>
      <c r="G42" s="213" t="s">
        <v>111</v>
      </c>
      <c r="H42" s="244"/>
      <c r="I42" s="245"/>
      <c r="J42" s="661"/>
      <c r="K42" s="602"/>
      <c r="L42" s="433"/>
      <c r="M42" s="433"/>
      <c r="N42" s="433"/>
      <c r="O42" s="599"/>
      <c r="P42" s="596">
        <f>E42</f>
        <v>0</v>
      </c>
      <c r="Q42" s="606">
        <v>0</v>
      </c>
      <c r="R42" s="433"/>
      <c r="S42" s="433"/>
      <c r="T42" s="433"/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x14ac:dyDescent="0.45">
      <c r="B43" s="645"/>
      <c r="C43" s="215"/>
      <c r="D43" s="230"/>
      <c r="E43" s="234">
        <v>0</v>
      </c>
      <c r="F43" s="211" t="s">
        <v>154</v>
      </c>
      <c r="G43" s="235" t="s">
        <v>154</v>
      </c>
      <c r="H43" s="244"/>
      <c r="I43" s="245"/>
      <c r="J43" s="661"/>
      <c r="K43" s="602"/>
      <c r="L43" s="433"/>
      <c r="M43" s="433"/>
      <c r="N43" s="433">
        <f>E43*J35</f>
        <v>0</v>
      </c>
      <c r="O43" s="599">
        <v>0</v>
      </c>
      <c r="P43" s="596">
        <f>E43</f>
        <v>0</v>
      </c>
      <c r="Q43" s="606">
        <v>0</v>
      </c>
      <c r="R43" s="433"/>
      <c r="S43" s="433"/>
      <c r="T43" s="433">
        <f>O43*Q43</f>
        <v>0</v>
      </c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x14ac:dyDescent="0.45">
      <c r="B44" s="645"/>
      <c r="C44" s="215"/>
      <c r="D44" s="230"/>
      <c r="E44" s="230"/>
      <c r="F44" s="207" t="s">
        <v>112</v>
      </c>
      <c r="G44" s="213" t="s">
        <v>113</v>
      </c>
      <c r="H44" s="244"/>
      <c r="I44" s="245"/>
      <c r="J44" s="661"/>
      <c r="K44" s="602"/>
      <c r="L44" s="433"/>
      <c r="M44" s="433"/>
      <c r="N44" s="433"/>
      <c r="O44" s="433"/>
      <c r="P44" s="433"/>
      <c r="Q44" s="595"/>
      <c r="R44" s="433"/>
      <c r="S44" s="433"/>
      <c r="T44" s="433"/>
      <c r="U44" s="433"/>
      <c r="V44" s="433"/>
      <c r="W44" s="433"/>
      <c r="X44" s="659"/>
      <c r="Y44" s="661"/>
      <c r="Z44" s="433"/>
      <c r="AA44" s="433"/>
      <c r="AB44" s="433"/>
      <c r="AC44" s="433"/>
      <c r="AD44" s="433"/>
      <c r="AE44" s="644"/>
      <c r="AF44" s="661"/>
      <c r="AG44" s="433"/>
      <c r="AH44" s="433"/>
      <c r="AI44" s="433"/>
      <c r="AJ44" s="433"/>
      <c r="AK44" s="433"/>
      <c r="AL44" s="644"/>
    </row>
    <row r="45" spans="2:38" x14ac:dyDescent="0.45">
      <c r="B45" s="645"/>
      <c r="C45" s="215"/>
      <c r="D45" s="230"/>
      <c r="E45" s="230"/>
      <c r="F45" s="207" t="s">
        <v>114</v>
      </c>
      <c r="G45" s="213" t="s">
        <v>248</v>
      </c>
      <c r="H45" s="244"/>
      <c r="I45" s="247">
        <v>0.15</v>
      </c>
      <c r="J45" s="661"/>
      <c r="K45" s="602"/>
      <c r="L45" s="433"/>
      <c r="M45" s="433"/>
      <c r="N45" s="433"/>
      <c r="O45" s="433"/>
      <c r="P45" s="433"/>
      <c r="Q45" s="595"/>
      <c r="R45" s="433"/>
      <c r="S45" s="433"/>
      <c r="T45" s="433"/>
      <c r="U45" s="433"/>
      <c r="V45" s="433"/>
      <c r="W45" s="433"/>
      <c r="X45" s="659"/>
      <c r="Y45" s="661"/>
      <c r="Z45" s="433"/>
      <c r="AA45" s="433"/>
      <c r="AB45" s="433"/>
      <c r="AC45" s="433"/>
      <c r="AD45" s="433"/>
      <c r="AE45" s="644"/>
      <c r="AF45" s="661"/>
      <c r="AG45" s="433"/>
      <c r="AH45" s="433"/>
      <c r="AI45" s="433"/>
      <c r="AJ45" s="433"/>
      <c r="AK45" s="433"/>
      <c r="AL45" s="644"/>
    </row>
    <row r="46" spans="2:38" ht="17" thickBot="1" x14ac:dyDescent="0.5">
      <c r="B46" s="646"/>
      <c r="C46" s="647"/>
      <c r="D46" s="648"/>
      <c r="E46" s="648"/>
      <c r="F46" s="649" t="s">
        <v>115</v>
      </c>
      <c r="G46" s="650" t="s">
        <v>116</v>
      </c>
      <c r="H46" s="651"/>
      <c r="I46" s="652"/>
      <c r="J46" s="662"/>
      <c r="K46" s="763"/>
      <c r="L46" s="655"/>
      <c r="M46" s="655"/>
      <c r="N46" s="655"/>
      <c r="O46" s="655"/>
      <c r="P46" s="655"/>
      <c r="Q46" s="654"/>
      <c r="R46" s="655"/>
      <c r="S46" s="655"/>
      <c r="T46" s="655"/>
      <c r="U46" s="655"/>
      <c r="V46" s="655"/>
      <c r="W46" s="655"/>
      <c r="X46" s="660"/>
      <c r="Y46" s="662"/>
      <c r="Z46" s="655"/>
      <c r="AA46" s="655"/>
      <c r="AB46" s="655"/>
      <c r="AC46" s="655"/>
      <c r="AD46" s="655"/>
      <c r="AE46" s="656"/>
      <c r="AF46" s="662"/>
      <c r="AG46" s="655"/>
      <c r="AH46" s="655"/>
      <c r="AI46" s="655"/>
      <c r="AJ46" s="655"/>
      <c r="AK46" s="655"/>
      <c r="AL46" s="656"/>
    </row>
    <row r="47" spans="2:38" x14ac:dyDescent="0.45">
      <c r="B47" s="748"/>
      <c r="C47" s="749"/>
      <c r="D47" s="241"/>
      <c r="E47" s="241"/>
      <c r="F47" s="276"/>
      <c r="G47" s="240"/>
      <c r="H47" s="241"/>
      <c r="I47" s="241"/>
    </row>
    <row r="48" spans="2:38" ht="17" thickBot="1" x14ac:dyDescent="0.5">
      <c r="B48" s="749" t="s">
        <v>593</v>
      </c>
      <c r="C48" s="750" t="str">
        <f>RAP!B21</f>
        <v>Mobilisasi dan Demobilisasi Alat</v>
      </c>
      <c r="D48" s="238"/>
      <c r="E48" s="238"/>
      <c r="F48" s="239"/>
      <c r="G48" s="240"/>
      <c r="H48" s="241"/>
      <c r="I48" s="241"/>
      <c r="J48" s="604"/>
      <c r="K48" s="603"/>
      <c r="L48" s="604"/>
      <c r="M48" s="604"/>
      <c r="N48" s="604"/>
      <c r="O48" s="604"/>
      <c r="P48" s="604"/>
      <c r="Q48" s="604"/>
      <c r="R48" s="609"/>
      <c r="S48" s="609"/>
      <c r="T48" s="609"/>
      <c r="U48" s="609"/>
      <c r="V48" s="609"/>
      <c r="W48" s="609"/>
      <c r="X48" s="609"/>
      <c r="Y48" s="609"/>
      <c r="Z48" s="609"/>
      <c r="AA48" s="609"/>
      <c r="AB48" s="609"/>
      <c r="AC48" s="609"/>
      <c r="AD48" s="609"/>
      <c r="AE48" s="609"/>
      <c r="AF48" s="609"/>
      <c r="AG48" s="609"/>
      <c r="AH48" s="609"/>
      <c r="AI48" s="609"/>
      <c r="AJ48" s="609"/>
      <c r="AK48" s="609"/>
      <c r="AL48" s="609"/>
    </row>
    <row r="49" spans="2:38" ht="19.5" customHeight="1" x14ac:dyDescent="0.45">
      <c r="B49" s="1168" t="s">
        <v>99</v>
      </c>
      <c r="C49" s="1171" t="s">
        <v>100</v>
      </c>
      <c r="D49" s="1171" t="s">
        <v>89</v>
      </c>
      <c r="E49" s="1171" t="s">
        <v>101</v>
      </c>
      <c r="F49" s="1171" t="s">
        <v>102</v>
      </c>
      <c r="G49" s="1109" t="s">
        <v>103</v>
      </c>
      <c r="H49" s="1110"/>
      <c r="I49" s="1110"/>
      <c r="J49" s="1151" t="s">
        <v>539</v>
      </c>
      <c r="K49" s="1152"/>
      <c r="L49" s="1152"/>
      <c r="M49" s="1152"/>
      <c r="N49" s="1152"/>
      <c r="O49" s="1152"/>
      <c r="P49" s="1152"/>
      <c r="Q49" s="1152"/>
      <c r="R49" s="1152"/>
      <c r="S49" s="1152"/>
      <c r="T49" s="1152"/>
      <c r="U49" s="1152"/>
      <c r="V49" s="1152"/>
      <c r="W49" s="1152"/>
      <c r="X49" s="1152"/>
      <c r="Y49" s="1153" t="s">
        <v>540</v>
      </c>
      <c r="Z49" s="1154"/>
      <c r="AA49" s="1154"/>
      <c r="AB49" s="1154"/>
      <c r="AC49" s="1154"/>
      <c r="AD49" s="1154"/>
      <c r="AE49" s="1155"/>
      <c r="AF49" s="1156" t="s">
        <v>541</v>
      </c>
      <c r="AG49" s="1157"/>
      <c r="AH49" s="1157"/>
      <c r="AI49" s="1157"/>
      <c r="AJ49" s="1157"/>
      <c r="AK49" s="1157"/>
      <c r="AL49" s="1158"/>
    </row>
    <row r="50" spans="2:38" ht="45" x14ac:dyDescent="0.45">
      <c r="B50" s="1169"/>
      <c r="C50" s="1089"/>
      <c r="D50" s="1089"/>
      <c r="E50" s="1089"/>
      <c r="F50" s="1089"/>
      <c r="G50" s="1026"/>
      <c r="H50" s="1027"/>
      <c r="I50" s="1027"/>
      <c r="J50" s="1159" t="s">
        <v>15</v>
      </c>
      <c r="K50" s="673" t="s">
        <v>493</v>
      </c>
      <c r="L50" s="1161" t="s">
        <v>491</v>
      </c>
      <c r="M50" s="1162"/>
      <c r="N50" s="1162"/>
      <c r="O50" s="1162"/>
      <c r="P50" s="1163"/>
      <c r="Q50" s="674" t="s">
        <v>533</v>
      </c>
      <c r="R50" s="1161" t="s">
        <v>501</v>
      </c>
      <c r="S50" s="1162"/>
      <c r="T50" s="1163"/>
      <c r="U50" s="674" t="s">
        <v>530</v>
      </c>
      <c r="V50" s="674" t="s">
        <v>531</v>
      </c>
      <c r="W50" s="674" t="s">
        <v>578</v>
      </c>
      <c r="X50" s="681" t="s">
        <v>579</v>
      </c>
      <c r="Y50" s="1164" t="s">
        <v>534</v>
      </c>
      <c r="Z50" s="1165"/>
      <c r="AA50" s="663" t="s">
        <v>537</v>
      </c>
      <c r="AB50" s="664" t="s">
        <v>538</v>
      </c>
      <c r="AC50" s="665" t="s">
        <v>530</v>
      </c>
      <c r="AD50" s="665" t="s">
        <v>578</v>
      </c>
      <c r="AE50" s="682" t="s">
        <v>579</v>
      </c>
      <c r="AF50" s="1166" t="s">
        <v>542</v>
      </c>
      <c r="AG50" s="1167"/>
      <c r="AH50" s="737" t="s">
        <v>543</v>
      </c>
      <c r="AI50" s="738" t="s">
        <v>544</v>
      </c>
      <c r="AJ50" s="739" t="s">
        <v>530</v>
      </c>
      <c r="AK50" s="739" t="s">
        <v>578</v>
      </c>
      <c r="AL50" s="740" t="s">
        <v>579</v>
      </c>
    </row>
    <row r="51" spans="2:38" ht="30" x14ac:dyDescent="0.45">
      <c r="B51" s="1170"/>
      <c r="C51" s="1090"/>
      <c r="D51" s="1090"/>
      <c r="E51" s="1090"/>
      <c r="F51" s="1090"/>
      <c r="G51" s="1085"/>
      <c r="H51" s="1086"/>
      <c r="I51" s="1086"/>
      <c r="J51" s="1160"/>
      <c r="K51" s="675" t="s">
        <v>495</v>
      </c>
      <c r="L51" s="676" t="s">
        <v>524</v>
      </c>
      <c r="M51" s="676" t="s">
        <v>525</v>
      </c>
      <c r="N51" s="676" t="s">
        <v>526</v>
      </c>
      <c r="O51" s="675" t="s">
        <v>517</v>
      </c>
      <c r="P51" s="675" t="s">
        <v>290</v>
      </c>
      <c r="Q51" s="675" t="s">
        <v>532</v>
      </c>
      <c r="R51" s="676" t="s">
        <v>527</v>
      </c>
      <c r="S51" s="676" t="s">
        <v>528</v>
      </c>
      <c r="T51" s="677" t="s">
        <v>529</v>
      </c>
      <c r="U51" s="675" t="s">
        <v>502</v>
      </c>
      <c r="V51" s="675" t="s">
        <v>502</v>
      </c>
      <c r="W51" s="675" t="s">
        <v>502</v>
      </c>
      <c r="X51" s="678" t="s">
        <v>504</v>
      </c>
      <c r="Y51" s="666" t="s">
        <v>535</v>
      </c>
      <c r="Z51" s="667" t="s">
        <v>536</v>
      </c>
      <c r="AA51" s="668" t="s">
        <v>532</v>
      </c>
      <c r="AB51" s="668" t="s">
        <v>532</v>
      </c>
      <c r="AC51" s="668" t="s">
        <v>532</v>
      </c>
      <c r="AD51" s="668" t="s">
        <v>532</v>
      </c>
      <c r="AE51" s="669" t="s">
        <v>532</v>
      </c>
      <c r="AF51" s="741" t="s">
        <v>535</v>
      </c>
      <c r="AG51" s="742" t="s">
        <v>536</v>
      </c>
      <c r="AH51" s="743" t="s">
        <v>532</v>
      </c>
      <c r="AI51" s="743" t="s">
        <v>532</v>
      </c>
      <c r="AJ51" s="743" t="s">
        <v>532</v>
      </c>
      <c r="AK51" s="743" t="s">
        <v>532</v>
      </c>
      <c r="AL51" s="744" t="s">
        <v>532</v>
      </c>
    </row>
    <row r="52" spans="2:38" ht="30" x14ac:dyDescent="0.45">
      <c r="B52" s="639" t="s">
        <v>4</v>
      </c>
      <c r="C52" s="600" t="s">
        <v>5</v>
      </c>
      <c r="D52" s="570" t="s">
        <v>6</v>
      </c>
      <c r="E52" s="570" t="s">
        <v>112</v>
      </c>
      <c r="F52" s="570" t="s">
        <v>114</v>
      </c>
      <c r="G52" s="1014" t="s">
        <v>115</v>
      </c>
      <c r="H52" s="1014"/>
      <c r="I52" s="1014"/>
      <c r="J52" s="679" t="s">
        <v>21</v>
      </c>
      <c r="K52" s="675" t="s">
        <v>496</v>
      </c>
      <c r="L52" s="675" t="s">
        <v>497</v>
      </c>
      <c r="M52" s="675" t="s">
        <v>498</v>
      </c>
      <c r="N52" s="675" t="s">
        <v>499</v>
      </c>
      <c r="O52" s="676" t="s">
        <v>552</v>
      </c>
      <c r="P52" s="675" t="s">
        <v>512</v>
      </c>
      <c r="Q52" s="675" t="s">
        <v>503</v>
      </c>
      <c r="R52" s="675" t="s">
        <v>553</v>
      </c>
      <c r="S52" s="675" t="s">
        <v>513</v>
      </c>
      <c r="T52" s="675" t="s">
        <v>514</v>
      </c>
      <c r="U52" s="675" t="s">
        <v>554</v>
      </c>
      <c r="V52" s="675" t="s">
        <v>515</v>
      </c>
      <c r="W52" s="675" t="s">
        <v>555</v>
      </c>
      <c r="X52" s="678" t="s">
        <v>516</v>
      </c>
      <c r="Y52" s="670" t="s">
        <v>556</v>
      </c>
      <c r="Z52" s="671" t="s">
        <v>557</v>
      </c>
      <c r="AA52" s="671" t="s">
        <v>558</v>
      </c>
      <c r="AB52" s="671" t="s">
        <v>559</v>
      </c>
      <c r="AC52" s="671" t="s">
        <v>560</v>
      </c>
      <c r="AD52" s="671" t="s">
        <v>561</v>
      </c>
      <c r="AE52" s="672" t="s">
        <v>562</v>
      </c>
      <c r="AF52" s="745" t="s">
        <v>563</v>
      </c>
      <c r="AG52" s="746" t="s">
        <v>564</v>
      </c>
      <c r="AH52" s="746" t="s">
        <v>565</v>
      </c>
      <c r="AI52" s="746" t="s">
        <v>566</v>
      </c>
      <c r="AJ52" s="746" t="s">
        <v>567</v>
      </c>
      <c r="AK52" s="746" t="s">
        <v>568</v>
      </c>
      <c r="AL52" s="747" t="s">
        <v>569</v>
      </c>
    </row>
    <row r="53" spans="2:38" ht="15.5" x14ac:dyDescent="0.45">
      <c r="B53" s="640">
        <v>3</v>
      </c>
      <c r="C53" s="440" t="s">
        <v>16</v>
      </c>
      <c r="D53" s="439"/>
      <c r="E53" s="441">
        <v>1</v>
      </c>
      <c r="F53" s="439" t="s">
        <v>175</v>
      </c>
      <c r="G53" s="442" t="s">
        <v>596</v>
      </c>
      <c r="H53" s="443"/>
      <c r="I53" s="443"/>
      <c r="J53" s="653"/>
      <c r="K53" s="445"/>
      <c r="L53" s="445"/>
      <c r="M53" s="445"/>
      <c r="N53" s="445"/>
      <c r="O53" s="445"/>
      <c r="P53" s="445"/>
      <c r="Q53" s="445"/>
      <c r="R53" s="445"/>
      <c r="S53" s="445"/>
      <c r="T53" s="445"/>
      <c r="U53" s="445"/>
      <c r="V53" s="445"/>
      <c r="W53" s="445"/>
      <c r="X53" s="658"/>
      <c r="Y53" s="653"/>
      <c r="Z53" s="445"/>
      <c r="AA53" s="445"/>
      <c r="AB53" s="445"/>
      <c r="AC53" s="445"/>
      <c r="AD53" s="445"/>
      <c r="AE53" s="641"/>
      <c r="AF53" s="653"/>
      <c r="AG53" s="445"/>
      <c r="AH53" s="445"/>
      <c r="AI53" s="445"/>
      <c r="AJ53" s="445"/>
      <c r="AK53" s="445"/>
      <c r="AL53" s="641"/>
    </row>
    <row r="54" spans="2:38" x14ac:dyDescent="0.45">
      <c r="B54" s="642"/>
      <c r="C54" s="210"/>
      <c r="D54" s="211"/>
      <c r="E54" s="212"/>
      <c r="F54" s="207" t="s">
        <v>4</v>
      </c>
      <c r="G54" s="213" t="s">
        <v>106</v>
      </c>
      <c r="H54" s="209"/>
      <c r="I54" s="209"/>
      <c r="J54" s="762">
        <f>RAP!E21</f>
        <v>1</v>
      </c>
      <c r="K54" s="601">
        <v>4</v>
      </c>
      <c r="L54" s="319"/>
      <c r="M54" s="319"/>
      <c r="N54" s="319"/>
      <c r="O54" s="598"/>
      <c r="P54" s="598"/>
      <c r="Q54" s="605"/>
      <c r="R54" s="485"/>
      <c r="S54" s="485"/>
      <c r="T54" s="485"/>
      <c r="U54" s="752">
        <f>SUM(R55:R64)+(SUM(S55:S64)+SUM(T55:T64))</f>
        <v>15000000</v>
      </c>
      <c r="V54" s="754">
        <f>RAP!H21</f>
        <v>15000000</v>
      </c>
      <c r="W54" s="752">
        <f>V54-U54</f>
        <v>0</v>
      </c>
      <c r="X54" s="760">
        <f>W54/V54*100</f>
        <v>0</v>
      </c>
      <c r="Y54" s="755">
        <f>SUM(R55:R64)/J54</f>
        <v>15000000</v>
      </c>
      <c r="Z54" s="757">
        <v>15000000</v>
      </c>
      <c r="AA54" s="758">
        <f>J54*Z54</f>
        <v>15000000</v>
      </c>
      <c r="AB54" s="758">
        <f>SUM(S54:S64)+SUM(T54:T64)</f>
        <v>0</v>
      </c>
      <c r="AC54" s="752">
        <f>AA54+AB54</f>
        <v>15000000</v>
      </c>
      <c r="AD54" s="752">
        <f>V54-AC54</f>
        <v>0</v>
      </c>
      <c r="AE54" s="760">
        <f>AD54/V54*100</f>
        <v>0</v>
      </c>
      <c r="AF54" s="755">
        <f>(SUM(R54:R64)+SUM(S54:S64))/J54</f>
        <v>15000000</v>
      </c>
      <c r="AG54" s="757">
        <v>15000000</v>
      </c>
      <c r="AH54" s="758">
        <f>AG54*J54</f>
        <v>15000000</v>
      </c>
      <c r="AI54" s="758">
        <f>SUM(T54:T64)</f>
        <v>0</v>
      </c>
      <c r="AJ54" s="752">
        <f>AH54+AI54</f>
        <v>15000000</v>
      </c>
      <c r="AK54" s="752">
        <f>V54-AJ54</f>
        <v>0</v>
      </c>
      <c r="AL54" s="760">
        <f>AK54/V54*100</f>
        <v>0</v>
      </c>
    </row>
    <row r="55" spans="2:38" x14ac:dyDescent="0.45">
      <c r="B55" s="643"/>
      <c r="C55" s="215"/>
      <c r="D55" s="211" t="s">
        <v>154</v>
      </c>
      <c r="E55" s="216">
        <v>1</v>
      </c>
      <c r="F55" s="217" t="s">
        <v>175</v>
      </c>
      <c r="G55" s="218" t="s">
        <v>596</v>
      </c>
      <c r="H55" s="219"/>
      <c r="I55" s="219"/>
      <c r="J55" s="661"/>
      <c r="K55" s="602"/>
      <c r="L55" s="433">
        <f>E55*J54/K54</f>
        <v>0.25</v>
      </c>
      <c r="M55" s="433"/>
      <c r="N55" s="433"/>
      <c r="O55" s="597">
        <v>0.25</v>
      </c>
      <c r="P55" s="596" t="str">
        <f>F55</f>
        <v>Ls</v>
      </c>
      <c r="Q55" s="608">
        <f>'Harga Alat RAP'!G34</f>
        <v>15000000</v>
      </c>
      <c r="R55" s="453">
        <f>O55*Q55*K54</f>
        <v>15000000</v>
      </c>
      <c r="S55" s="453"/>
      <c r="T55" s="453"/>
      <c r="U55" s="753"/>
      <c r="V55" s="753"/>
      <c r="W55" s="753"/>
      <c r="X55" s="761"/>
      <c r="Y55" s="756"/>
      <c r="Z55" s="759"/>
      <c r="AA55" s="759"/>
      <c r="AB55" s="759"/>
      <c r="AC55" s="753"/>
      <c r="AD55" s="753"/>
      <c r="AE55" s="761"/>
      <c r="AF55" s="756"/>
      <c r="AG55" s="759"/>
      <c r="AH55" s="759"/>
      <c r="AI55" s="759"/>
      <c r="AJ55" s="753"/>
      <c r="AK55" s="753"/>
      <c r="AL55" s="761"/>
    </row>
    <row r="56" spans="2:38" x14ac:dyDescent="0.45">
      <c r="B56" s="643"/>
      <c r="C56" s="215"/>
      <c r="D56" s="211" t="s">
        <v>154</v>
      </c>
      <c r="E56" s="212">
        <v>0</v>
      </c>
      <c r="F56" s="211" t="s">
        <v>154</v>
      </c>
      <c r="G56" s="221" t="s">
        <v>154</v>
      </c>
      <c r="H56" s="209"/>
      <c r="I56" s="209"/>
      <c r="J56" s="661"/>
      <c r="K56" s="602"/>
      <c r="L56" s="433">
        <f>E56*J54/K54</f>
        <v>0</v>
      </c>
      <c r="M56" s="433"/>
      <c r="N56" s="433"/>
      <c r="O56" s="597">
        <v>0</v>
      </c>
      <c r="P56" s="596" t="str">
        <f>F56</f>
        <v>-</v>
      </c>
      <c r="Q56" s="608">
        <v>0</v>
      </c>
      <c r="R56" s="453">
        <f>O56*Q56*K54</f>
        <v>0</v>
      </c>
      <c r="S56" s="453"/>
      <c r="T56" s="453"/>
      <c r="U56" s="753"/>
      <c r="V56" s="753"/>
      <c r="W56" s="753"/>
      <c r="X56" s="761"/>
      <c r="Y56" s="756"/>
      <c r="Z56" s="759"/>
      <c r="AA56" s="759"/>
      <c r="AB56" s="759"/>
      <c r="AC56" s="753"/>
      <c r="AD56" s="753"/>
      <c r="AE56" s="761"/>
      <c r="AF56" s="756"/>
      <c r="AG56" s="759"/>
      <c r="AH56" s="759"/>
      <c r="AI56" s="759"/>
      <c r="AJ56" s="753"/>
      <c r="AK56" s="753"/>
      <c r="AL56" s="761"/>
    </row>
    <row r="57" spans="2:38" x14ac:dyDescent="0.45">
      <c r="B57" s="643"/>
      <c r="C57" s="215"/>
      <c r="D57" s="211" t="s">
        <v>154</v>
      </c>
      <c r="E57" s="223">
        <v>0</v>
      </c>
      <c r="F57" s="224" t="s">
        <v>154</v>
      </c>
      <c r="G57" s="225" t="s">
        <v>154</v>
      </c>
      <c r="H57" s="226"/>
      <c r="I57" s="226"/>
      <c r="J57" s="661"/>
      <c r="K57" s="602"/>
      <c r="L57" s="433">
        <f>E57*J54/K54</f>
        <v>0</v>
      </c>
      <c r="M57" s="433"/>
      <c r="N57" s="433"/>
      <c r="O57" s="597">
        <v>0</v>
      </c>
      <c r="P57" s="596" t="str">
        <f>F57</f>
        <v>-</v>
      </c>
      <c r="Q57" s="608">
        <v>0</v>
      </c>
      <c r="R57" s="453">
        <f>O57*Q57*K54</f>
        <v>0</v>
      </c>
      <c r="S57" s="453"/>
      <c r="T57" s="453"/>
      <c r="U57" s="753"/>
      <c r="V57" s="753"/>
      <c r="W57" s="753"/>
      <c r="X57" s="761"/>
      <c r="Y57" s="756"/>
      <c r="Z57" s="759"/>
      <c r="AA57" s="759"/>
      <c r="AB57" s="759"/>
      <c r="AC57" s="753"/>
      <c r="AD57" s="753"/>
      <c r="AE57" s="761"/>
      <c r="AF57" s="756"/>
      <c r="AG57" s="759"/>
      <c r="AH57" s="759"/>
      <c r="AI57" s="759"/>
      <c r="AJ57" s="753"/>
      <c r="AK57" s="753"/>
      <c r="AL57" s="761"/>
    </row>
    <row r="58" spans="2:38" x14ac:dyDescent="0.45">
      <c r="B58" s="643"/>
      <c r="C58" s="215"/>
      <c r="D58" s="211" t="s">
        <v>154</v>
      </c>
      <c r="E58" s="216">
        <v>0</v>
      </c>
      <c r="F58" s="217" t="s">
        <v>154</v>
      </c>
      <c r="G58" s="228" t="s">
        <v>154</v>
      </c>
      <c r="H58" s="229"/>
      <c r="I58" s="229"/>
      <c r="J58" s="661"/>
      <c r="K58" s="602"/>
      <c r="L58" s="433">
        <f>E58*J54/K54</f>
        <v>0</v>
      </c>
      <c r="M58" s="433"/>
      <c r="N58" s="433"/>
      <c r="O58" s="597">
        <v>0</v>
      </c>
      <c r="P58" s="596" t="str">
        <f>F58</f>
        <v>-</v>
      </c>
      <c r="Q58" s="608">
        <v>0</v>
      </c>
      <c r="R58" s="453">
        <f>O58*Q58*K54</f>
        <v>0</v>
      </c>
      <c r="S58" s="453"/>
      <c r="T58" s="453"/>
      <c r="U58" s="753"/>
      <c r="V58" s="753"/>
      <c r="W58" s="753"/>
      <c r="X58" s="761"/>
      <c r="Y58" s="756"/>
      <c r="Z58" s="759"/>
      <c r="AA58" s="759"/>
      <c r="AB58" s="759"/>
      <c r="AC58" s="753"/>
      <c r="AD58" s="753"/>
      <c r="AE58" s="761"/>
      <c r="AF58" s="756"/>
      <c r="AG58" s="759"/>
      <c r="AH58" s="759"/>
      <c r="AI58" s="759"/>
      <c r="AJ58" s="753"/>
      <c r="AK58" s="753"/>
      <c r="AL58" s="761"/>
    </row>
    <row r="59" spans="2:38" x14ac:dyDescent="0.45">
      <c r="B59" s="645"/>
      <c r="C59" s="215"/>
      <c r="D59" s="230"/>
      <c r="E59" s="230"/>
      <c r="F59" s="207" t="s">
        <v>5</v>
      </c>
      <c r="G59" s="213" t="s">
        <v>110</v>
      </c>
      <c r="H59" s="231"/>
      <c r="I59" s="232"/>
      <c r="J59" s="661"/>
      <c r="K59" s="602"/>
      <c r="L59" s="433"/>
      <c r="M59" s="433"/>
      <c r="N59" s="433"/>
      <c r="O59" s="597"/>
      <c r="P59" s="596"/>
      <c r="Q59" s="608"/>
      <c r="R59" s="453"/>
      <c r="S59" s="453"/>
      <c r="T59" s="453"/>
      <c r="U59" s="753"/>
      <c r="V59" s="753"/>
      <c r="W59" s="753"/>
      <c r="X59" s="761"/>
      <c r="Y59" s="756"/>
      <c r="Z59" s="759"/>
      <c r="AA59" s="759"/>
      <c r="AB59" s="759"/>
      <c r="AC59" s="753"/>
      <c r="AD59" s="753"/>
      <c r="AE59" s="761"/>
      <c r="AF59" s="756"/>
      <c r="AG59" s="759"/>
      <c r="AH59" s="759"/>
      <c r="AI59" s="759"/>
      <c r="AJ59" s="753"/>
      <c r="AK59" s="753"/>
      <c r="AL59" s="761"/>
    </row>
    <row r="60" spans="2:38" x14ac:dyDescent="0.45">
      <c r="B60" s="645"/>
      <c r="C60" s="215"/>
      <c r="D60" s="230"/>
      <c r="E60" s="234">
        <v>0</v>
      </c>
      <c r="F60" s="211" t="s">
        <v>154</v>
      </c>
      <c r="G60" s="235" t="s">
        <v>154</v>
      </c>
      <c r="H60" s="231"/>
      <c r="I60" s="232"/>
      <c r="J60" s="661"/>
      <c r="K60" s="602"/>
      <c r="L60" s="433"/>
      <c r="M60" s="433">
        <f>E60*J54</f>
        <v>0</v>
      </c>
      <c r="N60" s="433"/>
      <c r="O60" s="597">
        <v>0</v>
      </c>
      <c r="P60" s="596">
        <f>E60</f>
        <v>0</v>
      </c>
      <c r="Q60" s="608">
        <v>0</v>
      </c>
      <c r="R60" s="453"/>
      <c r="S60" s="453">
        <f>O60*Q60</f>
        <v>0</v>
      </c>
      <c r="T60" s="453"/>
      <c r="U60" s="753"/>
      <c r="V60" s="753"/>
      <c r="W60" s="753"/>
      <c r="X60" s="761"/>
      <c r="Y60" s="756"/>
      <c r="Z60" s="759"/>
      <c r="AA60" s="759"/>
      <c r="AB60" s="759"/>
      <c r="AC60" s="753"/>
      <c r="AD60" s="753"/>
      <c r="AE60" s="761"/>
      <c r="AF60" s="756"/>
      <c r="AG60" s="759"/>
      <c r="AH60" s="759"/>
      <c r="AI60" s="759"/>
      <c r="AJ60" s="753"/>
      <c r="AK60" s="753"/>
      <c r="AL60" s="761"/>
    </row>
    <row r="61" spans="2:38" x14ac:dyDescent="0.45">
      <c r="B61" s="645"/>
      <c r="C61" s="215"/>
      <c r="D61" s="230"/>
      <c r="E61" s="234">
        <v>0</v>
      </c>
      <c r="F61" s="211" t="s">
        <v>154</v>
      </c>
      <c r="G61" s="235" t="s">
        <v>154</v>
      </c>
      <c r="H61" s="231"/>
      <c r="I61" s="232"/>
      <c r="J61" s="661"/>
      <c r="K61" s="602"/>
      <c r="L61" s="433"/>
      <c r="M61" s="433">
        <f>E61*J54</f>
        <v>0</v>
      </c>
      <c r="N61" s="433"/>
      <c r="O61" s="597">
        <v>0</v>
      </c>
      <c r="P61" s="596">
        <f>E61</f>
        <v>0</v>
      </c>
      <c r="Q61" s="608">
        <v>0</v>
      </c>
      <c r="R61" s="453"/>
      <c r="S61" s="453">
        <f t="shared" ref="S61:S62" si="2">O61*Q61</f>
        <v>0</v>
      </c>
      <c r="T61" s="453"/>
      <c r="U61" s="753"/>
      <c r="V61" s="753"/>
      <c r="W61" s="753"/>
      <c r="X61" s="761"/>
      <c r="Y61" s="756"/>
      <c r="Z61" s="759"/>
      <c r="AA61" s="759"/>
      <c r="AB61" s="759"/>
      <c r="AC61" s="753"/>
      <c r="AD61" s="753"/>
      <c r="AE61" s="761"/>
      <c r="AF61" s="756"/>
      <c r="AG61" s="759"/>
      <c r="AH61" s="759"/>
      <c r="AI61" s="759"/>
      <c r="AJ61" s="753"/>
      <c r="AK61" s="753"/>
      <c r="AL61" s="761"/>
    </row>
    <row r="62" spans="2:38" x14ac:dyDescent="0.45">
      <c r="B62" s="645"/>
      <c r="C62" s="215"/>
      <c r="D62" s="230"/>
      <c r="E62" s="234">
        <v>0</v>
      </c>
      <c r="F62" s="211" t="s">
        <v>154</v>
      </c>
      <c r="G62" s="235" t="s">
        <v>154</v>
      </c>
      <c r="H62" s="231"/>
      <c r="I62" s="232"/>
      <c r="J62" s="661"/>
      <c r="K62" s="602"/>
      <c r="L62" s="433"/>
      <c r="M62" s="433">
        <f>E62*J54</f>
        <v>0</v>
      </c>
      <c r="N62" s="433"/>
      <c r="O62" s="597">
        <v>0</v>
      </c>
      <c r="P62" s="596">
        <f>E62</f>
        <v>0</v>
      </c>
      <c r="Q62" s="608">
        <v>0</v>
      </c>
      <c r="R62" s="453"/>
      <c r="S62" s="453">
        <f t="shared" si="2"/>
        <v>0</v>
      </c>
      <c r="T62" s="453"/>
      <c r="U62" s="753"/>
      <c r="V62" s="753"/>
      <c r="W62" s="753"/>
      <c r="X62" s="761"/>
      <c r="Y62" s="756"/>
      <c r="Z62" s="759"/>
      <c r="AA62" s="759"/>
      <c r="AB62" s="759"/>
      <c r="AC62" s="753"/>
      <c r="AD62" s="753"/>
      <c r="AE62" s="761"/>
      <c r="AF62" s="756"/>
      <c r="AG62" s="759"/>
      <c r="AH62" s="759"/>
      <c r="AI62" s="759"/>
      <c r="AJ62" s="753"/>
      <c r="AK62" s="753"/>
      <c r="AL62" s="761"/>
    </row>
    <row r="63" spans="2:38" x14ac:dyDescent="0.45">
      <c r="B63" s="645"/>
      <c r="C63" s="215"/>
      <c r="D63" s="230"/>
      <c r="E63" s="230"/>
      <c r="F63" s="207" t="s">
        <v>6</v>
      </c>
      <c r="G63" s="213" t="s">
        <v>111</v>
      </c>
      <c r="H63" s="244"/>
      <c r="I63" s="245"/>
      <c r="J63" s="661"/>
      <c r="K63" s="602"/>
      <c r="L63" s="433"/>
      <c r="M63" s="433"/>
      <c r="N63" s="433"/>
      <c r="O63" s="599"/>
      <c r="P63" s="596">
        <f>E63</f>
        <v>0</v>
      </c>
      <c r="Q63" s="606">
        <v>0</v>
      </c>
      <c r="R63" s="433"/>
      <c r="S63" s="433"/>
      <c r="T63" s="433"/>
      <c r="U63" s="753"/>
      <c r="V63" s="753"/>
      <c r="W63" s="753"/>
      <c r="X63" s="761"/>
      <c r="Y63" s="756"/>
      <c r="Z63" s="759"/>
      <c r="AA63" s="759"/>
      <c r="AB63" s="759"/>
      <c r="AC63" s="753"/>
      <c r="AD63" s="753"/>
      <c r="AE63" s="761"/>
      <c r="AF63" s="756"/>
      <c r="AG63" s="759"/>
      <c r="AH63" s="759"/>
      <c r="AI63" s="759"/>
      <c r="AJ63" s="753"/>
      <c r="AK63" s="753"/>
      <c r="AL63" s="761"/>
    </row>
    <row r="64" spans="2:38" x14ac:dyDescent="0.45">
      <c r="B64" s="645"/>
      <c r="C64" s="215"/>
      <c r="D64" s="238"/>
      <c r="E64" s="234">
        <v>0</v>
      </c>
      <c r="F64" s="211" t="s">
        <v>154</v>
      </c>
      <c r="G64" s="235" t="s">
        <v>154</v>
      </c>
      <c r="H64" s="231"/>
      <c r="I64" s="232"/>
      <c r="J64" s="661"/>
      <c r="K64" s="602"/>
      <c r="L64" s="433"/>
      <c r="M64" s="433"/>
      <c r="N64" s="433">
        <f>E64*J54</f>
        <v>0</v>
      </c>
      <c r="O64" s="599">
        <v>0</v>
      </c>
      <c r="P64" s="596">
        <f>E64</f>
        <v>0</v>
      </c>
      <c r="Q64" s="606">
        <v>0</v>
      </c>
      <c r="R64" s="433"/>
      <c r="S64" s="433"/>
      <c r="T64" s="433">
        <f>O64*Q64</f>
        <v>0</v>
      </c>
      <c r="U64" s="753"/>
      <c r="V64" s="753"/>
      <c r="W64" s="753"/>
      <c r="X64" s="761"/>
      <c r="Y64" s="756"/>
      <c r="Z64" s="759"/>
      <c r="AA64" s="759"/>
      <c r="AB64" s="759"/>
      <c r="AC64" s="753"/>
      <c r="AD64" s="753"/>
      <c r="AE64" s="761"/>
      <c r="AF64" s="756"/>
      <c r="AG64" s="759"/>
      <c r="AH64" s="759"/>
      <c r="AI64" s="759"/>
      <c r="AJ64" s="753"/>
      <c r="AK64" s="753"/>
      <c r="AL64" s="761"/>
    </row>
    <row r="65" spans="2:38" x14ac:dyDescent="0.45">
      <c r="B65" s="645"/>
      <c r="C65" s="215"/>
      <c r="D65" s="230"/>
      <c r="E65" s="230"/>
      <c r="F65" s="207" t="s">
        <v>112</v>
      </c>
      <c r="G65" s="213" t="s">
        <v>113</v>
      </c>
      <c r="H65" s="244"/>
      <c r="I65" s="245"/>
      <c r="J65" s="661"/>
      <c r="K65" s="602"/>
      <c r="L65" s="433"/>
      <c r="M65" s="433"/>
      <c r="N65" s="433"/>
      <c r="O65" s="433"/>
      <c r="P65" s="433"/>
      <c r="Q65" s="595"/>
      <c r="R65" s="433"/>
      <c r="S65" s="433"/>
      <c r="T65" s="433"/>
      <c r="U65" s="433"/>
      <c r="V65" s="433"/>
      <c r="W65" s="433"/>
      <c r="X65" s="659"/>
      <c r="Y65" s="661"/>
      <c r="Z65" s="433"/>
      <c r="AA65" s="433"/>
      <c r="AB65" s="433"/>
      <c r="AC65" s="433"/>
      <c r="AD65" s="433"/>
      <c r="AE65" s="644"/>
      <c r="AF65" s="661"/>
      <c r="AG65" s="433"/>
      <c r="AH65" s="433"/>
      <c r="AI65" s="433"/>
      <c r="AJ65" s="433"/>
      <c r="AK65" s="433"/>
      <c r="AL65" s="644"/>
    </row>
    <row r="66" spans="2:38" x14ac:dyDescent="0.45">
      <c r="B66" s="645"/>
      <c r="C66" s="215"/>
      <c r="D66" s="230"/>
      <c r="E66" s="230"/>
      <c r="F66" s="207" t="s">
        <v>114</v>
      </c>
      <c r="G66" s="213" t="s">
        <v>248</v>
      </c>
      <c r="H66" s="244"/>
      <c r="I66" s="247">
        <v>0</v>
      </c>
      <c r="J66" s="661"/>
      <c r="K66" s="602"/>
      <c r="L66" s="433"/>
      <c r="M66" s="433"/>
      <c r="N66" s="433"/>
      <c r="O66" s="433"/>
      <c r="P66" s="433"/>
      <c r="Q66" s="595"/>
      <c r="R66" s="433"/>
      <c r="S66" s="433"/>
      <c r="T66" s="433"/>
      <c r="U66" s="433"/>
      <c r="V66" s="433"/>
      <c r="W66" s="433"/>
      <c r="X66" s="659"/>
      <c r="Y66" s="661"/>
      <c r="Z66" s="433"/>
      <c r="AA66" s="433"/>
      <c r="AB66" s="433"/>
      <c r="AC66" s="433"/>
      <c r="AD66" s="433"/>
      <c r="AE66" s="644"/>
      <c r="AF66" s="661"/>
      <c r="AG66" s="433"/>
      <c r="AH66" s="433"/>
      <c r="AI66" s="433"/>
      <c r="AJ66" s="433"/>
      <c r="AK66" s="433"/>
      <c r="AL66" s="644"/>
    </row>
    <row r="67" spans="2:38" ht="17" thickBot="1" x14ac:dyDescent="0.5">
      <c r="B67" s="646"/>
      <c r="C67" s="647"/>
      <c r="D67" s="648"/>
      <c r="E67" s="648"/>
      <c r="F67" s="649" t="s">
        <v>115</v>
      </c>
      <c r="G67" s="650" t="s">
        <v>116</v>
      </c>
      <c r="H67" s="651"/>
      <c r="I67" s="652"/>
      <c r="J67" s="662"/>
      <c r="K67" s="763"/>
      <c r="L67" s="655"/>
      <c r="M67" s="655"/>
      <c r="N67" s="655"/>
      <c r="O67" s="655"/>
      <c r="P67" s="655"/>
      <c r="Q67" s="654"/>
      <c r="R67" s="655"/>
      <c r="S67" s="655"/>
      <c r="T67" s="655"/>
      <c r="U67" s="655"/>
      <c r="V67" s="655"/>
      <c r="W67" s="655"/>
      <c r="X67" s="660"/>
      <c r="Y67" s="662"/>
      <c r="Z67" s="655"/>
      <c r="AA67" s="655"/>
      <c r="AB67" s="655"/>
      <c r="AC67" s="655"/>
      <c r="AD67" s="655"/>
      <c r="AE67" s="656"/>
      <c r="AF67" s="662"/>
      <c r="AG67" s="655"/>
      <c r="AH67" s="655"/>
      <c r="AI67" s="655"/>
      <c r="AJ67" s="655"/>
      <c r="AK67" s="655"/>
      <c r="AL67" s="656"/>
    </row>
    <row r="68" spans="2:38" x14ac:dyDescent="0.45">
      <c r="B68" s="748"/>
      <c r="C68" s="749"/>
      <c r="D68" s="241"/>
      <c r="E68" s="241"/>
      <c r="F68" s="276"/>
      <c r="G68" s="240"/>
      <c r="H68" s="241"/>
      <c r="I68" s="241"/>
      <c r="J68" s="604"/>
      <c r="K68" s="603"/>
      <c r="L68" s="604"/>
      <c r="M68" s="604"/>
      <c r="N68" s="604"/>
      <c r="O68" s="604"/>
      <c r="P68" s="604"/>
      <c r="Q68" s="604"/>
      <c r="R68" s="609"/>
      <c r="S68" s="609"/>
      <c r="T68" s="609"/>
      <c r="U68" s="609"/>
      <c r="V68" s="609"/>
      <c r="W68" s="609"/>
      <c r="X68" s="609"/>
      <c r="Y68" s="609"/>
      <c r="Z68" s="609"/>
      <c r="AA68" s="609"/>
      <c r="AB68" s="609"/>
      <c r="AC68" s="609"/>
      <c r="AD68" s="609"/>
      <c r="AE68" s="609"/>
      <c r="AF68" s="609"/>
      <c r="AG68" s="609"/>
      <c r="AH68" s="609"/>
      <c r="AI68" s="609"/>
      <c r="AJ68" s="609"/>
      <c r="AK68" s="609"/>
      <c r="AL68" s="609"/>
    </row>
  </sheetData>
  <mergeCells count="45">
    <mergeCell ref="B10:B12"/>
    <mergeCell ref="C10:C12"/>
    <mergeCell ref="D10:D12"/>
    <mergeCell ref="E10:E12"/>
    <mergeCell ref="F10:F12"/>
    <mergeCell ref="G10:I12"/>
    <mergeCell ref="Y10:AE10"/>
    <mergeCell ref="AF10:AL10"/>
    <mergeCell ref="AF11:AG11"/>
    <mergeCell ref="Y11:Z11"/>
    <mergeCell ref="J11:J12"/>
    <mergeCell ref="L11:P11"/>
    <mergeCell ref="R11:T11"/>
    <mergeCell ref="J10:X10"/>
    <mergeCell ref="G13:I13"/>
    <mergeCell ref="G30:I32"/>
    <mergeCell ref="B30:B32"/>
    <mergeCell ref="C30:C32"/>
    <mergeCell ref="D30:D32"/>
    <mergeCell ref="E30:E32"/>
    <mergeCell ref="F30:F32"/>
    <mergeCell ref="J30:X30"/>
    <mergeCell ref="Y30:AE30"/>
    <mergeCell ref="AF30:AL30"/>
    <mergeCell ref="J31:J32"/>
    <mergeCell ref="L31:P31"/>
    <mergeCell ref="R31:T31"/>
    <mergeCell ref="Y31:Z31"/>
    <mergeCell ref="AF31:AG31"/>
    <mergeCell ref="G33:I33"/>
    <mergeCell ref="B49:B51"/>
    <mergeCell ref="C49:C51"/>
    <mergeCell ref="D49:D51"/>
    <mergeCell ref="E49:E51"/>
    <mergeCell ref="F49:F51"/>
    <mergeCell ref="G49:I51"/>
    <mergeCell ref="G52:I52"/>
    <mergeCell ref="J49:X49"/>
    <mergeCell ref="Y49:AE49"/>
    <mergeCell ref="AF49:AL49"/>
    <mergeCell ref="J50:J51"/>
    <mergeCell ref="L50:P50"/>
    <mergeCell ref="R50:T50"/>
    <mergeCell ref="Y50:Z50"/>
    <mergeCell ref="AF50:AG5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517A-6AD5-4D98-8716-FD1C80B4B595}">
  <sheetPr>
    <tabColor rgb="FFFFFF00"/>
  </sheetPr>
  <dimension ref="A1:AL104"/>
  <sheetViews>
    <sheetView view="pageBreakPreview" topLeftCell="A82" zoomScale="70" zoomScaleNormal="100" zoomScaleSheetLayoutView="70" workbookViewId="0">
      <selection activeCell="J21" sqref="J21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6.72656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RAP!B23</f>
        <v>PEKERJAAN TANAH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ht="17" thickBot="1" x14ac:dyDescent="0.5">
      <c r="B9" s="749" t="s">
        <v>599</v>
      </c>
      <c r="C9" s="750" t="str">
        <f>RAP!B24</f>
        <v>Galian Tanah Biasa 1 m</v>
      </c>
      <c r="D9" s="241"/>
      <c r="E9" s="241"/>
      <c r="F9" s="276"/>
      <c r="G9" s="240"/>
      <c r="H9" s="241"/>
      <c r="I9" s="241"/>
      <c r="J9" s="604"/>
      <c r="K9" s="603"/>
      <c r="L9" s="604"/>
      <c r="M9" s="604"/>
      <c r="N9" s="604"/>
      <c r="O9" s="604"/>
      <c r="P9" s="604"/>
      <c r="Q9" s="604"/>
      <c r="R9" s="609"/>
      <c r="S9" s="609"/>
      <c r="T9" s="609"/>
      <c r="U9" s="609"/>
      <c r="V9" s="609"/>
      <c r="W9" s="609"/>
      <c r="X9" s="609"/>
      <c r="Y9" s="609"/>
      <c r="Z9" s="609"/>
      <c r="AA9" s="609"/>
      <c r="AB9" s="609"/>
      <c r="AC9" s="609"/>
      <c r="AD9" s="609"/>
      <c r="AE9" s="609"/>
      <c r="AF9" s="609"/>
      <c r="AG9" s="609"/>
      <c r="AH9" s="609"/>
      <c r="AI9" s="609"/>
      <c r="AJ9" s="609"/>
      <c r="AK9" s="609"/>
      <c r="AL9" s="609"/>
    </row>
    <row r="10" spans="2:38" ht="19.5" customHeight="1" x14ac:dyDescent="0.45">
      <c r="B10" s="1168" t="s">
        <v>99</v>
      </c>
      <c r="C10" s="1171" t="s">
        <v>100</v>
      </c>
      <c r="D10" s="1171" t="s">
        <v>89</v>
      </c>
      <c r="E10" s="1171" t="s">
        <v>101</v>
      </c>
      <c r="F10" s="1171" t="s">
        <v>102</v>
      </c>
      <c r="G10" s="1109" t="s">
        <v>103</v>
      </c>
      <c r="H10" s="1110"/>
      <c r="I10" s="1175"/>
      <c r="J10" s="1151" t="s">
        <v>539</v>
      </c>
      <c r="K10" s="1152"/>
      <c r="L10" s="1152"/>
      <c r="M10" s="1152"/>
      <c r="N10" s="1152"/>
      <c r="O10" s="1152"/>
      <c r="P10" s="1152"/>
      <c r="Q10" s="1152"/>
      <c r="R10" s="1152"/>
      <c r="S10" s="1152"/>
      <c r="T10" s="1152"/>
      <c r="U10" s="1152"/>
      <c r="V10" s="1152"/>
      <c r="W10" s="1152"/>
      <c r="X10" s="1152"/>
      <c r="Y10" s="1153" t="s">
        <v>540</v>
      </c>
      <c r="Z10" s="1154"/>
      <c r="AA10" s="1154"/>
      <c r="AB10" s="1154"/>
      <c r="AC10" s="1154"/>
      <c r="AD10" s="1154"/>
      <c r="AE10" s="1155"/>
      <c r="AF10" s="1156" t="s">
        <v>541</v>
      </c>
      <c r="AG10" s="1157"/>
      <c r="AH10" s="1157"/>
      <c r="AI10" s="1157"/>
      <c r="AJ10" s="1157"/>
      <c r="AK10" s="1157"/>
      <c r="AL10" s="1158"/>
    </row>
    <row r="11" spans="2:38" ht="45" x14ac:dyDescent="0.45">
      <c r="B11" s="1169"/>
      <c r="C11" s="1089"/>
      <c r="D11" s="1089"/>
      <c r="E11" s="1089"/>
      <c r="F11" s="1089"/>
      <c r="G11" s="1026"/>
      <c r="H11" s="1027"/>
      <c r="I11" s="1176"/>
      <c r="J11" s="1159" t="s">
        <v>15</v>
      </c>
      <c r="K11" s="673" t="s">
        <v>493</v>
      </c>
      <c r="L11" s="1161" t="s">
        <v>491</v>
      </c>
      <c r="M11" s="1162"/>
      <c r="N11" s="1162"/>
      <c r="O11" s="1162"/>
      <c r="P11" s="1163"/>
      <c r="Q11" s="674" t="s">
        <v>533</v>
      </c>
      <c r="R11" s="1161" t="s">
        <v>501</v>
      </c>
      <c r="S11" s="1162"/>
      <c r="T11" s="1163"/>
      <c r="U11" s="674" t="s">
        <v>530</v>
      </c>
      <c r="V11" s="674" t="s">
        <v>531</v>
      </c>
      <c r="W11" s="674" t="s">
        <v>578</v>
      </c>
      <c r="X11" s="681" t="s">
        <v>579</v>
      </c>
      <c r="Y11" s="1164" t="s">
        <v>534</v>
      </c>
      <c r="Z11" s="1165"/>
      <c r="AA11" s="663" t="s">
        <v>537</v>
      </c>
      <c r="AB11" s="664" t="s">
        <v>538</v>
      </c>
      <c r="AC11" s="665" t="s">
        <v>530</v>
      </c>
      <c r="AD11" s="665" t="s">
        <v>578</v>
      </c>
      <c r="AE11" s="682" t="s">
        <v>579</v>
      </c>
      <c r="AF11" s="1166" t="s">
        <v>542</v>
      </c>
      <c r="AG11" s="1167"/>
      <c r="AH11" s="737" t="s">
        <v>543</v>
      </c>
      <c r="AI11" s="738" t="s">
        <v>544</v>
      </c>
      <c r="AJ11" s="739" t="s">
        <v>530</v>
      </c>
      <c r="AK11" s="739" t="s">
        <v>578</v>
      </c>
      <c r="AL11" s="740" t="s">
        <v>579</v>
      </c>
    </row>
    <row r="12" spans="2:38" ht="30" x14ac:dyDescent="0.45">
      <c r="B12" s="1170"/>
      <c r="C12" s="1090"/>
      <c r="D12" s="1090"/>
      <c r="E12" s="1090"/>
      <c r="F12" s="1090"/>
      <c r="G12" s="1085"/>
      <c r="H12" s="1086"/>
      <c r="I12" s="1177"/>
      <c r="J12" s="1160"/>
      <c r="K12" s="675" t="s">
        <v>495</v>
      </c>
      <c r="L12" s="676" t="s">
        <v>524</v>
      </c>
      <c r="M12" s="676" t="s">
        <v>525</v>
      </c>
      <c r="N12" s="676" t="s">
        <v>526</v>
      </c>
      <c r="O12" s="675" t="s">
        <v>517</v>
      </c>
      <c r="P12" s="675" t="s">
        <v>290</v>
      </c>
      <c r="Q12" s="675" t="s">
        <v>532</v>
      </c>
      <c r="R12" s="676" t="s">
        <v>527</v>
      </c>
      <c r="S12" s="676" t="s">
        <v>528</v>
      </c>
      <c r="T12" s="677" t="s">
        <v>529</v>
      </c>
      <c r="U12" s="675" t="s">
        <v>502</v>
      </c>
      <c r="V12" s="675" t="s">
        <v>502</v>
      </c>
      <c r="W12" s="675" t="s">
        <v>502</v>
      </c>
      <c r="X12" s="678" t="s">
        <v>504</v>
      </c>
      <c r="Y12" s="666" t="s">
        <v>535</v>
      </c>
      <c r="Z12" s="667" t="s">
        <v>536</v>
      </c>
      <c r="AA12" s="668" t="s">
        <v>532</v>
      </c>
      <c r="AB12" s="668" t="s">
        <v>532</v>
      </c>
      <c r="AC12" s="668" t="s">
        <v>532</v>
      </c>
      <c r="AD12" s="668" t="s">
        <v>532</v>
      </c>
      <c r="AE12" s="669" t="s">
        <v>532</v>
      </c>
      <c r="AF12" s="741" t="s">
        <v>535</v>
      </c>
      <c r="AG12" s="742" t="s">
        <v>536</v>
      </c>
      <c r="AH12" s="743" t="s">
        <v>532</v>
      </c>
      <c r="AI12" s="743" t="s">
        <v>532</v>
      </c>
      <c r="AJ12" s="743" t="s">
        <v>532</v>
      </c>
      <c r="AK12" s="743" t="s">
        <v>532</v>
      </c>
      <c r="AL12" s="744" t="s">
        <v>532</v>
      </c>
    </row>
    <row r="13" spans="2:38" ht="30" x14ac:dyDescent="0.45">
      <c r="B13" s="639" t="s">
        <v>4</v>
      </c>
      <c r="C13" s="600" t="s">
        <v>5</v>
      </c>
      <c r="D13" s="570" t="s">
        <v>6</v>
      </c>
      <c r="E13" s="570" t="s">
        <v>112</v>
      </c>
      <c r="F13" s="570" t="s">
        <v>114</v>
      </c>
      <c r="G13" s="1014" t="s">
        <v>115</v>
      </c>
      <c r="H13" s="1014"/>
      <c r="I13" s="1172"/>
      <c r="J13" s="679" t="s">
        <v>21</v>
      </c>
      <c r="K13" s="675" t="s">
        <v>496</v>
      </c>
      <c r="L13" s="675" t="s">
        <v>497</v>
      </c>
      <c r="M13" s="675" t="s">
        <v>498</v>
      </c>
      <c r="N13" s="675" t="s">
        <v>499</v>
      </c>
      <c r="O13" s="676" t="s">
        <v>552</v>
      </c>
      <c r="P13" s="675" t="s">
        <v>512</v>
      </c>
      <c r="Q13" s="675" t="s">
        <v>503</v>
      </c>
      <c r="R13" s="675" t="s">
        <v>553</v>
      </c>
      <c r="S13" s="675" t="s">
        <v>513</v>
      </c>
      <c r="T13" s="675" t="s">
        <v>514</v>
      </c>
      <c r="U13" s="675" t="s">
        <v>554</v>
      </c>
      <c r="V13" s="675" t="s">
        <v>515</v>
      </c>
      <c r="W13" s="675" t="s">
        <v>555</v>
      </c>
      <c r="X13" s="678" t="s">
        <v>516</v>
      </c>
      <c r="Y13" s="670" t="s">
        <v>556</v>
      </c>
      <c r="Z13" s="671" t="s">
        <v>557</v>
      </c>
      <c r="AA13" s="671" t="s">
        <v>558</v>
      </c>
      <c r="AB13" s="671" t="s">
        <v>559</v>
      </c>
      <c r="AC13" s="671" t="s">
        <v>560</v>
      </c>
      <c r="AD13" s="671" t="s">
        <v>561</v>
      </c>
      <c r="AE13" s="672" t="s">
        <v>562</v>
      </c>
      <c r="AF13" s="745" t="s">
        <v>563</v>
      </c>
      <c r="AG13" s="746" t="s">
        <v>564</v>
      </c>
      <c r="AH13" s="746" t="s">
        <v>565</v>
      </c>
      <c r="AI13" s="746" t="s">
        <v>566</v>
      </c>
      <c r="AJ13" s="746" t="s">
        <v>567</v>
      </c>
      <c r="AK13" s="746" t="s">
        <v>568</v>
      </c>
      <c r="AL13" s="747" t="s">
        <v>569</v>
      </c>
    </row>
    <row r="14" spans="2:38" ht="15.5" x14ac:dyDescent="0.45">
      <c r="B14" s="640">
        <v>1</v>
      </c>
      <c r="C14" s="448" t="s">
        <v>184</v>
      </c>
      <c r="D14" s="439"/>
      <c r="E14" s="452">
        <v>1</v>
      </c>
      <c r="F14" s="439" t="s">
        <v>12</v>
      </c>
      <c r="G14" s="442" t="s">
        <v>280</v>
      </c>
      <c r="H14" s="443"/>
      <c r="I14" s="965"/>
      <c r="J14" s="653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  <c r="W14" s="445"/>
      <c r="X14" s="658"/>
      <c r="Y14" s="653"/>
      <c r="Z14" s="445"/>
      <c r="AA14" s="445"/>
      <c r="AB14" s="445"/>
      <c r="AC14" s="445"/>
      <c r="AD14" s="445"/>
      <c r="AE14" s="641"/>
      <c r="AF14" s="653"/>
      <c r="AG14" s="445"/>
      <c r="AH14" s="445"/>
      <c r="AI14" s="445"/>
      <c r="AJ14" s="445"/>
      <c r="AK14" s="445"/>
      <c r="AL14" s="641"/>
    </row>
    <row r="15" spans="2:38" x14ac:dyDescent="0.45">
      <c r="B15" s="783"/>
      <c r="C15" s="249"/>
      <c r="D15" s="211"/>
      <c r="E15" s="212"/>
      <c r="F15" s="207" t="s">
        <v>4</v>
      </c>
      <c r="G15" s="213" t="s">
        <v>106</v>
      </c>
      <c r="H15" s="209"/>
      <c r="I15" s="966"/>
      <c r="J15" s="762">
        <f>RAP!E24</f>
        <v>40</v>
      </c>
      <c r="K15" s="601">
        <v>3</v>
      </c>
      <c r="L15" s="319"/>
      <c r="M15" s="319"/>
      <c r="N15" s="319"/>
      <c r="O15" s="598"/>
      <c r="P15" s="598"/>
      <c r="Q15" s="605"/>
      <c r="R15" s="485"/>
      <c r="S15" s="485"/>
      <c r="T15" s="485"/>
      <c r="U15" s="752">
        <f>SUM(R16:R23)+(SUM(S16:S23)+SUM(T16:T23))</f>
        <v>2550000</v>
      </c>
      <c r="V15" s="754">
        <f>RAP!H24</f>
        <v>2714000</v>
      </c>
      <c r="W15" s="752">
        <f>V15-U15</f>
        <v>164000</v>
      </c>
      <c r="X15" s="760">
        <f>W15/V15*100</f>
        <v>6.0427413411938105</v>
      </c>
      <c r="Y15" s="755">
        <f>SUM(R16:R23)/J15</f>
        <v>63750</v>
      </c>
      <c r="Z15" s="757">
        <v>60000</v>
      </c>
      <c r="AA15" s="758">
        <f>J15*Z15</f>
        <v>2400000</v>
      </c>
      <c r="AB15" s="758">
        <f>SUM(S15:S23)+SUM(T15:T23)</f>
        <v>0</v>
      </c>
      <c r="AC15" s="752">
        <f>AA15+AB15</f>
        <v>2400000</v>
      </c>
      <c r="AD15" s="752">
        <f>V15-AC15</f>
        <v>314000</v>
      </c>
      <c r="AE15" s="760">
        <f>AD15/V15*100</f>
        <v>11.569638909358879</v>
      </c>
      <c r="AF15" s="755">
        <f>(SUM(R15:R23)+SUM(S15:S23))/J15</f>
        <v>63750</v>
      </c>
      <c r="AG15" s="757">
        <v>60000</v>
      </c>
      <c r="AH15" s="758">
        <f>AG15*J15</f>
        <v>2400000</v>
      </c>
      <c r="AI15" s="758">
        <f>SUM(T15:T23)</f>
        <v>0</v>
      </c>
      <c r="AJ15" s="752">
        <f>AH15+AI15</f>
        <v>2400000</v>
      </c>
      <c r="AK15" s="752">
        <f>V15-AJ15</f>
        <v>314000</v>
      </c>
      <c r="AL15" s="760">
        <f>AK15/V15*100</f>
        <v>11.569638909358879</v>
      </c>
    </row>
    <row r="16" spans="2:38" x14ac:dyDescent="0.45">
      <c r="B16" s="784"/>
      <c r="C16" s="250"/>
      <c r="D16" s="211" t="s">
        <v>107</v>
      </c>
      <c r="E16" s="251">
        <v>0.75</v>
      </c>
      <c r="F16" s="211" t="s">
        <v>108</v>
      </c>
      <c r="G16" s="221" t="s">
        <v>51</v>
      </c>
      <c r="H16" s="209"/>
      <c r="I16" s="966"/>
      <c r="J16" s="661"/>
      <c r="K16" s="602"/>
      <c r="L16" s="433">
        <f>E16*J15/K15</f>
        <v>10</v>
      </c>
      <c r="M16" s="433"/>
      <c r="N16" s="433"/>
      <c r="O16" s="597">
        <v>10</v>
      </c>
      <c r="P16" s="596" t="str">
        <f>F16</f>
        <v>OH</v>
      </c>
      <c r="Q16" s="608">
        <f>'Analisa Upah RAP'!G5</f>
        <v>75000</v>
      </c>
      <c r="R16" s="453">
        <f>O16*Q16*K15</f>
        <v>2250000</v>
      </c>
      <c r="S16" s="453"/>
      <c r="T16" s="453"/>
      <c r="U16" s="753"/>
      <c r="V16" s="753"/>
      <c r="W16" s="753"/>
      <c r="X16" s="761"/>
      <c r="Y16" s="756"/>
      <c r="Z16" s="759"/>
      <c r="AA16" s="759"/>
      <c r="AB16" s="759"/>
      <c r="AC16" s="753"/>
      <c r="AD16" s="753"/>
      <c r="AE16" s="761"/>
      <c r="AF16" s="756"/>
      <c r="AG16" s="759"/>
      <c r="AH16" s="759"/>
      <c r="AI16" s="759"/>
      <c r="AJ16" s="753"/>
      <c r="AK16" s="753"/>
      <c r="AL16" s="761"/>
    </row>
    <row r="17" spans="2:38" x14ac:dyDescent="0.45">
      <c r="B17" s="784"/>
      <c r="C17" s="250"/>
      <c r="D17" s="253" t="s">
        <v>109</v>
      </c>
      <c r="E17" s="223">
        <v>2.5000000000000001E-2</v>
      </c>
      <c r="F17" s="253" t="s">
        <v>108</v>
      </c>
      <c r="G17" s="228" t="s">
        <v>52</v>
      </c>
      <c r="H17" s="229"/>
      <c r="I17" s="967"/>
      <c r="J17" s="661"/>
      <c r="K17" s="602"/>
      <c r="L17" s="433">
        <f>E17*J15/K15</f>
        <v>0.33333333333333331</v>
      </c>
      <c r="M17" s="433"/>
      <c r="N17" s="433"/>
      <c r="O17" s="597">
        <v>1</v>
      </c>
      <c r="P17" s="596" t="str">
        <f>F17</f>
        <v>OH</v>
      </c>
      <c r="Q17" s="608">
        <f>'Analisa Upah RAP'!G12</f>
        <v>100000</v>
      </c>
      <c r="R17" s="453">
        <f>O17*Q17*K15</f>
        <v>300000</v>
      </c>
      <c r="S17" s="453"/>
      <c r="T17" s="453"/>
      <c r="U17" s="753"/>
      <c r="V17" s="753"/>
      <c r="W17" s="753"/>
      <c r="X17" s="761"/>
      <c r="Y17" s="756"/>
      <c r="Z17" s="759"/>
      <c r="AA17" s="759"/>
      <c r="AB17" s="759"/>
      <c r="AC17" s="753"/>
      <c r="AD17" s="753"/>
      <c r="AE17" s="761"/>
      <c r="AF17" s="756"/>
      <c r="AG17" s="759"/>
      <c r="AH17" s="759"/>
      <c r="AI17" s="759"/>
      <c r="AJ17" s="753"/>
      <c r="AK17" s="753"/>
      <c r="AL17" s="761"/>
    </row>
    <row r="18" spans="2:38" x14ac:dyDescent="0.45">
      <c r="B18" s="785"/>
      <c r="C18" s="250"/>
      <c r="D18" s="230"/>
      <c r="E18" s="230"/>
      <c r="F18" s="207" t="s">
        <v>5</v>
      </c>
      <c r="G18" s="213" t="s">
        <v>110</v>
      </c>
      <c r="H18" s="231"/>
      <c r="I18" s="968"/>
      <c r="J18" s="661"/>
      <c r="K18" s="602"/>
      <c r="L18" s="433"/>
      <c r="M18" s="433"/>
      <c r="N18" s="433"/>
      <c r="O18" s="597"/>
      <c r="P18" s="596"/>
      <c r="Q18" s="608"/>
      <c r="R18" s="453"/>
      <c r="S18" s="453"/>
      <c r="T18" s="453"/>
      <c r="U18" s="753"/>
      <c r="V18" s="753"/>
      <c r="W18" s="753"/>
      <c r="X18" s="761"/>
      <c r="Y18" s="756"/>
      <c r="Z18" s="759"/>
      <c r="AA18" s="759"/>
      <c r="AB18" s="759"/>
      <c r="AC18" s="753"/>
      <c r="AD18" s="753"/>
      <c r="AE18" s="761"/>
      <c r="AF18" s="756"/>
      <c r="AG18" s="759"/>
      <c r="AH18" s="759"/>
      <c r="AI18" s="759"/>
      <c r="AJ18" s="753"/>
      <c r="AK18" s="753"/>
      <c r="AL18" s="761"/>
    </row>
    <row r="19" spans="2:38" x14ac:dyDescent="0.45">
      <c r="B19" s="785"/>
      <c r="C19" s="250"/>
      <c r="D19" s="230"/>
      <c r="E19" s="234">
        <v>0</v>
      </c>
      <c r="F19" s="211" t="s">
        <v>154</v>
      </c>
      <c r="G19" s="235" t="s">
        <v>154</v>
      </c>
      <c r="H19" s="231"/>
      <c r="I19" s="968"/>
      <c r="J19" s="661"/>
      <c r="K19" s="602"/>
      <c r="L19" s="433"/>
      <c r="M19" s="433">
        <f>E19*J15</f>
        <v>0</v>
      </c>
      <c r="N19" s="433"/>
      <c r="O19" s="597">
        <v>0</v>
      </c>
      <c r="P19" s="596">
        <f>E19</f>
        <v>0</v>
      </c>
      <c r="Q19" s="608">
        <v>0</v>
      </c>
      <c r="R19" s="453"/>
      <c r="S19" s="453">
        <f>O19*Q19</f>
        <v>0</v>
      </c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785"/>
      <c r="C20" s="250"/>
      <c r="D20" s="230"/>
      <c r="E20" s="234">
        <v>0</v>
      </c>
      <c r="F20" s="211" t="s">
        <v>154</v>
      </c>
      <c r="G20" s="235" t="s">
        <v>154</v>
      </c>
      <c r="H20" s="231"/>
      <c r="I20" s="968"/>
      <c r="J20" s="661"/>
      <c r="K20" s="602"/>
      <c r="L20" s="433"/>
      <c r="M20" s="433">
        <f>E20*J15</f>
        <v>0</v>
      </c>
      <c r="N20" s="433"/>
      <c r="O20" s="597">
        <v>0</v>
      </c>
      <c r="P20" s="596">
        <f>E20</f>
        <v>0</v>
      </c>
      <c r="Q20" s="608">
        <v>0</v>
      </c>
      <c r="R20" s="453"/>
      <c r="S20" s="453">
        <f t="shared" ref="S20:S21" si="0">O20*Q20</f>
        <v>0</v>
      </c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785"/>
      <c r="C21" s="250"/>
      <c r="D21" s="230"/>
      <c r="E21" s="234">
        <v>0</v>
      </c>
      <c r="F21" s="211" t="s">
        <v>154</v>
      </c>
      <c r="G21" s="235" t="s">
        <v>154</v>
      </c>
      <c r="H21" s="231"/>
      <c r="I21" s="968"/>
      <c r="J21" s="661"/>
      <c r="K21" s="602"/>
      <c r="L21" s="433"/>
      <c r="M21" s="433">
        <f>E21*J15</f>
        <v>0</v>
      </c>
      <c r="N21" s="433"/>
      <c r="O21" s="597">
        <v>0</v>
      </c>
      <c r="P21" s="596">
        <f>E21</f>
        <v>0</v>
      </c>
      <c r="Q21" s="608">
        <v>0</v>
      </c>
      <c r="R21" s="453"/>
      <c r="S21" s="453">
        <f t="shared" si="0"/>
        <v>0</v>
      </c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x14ac:dyDescent="0.45">
      <c r="B22" s="785"/>
      <c r="C22" s="250"/>
      <c r="D22" s="230"/>
      <c r="E22" s="230"/>
      <c r="F22" s="207" t="s">
        <v>6</v>
      </c>
      <c r="G22" s="213" t="s">
        <v>111</v>
      </c>
      <c r="H22" s="244"/>
      <c r="I22" s="969"/>
      <c r="J22" s="661"/>
      <c r="K22" s="602"/>
      <c r="L22" s="433"/>
      <c r="M22" s="433"/>
      <c r="N22" s="433"/>
      <c r="O22" s="599"/>
      <c r="P22" s="596">
        <f>E22</f>
        <v>0</v>
      </c>
      <c r="Q22" s="606">
        <v>0</v>
      </c>
      <c r="R22" s="433"/>
      <c r="S22" s="433"/>
      <c r="T22" s="43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785"/>
      <c r="C23" s="250"/>
      <c r="D23" s="230"/>
      <c r="E23" s="234">
        <v>0</v>
      </c>
      <c r="F23" s="211" t="s">
        <v>154</v>
      </c>
      <c r="G23" s="235" t="s">
        <v>154</v>
      </c>
      <c r="H23" s="244"/>
      <c r="I23" s="969"/>
      <c r="J23" s="661"/>
      <c r="K23" s="602"/>
      <c r="L23" s="433"/>
      <c r="M23" s="433"/>
      <c r="N23" s="433">
        <f>E23*J15</f>
        <v>0</v>
      </c>
      <c r="O23" s="599">
        <v>0</v>
      </c>
      <c r="P23" s="596">
        <f>E23</f>
        <v>0</v>
      </c>
      <c r="Q23" s="606">
        <v>0</v>
      </c>
      <c r="R23" s="433"/>
      <c r="S23" s="433"/>
      <c r="T23" s="433">
        <f>O23*Q23</f>
        <v>0</v>
      </c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785"/>
      <c r="C24" s="250"/>
      <c r="D24" s="230"/>
      <c r="E24" s="230"/>
      <c r="F24" s="207" t="s">
        <v>112</v>
      </c>
      <c r="G24" s="213" t="s">
        <v>113</v>
      </c>
      <c r="H24" s="244"/>
      <c r="I24" s="969"/>
      <c r="J24" s="661"/>
      <c r="K24" s="602"/>
      <c r="L24" s="433"/>
      <c r="M24" s="433"/>
      <c r="N24" s="433"/>
      <c r="O24" s="433"/>
      <c r="P24" s="433"/>
      <c r="Q24" s="595"/>
      <c r="R24" s="433"/>
      <c r="S24" s="433"/>
      <c r="T24" s="433"/>
      <c r="U24" s="433"/>
      <c r="V24" s="433"/>
      <c r="W24" s="433"/>
      <c r="X24" s="659"/>
      <c r="Y24" s="661"/>
      <c r="Z24" s="433"/>
      <c r="AA24" s="433"/>
      <c r="AB24" s="433"/>
      <c r="AC24" s="433"/>
      <c r="AD24" s="433"/>
      <c r="AE24" s="644"/>
      <c r="AF24" s="661"/>
      <c r="AG24" s="433"/>
      <c r="AH24" s="433"/>
      <c r="AI24" s="433"/>
      <c r="AJ24" s="433"/>
      <c r="AK24" s="433"/>
      <c r="AL24" s="644"/>
    </row>
    <row r="25" spans="2:38" x14ac:dyDescent="0.45">
      <c r="B25" s="785"/>
      <c r="C25" s="250"/>
      <c r="D25" s="230"/>
      <c r="E25" s="230"/>
      <c r="F25" s="207" t="s">
        <v>114</v>
      </c>
      <c r="G25" s="213" t="s">
        <v>130</v>
      </c>
      <c r="H25" s="244"/>
      <c r="I25" s="970">
        <v>0.15</v>
      </c>
      <c r="J25" s="661"/>
      <c r="K25" s="602"/>
      <c r="L25" s="433"/>
      <c r="M25" s="433"/>
      <c r="N25" s="433"/>
      <c r="O25" s="433"/>
      <c r="P25" s="433"/>
      <c r="Q25" s="595"/>
      <c r="R25" s="433"/>
      <c r="S25" s="433"/>
      <c r="T25" s="433"/>
      <c r="U25" s="433"/>
      <c r="V25" s="433"/>
      <c r="W25" s="433"/>
      <c r="X25" s="659"/>
      <c r="Y25" s="661"/>
      <c r="Z25" s="433"/>
      <c r="AA25" s="433"/>
      <c r="AB25" s="433"/>
      <c r="AC25" s="433"/>
      <c r="AD25" s="433"/>
      <c r="AE25" s="644"/>
      <c r="AF25" s="661"/>
      <c r="AG25" s="433"/>
      <c r="AH25" s="433"/>
      <c r="AI25" s="433"/>
      <c r="AJ25" s="433"/>
      <c r="AK25" s="433"/>
      <c r="AL25" s="644"/>
    </row>
    <row r="26" spans="2:38" ht="17" thickBot="1" x14ac:dyDescent="0.5">
      <c r="B26" s="786"/>
      <c r="C26" s="787"/>
      <c r="D26" s="648"/>
      <c r="E26" s="648"/>
      <c r="F26" s="649" t="s">
        <v>115</v>
      </c>
      <c r="G26" s="650" t="s">
        <v>116</v>
      </c>
      <c r="H26" s="651"/>
      <c r="I26" s="971"/>
      <c r="J26" s="662"/>
      <c r="K26" s="763"/>
      <c r="L26" s="655"/>
      <c r="M26" s="655"/>
      <c r="N26" s="655"/>
      <c r="O26" s="655"/>
      <c r="P26" s="655"/>
      <c r="Q26" s="654"/>
      <c r="R26" s="655"/>
      <c r="S26" s="655"/>
      <c r="T26" s="655"/>
      <c r="U26" s="655"/>
      <c r="V26" s="655"/>
      <c r="W26" s="655"/>
      <c r="X26" s="660"/>
      <c r="Y26" s="662"/>
      <c r="Z26" s="655"/>
      <c r="AA26" s="655"/>
      <c r="AB26" s="655"/>
      <c r="AC26" s="655"/>
      <c r="AD26" s="655"/>
      <c r="AE26" s="656"/>
      <c r="AF26" s="662"/>
      <c r="AG26" s="655"/>
      <c r="AH26" s="655"/>
      <c r="AI26" s="655"/>
      <c r="AJ26" s="655"/>
      <c r="AK26" s="655"/>
      <c r="AL26" s="656"/>
    </row>
    <row r="27" spans="2:38" x14ac:dyDescent="0.45">
      <c r="B27" s="748"/>
      <c r="C27" s="749"/>
      <c r="D27" s="241"/>
      <c r="E27" s="241"/>
      <c r="F27" s="276"/>
      <c r="G27" s="240"/>
      <c r="H27" s="241"/>
      <c r="I27" s="241"/>
      <c r="J27" s="609"/>
      <c r="K27" s="782"/>
      <c r="L27" s="609"/>
      <c r="M27" s="609"/>
      <c r="N27" s="609"/>
      <c r="O27" s="609"/>
      <c r="P27" s="609"/>
      <c r="Q27" s="604"/>
      <c r="R27" s="609"/>
      <c r="S27" s="609"/>
      <c r="T27" s="609"/>
      <c r="U27" s="609"/>
      <c r="V27" s="609"/>
      <c r="W27" s="609"/>
      <c r="X27" s="609"/>
      <c r="Y27" s="609"/>
      <c r="Z27" s="609"/>
      <c r="AA27" s="609"/>
      <c r="AB27" s="609"/>
      <c r="AC27" s="609"/>
      <c r="AD27" s="609"/>
      <c r="AE27" s="609"/>
      <c r="AF27" s="609"/>
      <c r="AG27" s="609"/>
      <c r="AH27" s="609"/>
      <c r="AI27" s="609"/>
      <c r="AJ27" s="609"/>
      <c r="AK27" s="609"/>
      <c r="AL27" s="609"/>
    </row>
    <row r="28" spans="2:38" ht="17" thickBot="1" x14ac:dyDescent="0.5">
      <c r="B28" s="749" t="s">
        <v>600</v>
      </c>
      <c r="C28" s="750" t="str">
        <f>RAP!B25</f>
        <v>Galian Tanah Biasa 2 m</v>
      </c>
      <c r="D28" s="241"/>
      <c r="E28" s="241"/>
      <c r="F28" s="276"/>
      <c r="G28" s="240"/>
      <c r="H28" s="241"/>
      <c r="I28" s="241"/>
      <c r="J28" s="604"/>
      <c r="K28" s="603"/>
      <c r="L28" s="604"/>
      <c r="M28" s="604"/>
      <c r="N28" s="604"/>
      <c r="O28" s="604"/>
      <c r="P28" s="604"/>
      <c r="Q28" s="604"/>
      <c r="R28" s="609"/>
      <c r="S28" s="609"/>
      <c r="T28" s="609"/>
      <c r="U28" s="609"/>
      <c r="V28" s="609"/>
      <c r="W28" s="609"/>
      <c r="X28" s="609"/>
      <c r="Y28" s="609"/>
      <c r="Z28" s="609"/>
      <c r="AA28" s="609"/>
      <c r="AB28" s="609"/>
      <c r="AC28" s="609"/>
      <c r="AD28" s="609"/>
      <c r="AE28" s="609"/>
      <c r="AF28" s="609"/>
      <c r="AG28" s="609"/>
      <c r="AH28" s="609"/>
      <c r="AI28" s="609"/>
      <c r="AJ28" s="609"/>
      <c r="AK28" s="609"/>
      <c r="AL28" s="609"/>
    </row>
    <row r="29" spans="2:38" ht="19.5" customHeight="1" x14ac:dyDescent="0.45">
      <c r="B29" s="1168" t="s">
        <v>99</v>
      </c>
      <c r="C29" s="1171" t="s">
        <v>100</v>
      </c>
      <c r="D29" s="1171" t="s">
        <v>89</v>
      </c>
      <c r="E29" s="1171" t="s">
        <v>101</v>
      </c>
      <c r="F29" s="1171" t="s">
        <v>102</v>
      </c>
      <c r="G29" s="1109" t="s">
        <v>103</v>
      </c>
      <c r="H29" s="1110"/>
      <c r="I29" s="1175"/>
      <c r="J29" s="1151" t="s">
        <v>539</v>
      </c>
      <c r="K29" s="1152"/>
      <c r="L29" s="1152"/>
      <c r="M29" s="1152"/>
      <c r="N29" s="1152"/>
      <c r="O29" s="1152"/>
      <c r="P29" s="1152"/>
      <c r="Q29" s="1152"/>
      <c r="R29" s="1152"/>
      <c r="S29" s="1152"/>
      <c r="T29" s="1152"/>
      <c r="U29" s="1152"/>
      <c r="V29" s="1152"/>
      <c r="W29" s="1152"/>
      <c r="X29" s="1152"/>
      <c r="Y29" s="1153" t="s">
        <v>540</v>
      </c>
      <c r="Z29" s="1154"/>
      <c r="AA29" s="1154"/>
      <c r="AB29" s="1154"/>
      <c r="AC29" s="1154"/>
      <c r="AD29" s="1154"/>
      <c r="AE29" s="1155"/>
      <c r="AF29" s="1156" t="s">
        <v>541</v>
      </c>
      <c r="AG29" s="1157"/>
      <c r="AH29" s="1157"/>
      <c r="AI29" s="1157"/>
      <c r="AJ29" s="1157"/>
      <c r="AK29" s="1157"/>
      <c r="AL29" s="1158"/>
    </row>
    <row r="30" spans="2:38" ht="45" x14ac:dyDescent="0.45">
      <c r="B30" s="1169"/>
      <c r="C30" s="1089"/>
      <c r="D30" s="1089"/>
      <c r="E30" s="1089"/>
      <c r="F30" s="1089"/>
      <c r="G30" s="1026"/>
      <c r="H30" s="1027"/>
      <c r="I30" s="1176"/>
      <c r="J30" s="1159" t="s">
        <v>15</v>
      </c>
      <c r="K30" s="673" t="s">
        <v>493</v>
      </c>
      <c r="L30" s="1161" t="s">
        <v>491</v>
      </c>
      <c r="M30" s="1162"/>
      <c r="N30" s="1162"/>
      <c r="O30" s="1162"/>
      <c r="P30" s="1163"/>
      <c r="Q30" s="674" t="s">
        <v>533</v>
      </c>
      <c r="R30" s="1161" t="s">
        <v>501</v>
      </c>
      <c r="S30" s="1162"/>
      <c r="T30" s="1163"/>
      <c r="U30" s="674" t="s">
        <v>530</v>
      </c>
      <c r="V30" s="674" t="s">
        <v>531</v>
      </c>
      <c r="W30" s="674" t="s">
        <v>578</v>
      </c>
      <c r="X30" s="681" t="s">
        <v>579</v>
      </c>
      <c r="Y30" s="1164" t="s">
        <v>534</v>
      </c>
      <c r="Z30" s="1165"/>
      <c r="AA30" s="663" t="s">
        <v>537</v>
      </c>
      <c r="AB30" s="664" t="s">
        <v>538</v>
      </c>
      <c r="AC30" s="665" t="s">
        <v>530</v>
      </c>
      <c r="AD30" s="665" t="s">
        <v>578</v>
      </c>
      <c r="AE30" s="682" t="s">
        <v>579</v>
      </c>
      <c r="AF30" s="1166" t="s">
        <v>542</v>
      </c>
      <c r="AG30" s="1167"/>
      <c r="AH30" s="737" t="s">
        <v>543</v>
      </c>
      <c r="AI30" s="738" t="s">
        <v>544</v>
      </c>
      <c r="AJ30" s="739" t="s">
        <v>530</v>
      </c>
      <c r="AK30" s="739" t="s">
        <v>578</v>
      </c>
      <c r="AL30" s="740" t="s">
        <v>579</v>
      </c>
    </row>
    <row r="31" spans="2:38" ht="30" x14ac:dyDescent="0.45">
      <c r="B31" s="1170"/>
      <c r="C31" s="1090"/>
      <c r="D31" s="1090"/>
      <c r="E31" s="1090"/>
      <c r="F31" s="1090"/>
      <c r="G31" s="1085"/>
      <c r="H31" s="1086"/>
      <c r="I31" s="1177"/>
      <c r="J31" s="1160"/>
      <c r="K31" s="675" t="s">
        <v>495</v>
      </c>
      <c r="L31" s="676" t="s">
        <v>524</v>
      </c>
      <c r="M31" s="676" t="s">
        <v>525</v>
      </c>
      <c r="N31" s="676" t="s">
        <v>526</v>
      </c>
      <c r="O31" s="675" t="s">
        <v>517</v>
      </c>
      <c r="P31" s="675" t="s">
        <v>290</v>
      </c>
      <c r="Q31" s="675" t="s">
        <v>532</v>
      </c>
      <c r="R31" s="676" t="s">
        <v>527</v>
      </c>
      <c r="S31" s="676" t="s">
        <v>528</v>
      </c>
      <c r="T31" s="677" t="s">
        <v>529</v>
      </c>
      <c r="U31" s="675" t="s">
        <v>502</v>
      </c>
      <c r="V31" s="675" t="s">
        <v>502</v>
      </c>
      <c r="W31" s="675" t="s">
        <v>502</v>
      </c>
      <c r="X31" s="678" t="s">
        <v>504</v>
      </c>
      <c r="Y31" s="666" t="s">
        <v>535</v>
      </c>
      <c r="Z31" s="667" t="s">
        <v>536</v>
      </c>
      <c r="AA31" s="668" t="s">
        <v>532</v>
      </c>
      <c r="AB31" s="668" t="s">
        <v>532</v>
      </c>
      <c r="AC31" s="668" t="s">
        <v>532</v>
      </c>
      <c r="AD31" s="668" t="s">
        <v>532</v>
      </c>
      <c r="AE31" s="669" t="s">
        <v>532</v>
      </c>
      <c r="AF31" s="741" t="s">
        <v>535</v>
      </c>
      <c r="AG31" s="742" t="s">
        <v>536</v>
      </c>
      <c r="AH31" s="743" t="s">
        <v>532</v>
      </c>
      <c r="AI31" s="743" t="s">
        <v>532</v>
      </c>
      <c r="AJ31" s="743" t="s">
        <v>532</v>
      </c>
      <c r="AK31" s="743" t="s">
        <v>532</v>
      </c>
      <c r="AL31" s="744" t="s">
        <v>532</v>
      </c>
    </row>
    <row r="32" spans="2:38" ht="30" x14ac:dyDescent="0.45">
      <c r="B32" s="639" t="s">
        <v>4</v>
      </c>
      <c r="C32" s="600" t="s">
        <v>5</v>
      </c>
      <c r="D32" s="570" t="s">
        <v>6</v>
      </c>
      <c r="E32" s="570" t="s">
        <v>112</v>
      </c>
      <c r="F32" s="570" t="s">
        <v>114</v>
      </c>
      <c r="G32" s="1014" t="s">
        <v>115</v>
      </c>
      <c r="H32" s="1014"/>
      <c r="I32" s="1172"/>
      <c r="J32" s="679" t="s">
        <v>21</v>
      </c>
      <c r="K32" s="675" t="s">
        <v>496</v>
      </c>
      <c r="L32" s="675" t="s">
        <v>497</v>
      </c>
      <c r="M32" s="675" t="s">
        <v>498</v>
      </c>
      <c r="N32" s="675" t="s">
        <v>499</v>
      </c>
      <c r="O32" s="676" t="s">
        <v>552</v>
      </c>
      <c r="P32" s="675" t="s">
        <v>512</v>
      </c>
      <c r="Q32" s="675" t="s">
        <v>503</v>
      </c>
      <c r="R32" s="675" t="s">
        <v>553</v>
      </c>
      <c r="S32" s="675" t="s">
        <v>513</v>
      </c>
      <c r="T32" s="675" t="s">
        <v>514</v>
      </c>
      <c r="U32" s="675" t="s">
        <v>554</v>
      </c>
      <c r="V32" s="675" t="s">
        <v>515</v>
      </c>
      <c r="W32" s="675" t="s">
        <v>555</v>
      </c>
      <c r="X32" s="678" t="s">
        <v>516</v>
      </c>
      <c r="Y32" s="670" t="s">
        <v>556</v>
      </c>
      <c r="Z32" s="671" t="s">
        <v>557</v>
      </c>
      <c r="AA32" s="671" t="s">
        <v>558</v>
      </c>
      <c r="AB32" s="671" t="s">
        <v>559</v>
      </c>
      <c r="AC32" s="671" t="s">
        <v>560</v>
      </c>
      <c r="AD32" s="671" t="s">
        <v>561</v>
      </c>
      <c r="AE32" s="672" t="s">
        <v>562</v>
      </c>
      <c r="AF32" s="745" t="s">
        <v>563</v>
      </c>
      <c r="AG32" s="746" t="s">
        <v>564</v>
      </c>
      <c r="AH32" s="746" t="s">
        <v>565</v>
      </c>
      <c r="AI32" s="746" t="s">
        <v>566</v>
      </c>
      <c r="AJ32" s="746" t="s">
        <v>567</v>
      </c>
      <c r="AK32" s="746" t="s">
        <v>568</v>
      </c>
      <c r="AL32" s="747" t="s">
        <v>569</v>
      </c>
    </row>
    <row r="33" spans="2:38" ht="15.5" x14ac:dyDescent="0.45">
      <c r="B33" s="640">
        <v>2</v>
      </c>
      <c r="C33" s="448" t="s">
        <v>185</v>
      </c>
      <c r="D33" s="439"/>
      <c r="E33" s="452">
        <v>1</v>
      </c>
      <c r="F33" s="439" t="s">
        <v>12</v>
      </c>
      <c r="G33" s="442" t="s">
        <v>281</v>
      </c>
      <c r="H33" s="443"/>
      <c r="I33" s="965"/>
      <c r="J33" s="653"/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  <c r="W33" s="445"/>
      <c r="X33" s="658"/>
      <c r="Y33" s="653"/>
      <c r="Z33" s="445"/>
      <c r="AA33" s="445"/>
      <c r="AB33" s="445"/>
      <c r="AC33" s="445"/>
      <c r="AD33" s="445"/>
      <c r="AE33" s="641"/>
      <c r="AF33" s="653"/>
      <c r="AG33" s="445"/>
      <c r="AH33" s="445"/>
      <c r="AI33" s="445"/>
      <c r="AJ33" s="445"/>
      <c r="AK33" s="445"/>
      <c r="AL33" s="641"/>
    </row>
    <row r="34" spans="2:38" x14ac:dyDescent="0.45">
      <c r="B34" s="783"/>
      <c r="C34" s="249"/>
      <c r="D34" s="211"/>
      <c r="E34" s="212"/>
      <c r="F34" s="207" t="s">
        <v>4</v>
      </c>
      <c r="G34" s="213" t="s">
        <v>106</v>
      </c>
      <c r="H34" s="209"/>
      <c r="I34" s="966"/>
      <c r="J34" s="762">
        <f>RAP!E25</f>
        <v>28</v>
      </c>
      <c r="K34" s="601">
        <v>4</v>
      </c>
      <c r="L34" s="319"/>
      <c r="M34" s="319"/>
      <c r="N34" s="319"/>
      <c r="O34" s="598"/>
      <c r="P34" s="598"/>
      <c r="Q34" s="605"/>
      <c r="R34" s="485"/>
      <c r="S34" s="485"/>
      <c r="T34" s="485"/>
      <c r="U34" s="752">
        <f>SUM(R35:R41)+(SUM(S35:S41)+SUM(T35:T41))</f>
        <v>2200000</v>
      </c>
      <c r="V34" s="754">
        <f>RAP!H25</f>
        <v>2332890</v>
      </c>
      <c r="W34" s="752">
        <f>V34-U34</f>
        <v>132890</v>
      </c>
      <c r="X34" s="760">
        <f>W34/V34*100</f>
        <v>5.6963680242103143</v>
      </c>
      <c r="Y34" s="755">
        <f>SUM(R35:R41)/J34</f>
        <v>78571.428571428565</v>
      </c>
      <c r="Z34" s="757">
        <v>60000</v>
      </c>
      <c r="AA34" s="758">
        <f>J34*Z34</f>
        <v>1680000</v>
      </c>
      <c r="AB34" s="758">
        <f>SUM(S34:S41)+SUM(T34:T41)</f>
        <v>0</v>
      </c>
      <c r="AC34" s="752">
        <f>AA34+AB34</f>
        <v>1680000</v>
      </c>
      <c r="AD34" s="752">
        <f>V34-AC34</f>
        <v>652890</v>
      </c>
      <c r="AE34" s="760">
        <f>AD34/V34*100</f>
        <v>27.98631740030606</v>
      </c>
      <c r="AF34" s="755">
        <f>(SUM(R34:R41)+SUM(S34:S41))/J34</f>
        <v>78571.428571428565</v>
      </c>
      <c r="AG34" s="757">
        <v>60000</v>
      </c>
      <c r="AH34" s="758">
        <f>AG34*J34</f>
        <v>1680000</v>
      </c>
      <c r="AI34" s="758">
        <f>SUM(T34:T41)</f>
        <v>0</v>
      </c>
      <c r="AJ34" s="752">
        <f>AH34+AI34</f>
        <v>1680000</v>
      </c>
      <c r="AK34" s="752">
        <f>V34-AJ34</f>
        <v>652890</v>
      </c>
      <c r="AL34" s="760">
        <f>AK34/V34*100</f>
        <v>27.98631740030606</v>
      </c>
    </row>
    <row r="35" spans="2:38" x14ac:dyDescent="0.45">
      <c r="B35" s="784"/>
      <c r="C35" s="250"/>
      <c r="D35" s="211" t="s">
        <v>107</v>
      </c>
      <c r="E35" s="251">
        <v>0.9</v>
      </c>
      <c r="F35" s="211" t="s">
        <v>108</v>
      </c>
      <c r="G35" s="221" t="s">
        <v>51</v>
      </c>
      <c r="H35" s="209"/>
      <c r="I35" s="966"/>
      <c r="J35" s="661"/>
      <c r="K35" s="602"/>
      <c r="L35" s="433">
        <f>E35*J34/K34</f>
        <v>6.3</v>
      </c>
      <c r="M35" s="433"/>
      <c r="N35" s="433"/>
      <c r="O35" s="597">
        <v>6</v>
      </c>
      <c r="P35" s="596" t="str">
        <f>F35</f>
        <v>OH</v>
      </c>
      <c r="Q35" s="608">
        <f>'Analisa Upah RAP'!G5</f>
        <v>75000</v>
      </c>
      <c r="R35" s="453">
        <f>O35*Q35*K34</f>
        <v>1800000</v>
      </c>
      <c r="S35" s="453"/>
      <c r="T35" s="453"/>
      <c r="U35" s="753"/>
      <c r="V35" s="753"/>
      <c r="W35" s="753"/>
      <c r="X35" s="761"/>
      <c r="Y35" s="756"/>
      <c r="Z35" s="759"/>
      <c r="AA35" s="759"/>
      <c r="AB35" s="759"/>
      <c r="AC35" s="753"/>
      <c r="AD35" s="753"/>
      <c r="AE35" s="761"/>
      <c r="AF35" s="756"/>
      <c r="AG35" s="759"/>
      <c r="AH35" s="759"/>
      <c r="AI35" s="759"/>
      <c r="AJ35" s="753"/>
      <c r="AK35" s="753"/>
      <c r="AL35" s="761"/>
    </row>
    <row r="36" spans="2:38" x14ac:dyDescent="0.45">
      <c r="B36" s="784"/>
      <c r="C36" s="250"/>
      <c r="D36" s="253" t="s">
        <v>109</v>
      </c>
      <c r="E36" s="223">
        <v>4.4999999999999998E-2</v>
      </c>
      <c r="F36" s="253" t="s">
        <v>108</v>
      </c>
      <c r="G36" s="228" t="s">
        <v>52</v>
      </c>
      <c r="H36" s="229"/>
      <c r="I36" s="967"/>
      <c r="J36" s="661"/>
      <c r="K36" s="602"/>
      <c r="L36" s="433">
        <f>E36*J34/K34</f>
        <v>0.315</v>
      </c>
      <c r="M36" s="433"/>
      <c r="N36" s="433"/>
      <c r="O36" s="597">
        <v>1</v>
      </c>
      <c r="P36" s="596" t="str">
        <f>F36</f>
        <v>OH</v>
      </c>
      <c r="Q36" s="608">
        <f>'Analisa Upah RAP'!G12</f>
        <v>100000</v>
      </c>
      <c r="R36" s="453">
        <f>O36*Q36*K34</f>
        <v>400000</v>
      </c>
      <c r="S36" s="453"/>
      <c r="T36" s="453"/>
      <c r="U36" s="753"/>
      <c r="V36" s="753"/>
      <c r="W36" s="753"/>
      <c r="X36" s="761"/>
      <c r="Y36" s="756"/>
      <c r="Z36" s="759"/>
      <c r="AA36" s="759"/>
      <c r="AB36" s="759"/>
      <c r="AC36" s="753"/>
      <c r="AD36" s="753"/>
      <c r="AE36" s="761"/>
      <c r="AF36" s="756"/>
      <c r="AG36" s="759"/>
      <c r="AH36" s="759"/>
      <c r="AI36" s="759"/>
      <c r="AJ36" s="753"/>
      <c r="AK36" s="753"/>
      <c r="AL36" s="761"/>
    </row>
    <row r="37" spans="2:38" x14ac:dyDescent="0.45">
      <c r="B37" s="785"/>
      <c r="C37" s="250"/>
      <c r="D37" s="230"/>
      <c r="E37" s="230"/>
      <c r="F37" s="207" t="s">
        <v>5</v>
      </c>
      <c r="G37" s="213" t="s">
        <v>110</v>
      </c>
      <c r="H37" s="231"/>
      <c r="I37" s="968"/>
      <c r="J37" s="661"/>
      <c r="K37" s="602"/>
      <c r="L37" s="433"/>
      <c r="M37" s="433">
        <f>E37*J34</f>
        <v>0</v>
      </c>
      <c r="N37" s="433"/>
      <c r="O37" s="597">
        <v>0</v>
      </c>
      <c r="P37" s="596">
        <f t="shared" ref="P37:P42" si="1">E37</f>
        <v>0</v>
      </c>
      <c r="Q37" s="608">
        <v>0</v>
      </c>
      <c r="R37" s="453"/>
      <c r="S37" s="453">
        <f>O37*Q37</f>
        <v>0</v>
      </c>
      <c r="T37" s="453"/>
      <c r="U37" s="753"/>
      <c r="V37" s="753"/>
      <c r="W37" s="753"/>
      <c r="X37" s="761"/>
      <c r="Y37" s="756"/>
      <c r="Z37" s="759"/>
      <c r="AA37" s="759"/>
      <c r="AB37" s="759"/>
      <c r="AC37" s="753"/>
      <c r="AD37" s="753"/>
      <c r="AE37" s="761"/>
      <c r="AF37" s="756"/>
      <c r="AG37" s="759"/>
      <c r="AH37" s="759"/>
      <c r="AI37" s="759"/>
      <c r="AJ37" s="753"/>
      <c r="AK37" s="753"/>
      <c r="AL37" s="761"/>
    </row>
    <row r="38" spans="2:38" x14ac:dyDescent="0.45">
      <c r="B38" s="785"/>
      <c r="C38" s="250"/>
      <c r="D38" s="230"/>
      <c r="E38" s="234">
        <v>0</v>
      </c>
      <c r="F38" s="211" t="s">
        <v>154</v>
      </c>
      <c r="G38" s="235" t="s">
        <v>154</v>
      </c>
      <c r="H38" s="231"/>
      <c r="I38" s="968"/>
      <c r="J38" s="661"/>
      <c r="K38" s="602"/>
      <c r="L38" s="433"/>
      <c r="M38" s="433">
        <f>E38*J34</f>
        <v>0</v>
      </c>
      <c r="N38" s="433"/>
      <c r="O38" s="597">
        <v>0</v>
      </c>
      <c r="P38" s="596">
        <f t="shared" si="1"/>
        <v>0</v>
      </c>
      <c r="Q38" s="608">
        <v>0</v>
      </c>
      <c r="R38" s="453"/>
      <c r="S38" s="453">
        <f t="shared" ref="S38:S40" si="2">O38*Q38</f>
        <v>0</v>
      </c>
      <c r="T38" s="453"/>
      <c r="U38" s="753"/>
      <c r="V38" s="753"/>
      <c r="W38" s="753"/>
      <c r="X38" s="761"/>
      <c r="Y38" s="756"/>
      <c r="Z38" s="759"/>
      <c r="AA38" s="759"/>
      <c r="AB38" s="759"/>
      <c r="AC38" s="753"/>
      <c r="AD38" s="753"/>
      <c r="AE38" s="761"/>
      <c r="AF38" s="756"/>
      <c r="AG38" s="759"/>
      <c r="AH38" s="759"/>
      <c r="AI38" s="759"/>
      <c r="AJ38" s="753"/>
      <c r="AK38" s="753"/>
      <c r="AL38" s="761"/>
    </row>
    <row r="39" spans="2:38" x14ac:dyDescent="0.45">
      <c r="B39" s="785"/>
      <c r="C39" s="250"/>
      <c r="D39" s="230"/>
      <c r="E39" s="234">
        <v>0</v>
      </c>
      <c r="F39" s="211" t="s">
        <v>154</v>
      </c>
      <c r="G39" s="235" t="s">
        <v>154</v>
      </c>
      <c r="H39" s="231"/>
      <c r="I39" s="968"/>
      <c r="J39" s="661"/>
      <c r="K39" s="602"/>
      <c r="L39" s="433"/>
      <c r="M39" s="433">
        <f>E39*J34</f>
        <v>0</v>
      </c>
      <c r="N39" s="433"/>
      <c r="O39" s="597">
        <v>0</v>
      </c>
      <c r="P39" s="596">
        <f t="shared" si="1"/>
        <v>0</v>
      </c>
      <c r="Q39" s="608">
        <v>0</v>
      </c>
      <c r="R39" s="453"/>
      <c r="S39" s="453">
        <f t="shared" si="2"/>
        <v>0</v>
      </c>
      <c r="T39" s="453"/>
      <c r="U39" s="753"/>
      <c r="V39" s="753"/>
      <c r="W39" s="753"/>
      <c r="X39" s="761"/>
      <c r="Y39" s="756"/>
      <c r="Z39" s="759"/>
      <c r="AA39" s="759"/>
      <c r="AB39" s="759"/>
      <c r="AC39" s="753"/>
      <c r="AD39" s="753"/>
      <c r="AE39" s="761"/>
      <c r="AF39" s="756"/>
      <c r="AG39" s="759"/>
      <c r="AH39" s="759"/>
      <c r="AI39" s="759"/>
      <c r="AJ39" s="753"/>
      <c r="AK39" s="753"/>
      <c r="AL39" s="761"/>
    </row>
    <row r="40" spans="2:38" x14ac:dyDescent="0.45">
      <c r="B40" s="785"/>
      <c r="C40" s="250"/>
      <c r="D40" s="230"/>
      <c r="E40" s="234">
        <v>0</v>
      </c>
      <c r="F40" s="211" t="s">
        <v>154</v>
      </c>
      <c r="G40" s="235" t="s">
        <v>154</v>
      </c>
      <c r="H40" s="231"/>
      <c r="I40" s="968"/>
      <c r="J40" s="661"/>
      <c r="K40" s="602"/>
      <c r="L40" s="433"/>
      <c r="M40" s="433">
        <f>E40*J34</f>
        <v>0</v>
      </c>
      <c r="N40" s="433"/>
      <c r="O40" s="597">
        <v>0</v>
      </c>
      <c r="P40" s="596">
        <f t="shared" si="1"/>
        <v>0</v>
      </c>
      <c r="Q40" s="608">
        <v>0</v>
      </c>
      <c r="R40" s="453"/>
      <c r="S40" s="453">
        <f t="shared" si="2"/>
        <v>0</v>
      </c>
      <c r="T40" s="453"/>
      <c r="U40" s="753"/>
      <c r="V40" s="753"/>
      <c r="W40" s="753"/>
      <c r="X40" s="761"/>
      <c r="Y40" s="756"/>
      <c r="Z40" s="759"/>
      <c r="AA40" s="759"/>
      <c r="AB40" s="759"/>
      <c r="AC40" s="753"/>
      <c r="AD40" s="753"/>
      <c r="AE40" s="761"/>
      <c r="AF40" s="756"/>
      <c r="AG40" s="759"/>
      <c r="AH40" s="759"/>
      <c r="AI40" s="759"/>
      <c r="AJ40" s="753"/>
      <c r="AK40" s="753"/>
      <c r="AL40" s="761"/>
    </row>
    <row r="41" spans="2:38" x14ac:dyDescent="0.45">
      <c r="B41" s="785"/>
      <c r="C41" s="250"/>
      <c r="D41" s="230"/>
      <c r="E41" s="230"/>
      <c r="F41" s="207" t="s">
        <v>6</v>
      </c>
      <c r="G41" s="213" t="s">
        <v>111</v>
      </c>
      <c r="H41" s="244"/>
      <c r="I41" s="969"/>
      <c r="J41" s="661"/>
      <c r="K41" s="602"/>
      <c r="L41" s="433"/>
      <c r="M41" s="433"/>
      <c r="N41" s="433"/>
      <c r="O41" s="599"/>
      <c r="P41" s="596">
        <f t="shared" si="1"/>
        <v>0</v>
      </c>
      <c r="Q41" s="606">
        <v>0</v>
      </c>
      <c r="R41" s="433"/>
      <c r="S41" s="433"/>
      <c r="T41" s="433"/>
      <c r="U41" s="753"/>
      <c r="V41" s="753"/>
      <c r="W41" s="753"/>
      <c r="X41" s="761"/>
      <c r="Y41" s="756"/>
      <c r="Z41" s="759"/>
      <c r="AA41" s="759"/>
      <c r="AB41" s="759"/>
      <c r="AC41" s="753"/>
      <c r="AD41" s="753"/>
      <c r="AE41" s="761"/>
      <c r="AF41" s="756"/>
      <c r="AG41" s="759"/>
      <c r="AH41" s="759"/>
      <c r="AI41" s="759"/>
      <c r="AJ41" s="753"/>
      <c r="AK41" s="753"/>
      <c r="AL41" s="761"/>
    </row>
    <row r="42" spans="2:38" x14ac:dyDescent="0.45">
      <c r="B42" s="785"/>
      <c r="C42" s="250"/>
      <c r="D42" s="230"/>
      <c r="E42" s="234">
        <v>0</v>
      </c>
      <c r="F42" s="211" t="s">
        <v>154</v>
      </c>
      <c r="G42" s="235" t="s">
        <v>154</v>
      </c>
      <c r="H42" s="244"/>
      <c r="I42" s="969"/>
      <c r="J42" s="661"/>
      <c r="K42" s="602"/>
      <c r="L42" s="433"/>
      <c r="M42" s="433"/>
      <c r="N42" s="433">
        <f>E42*J34</f>
        <v>0</v>
      </c>
      <c r="O42" s="599">
        <v>0</v>
      </c>
      <c r="P42" s="596">
        <f t="shared" si="1"/>
        <v>0</v>
      </c>
      <c r="Q42" s="606">
        <v>0</v>
      </c>
      <c r="R42" s="433"/>
      <c r="S42" s="433"/>
      <c r="T42" s="433">
        <f>O42*Q42</f>
        <v>0</v>
      </c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x14ac:dyDescent="0.45">
      <c r="B43" s="785"/>
      <c r="C43" s="250"/>
      <c r="D43" s="230"/>
      <c r="E43" s="230"/>
      <c r="F43" s="207" t="s">
        <v>112</v>
      </c>
      <c r="G43" s="213" t="s">
        <v>113</v>
      </c>
      <c r="H43" s="244"/>
      <c r="I43" s="969"/>
      <c r="J43" s="661"/>
      <c r="K43" s="602"/>
      <c r="L43" s="433"/>
      <c r="M43" s="433"/>
      <c r="N43" s="433"/>
      <c r="O43" s="433"/>
      <c r="P43" s="433"/>
      <c r="Q43" s="595"/>
      <c r="R43" s="433"/>
      <c r="S43" s="433"/>
      <c r="T43" s="433"/>
      <c r="U43" s="433"/>
      <c r="V43" s="433"/>
      <c r="W43" s="433"/>
      <c r="X43" s="659"/>
      <c r="Y43" s="661"/>
      <c r="Z43" s="433"/>
      <c r="AA43" s="433"/>
      <c r="AB43" s="433"/>
      <c r="AC43" s="433"/>
      <c r="AD43" s="433"/>
      <c r="AE43" s="644"/>
      <c r="AF43" s="661"/>
      <c r="AG43" s="433"/>
      <c r="AH43" s="433"/>
      <c r="AI43" s="433"/>
      <c r="AJ43" s="433"/>
      <c r="AK43" s="433"/>
      <c r="AL43" s="644"/>
    </row>
    <row r="44" spans="2:38" x14ac:dyDescent="0.45">
      <c r="B44" s="785"/>
      <c r="C44" s="250"/>
      <c r="D44" s="230"/>
      <c r="E44" s="230"/>
      <c r="F44" s="207" t="s">
        <v>114</v>
      </c>
      <c r="G44" s="213" t="s">
        <v>130</v>
      </c>
      <c r="H44" s="244"/>
      <c r="I44" s="970">
        <v>0.15</v>
      </c>
      <c r="J44" s="661"/>
      <c r="K44" s="602"/>
      <c r="L44" s="433"/>
      <c r="M44" s="433"/>
      <c r="N44" s="433"/>
      <c r="O44" s="433"/>
      <c r="P44" s="433"/>
      <c r="Q44" s="595"/>
      <c r="R44" s="433"/>
      <c r="S44" s="433"/>
      <c r="T44" s="433"/>
      <c r="U44" s="433"/>
      <c r="V44" s="433"/>
      <c r="W44" s="433"/>
      <c r="X44" s="659"/>
      <c r="Y44" s="661"/>
      <c r="Z44" s="433"/>
      <c r="AA44" s="433"/>
      <c r="AB44" s="433"/>
      <c r="AC44" s="433"/>
      <c r="AD44" s="433"/>
      <c r="AE44" s="644"/>
      <c r="AF44" s="661"/>
      <c r="AG44" s="433"/>
      <c r="AH44" s="433"/>
      <c r="AI44" s="433"/>
      <c r="AJ44" s="433"/>
      <c r="AK44" s="433"/>
      <c r="AL44" s="644"/>
    </row>
    <row r="45" spans="2:38" ht="17" thickBot="1" x14ac:dyDescent="0.5">
      <c r="B45" s="786"/>
      <c r="C45" s="787"/>
      <c r="D45" s="648"/>
      <c r="E45" s="648"/>
      <c r="F45" s="649" t="s">
        <v>115</v>
      </c>
      <c r="G45" s="650" t="s">
        <v>116</v>
      </c>
      <c r="H45" s="651"/>
      <c r="I45" s="971"/>
      <c r="J45" s="662"/>
      <c r="K45" s="763"/>
      <c r="L45" s="655"/>
      <c r="M45" s="655"/>
      <c r="N45" s="655"/>
      <c r="O45" s="655"/>
      <c r="P45" s="655"/>
      <c r="Q45" s="654"/>
      <c r="R45" s="655"/>
      <c r="S45" s="655"/>
      <c r="T45" s="655"/>
      <c r="U45" s="655"/>
      <c r="V45" s="655"/>
      <c r="W45" s="655"/>
      <c r="X45" s="660"/>
      <c r="Y45" s="662"/>
      <c r="Z45" s="655"/>
      <c r="AA45" s="655"/>
      <c r="AB45" s="655"/>
      <c r="AC45" s="655"/>
      <c r="AD45" s="655"/>
      <c r="AE45" s="656"/>
      <c r="AF45" s="662"/>
      <c r="AG45" s="655"/>
      <c r="AH45" s="655"/>
      <c r="AI45" s="655"/>
      <c r="AJ45" s="655"/>
      <c r="AK45" s="655"/>
      <c r="AL45" s="656"/>
    </row>
    <row r="46" spans="2:38" x14ac:dyDescent="0.45">
      <c r="B46" s="748"/>
      <c r="C46" s="749"/>
      <c r="D46" s="241"/>
      <c r="E46" s="241"/>
      <c r="F46" s="276"/>
      <c r="G46" s="240"/>
      <c r="H46" s="241"/>
      <c r="I46" s="241"/>
      <c r="J46" s="609"/>
      <c r="K46" s="782"/>
      <c r="L46" s="609"/>
      <c r="M46" s="609"/>
      <c r="N46" s="609"/>
      <c r="O46" s="609"/>
      <c r="P46" s="609"/>
      <c r="Q46" s="604"/>
      <c r="R46" s="609"/>
      <c r="S46" s="609"/>
      <c r="T46" s="609"/>
      <c r="U46" s="609"/>
      <c r="V46" s="609"/>
      <c r="W46" s="609"/>
      <c r="X46" s="609"/>
      <c r="Y46" s="609"/>
      <c r="Z46" s="609"/>
      <c r="AA46" s="609"/>
      <c r="AB46" s="609"/>
      <c r="AC46" s="609"/>
      <c r="AD46" s="609"/>
      <c r="AE46" s="609"/>
      <c r="AF46" s="609"/>
      <c r="AG46" s="609"/>
      <c r="AH46" s="609"/>
      <c r="AI46" s="609"/>
      <c r="AJ46" s="609"/>
      <c r="AK46" s="609"/>
      <c r="AL46" s="609"/>
    </row>
    <row r="47" spans="2:38" ht="17" thickBot="1" x14ac:dyDescent="0.5">
      <c r="B47" s="749" t="s">
        <v>602</v>
      </c>
      <c r="C47" s="750" t="str">
        <f>RAP!B26</f>
        <v>Urugan Tanah Kembali</v>
      </c>
      <c r="D47" s="241"/>
      <c r="E47" s="241"/>
      <c r="F47" s="276"/>
      <c r="G47" s="240"/>
      <c r="H47" s="241"/>
      <c r="I47" s="241"/>
      <c r="J47" s="604"/>
      <c r="K47" s="603"/>
      <c r="L47" s="604"/>
      <c r="M47" s="604"/>
      <c r="N47" s="604"/>
      <c r="O47" s="604"/>
      <c r="P47" s="604"/>
      <c r="Q47" s="604"/>
      <c r="R47" s="609"/>
      <c r="S47" s="609"/>
      <c r="T47" s="609"/>
      <c r="U47" s="609"/>
      <c r="V47" s="609"/>
      <c r="W47" s="609"/>
      <c r="X47" s="609"/>
      <c r="Y47" s="609"/>
      <c r="Z47" s="609"/>
      <c r="AA47" s="609"/>
      <c r="AB47" s="609"/>
      <c r="AC47" s="609"/>
      <c r="AD47" s="609"/>
      <c r="AE47" s="609"/>
      <c r="AF47" s="609"/>
      <c r="AG47" s="609"/>
      <c r="AH47" s="609"/>
      <c r="AI47" s="609"/>
      <c r="AJ47" s="609"/>
      <c r="AK47" s="609"/>
      <c r="AL47" s="609"/>
    </row>
    <row r="48" spans="2:38" ht="19.5" customHeight="1" x14ac:dyDescent="0.45">
      <c r="B48" s="1168" t="s">
        <v>99</v>
      </c>
      <c r="C48" s="1171" t="s">
        <v>100</v>
      </c>
      <c r="D48" s="1171" t="s">
        <v>89</v>
      </c>
      <c r="E48" s="1171" t="s">
        <v>101</v>
      </c>
      <c r="F48" s="1171" t="s">
        <v>102</v>
      </c>
      <c r="G48" s="1109" t="s">
        <v>103</v>
      </c>
      <c r="H48" s="1110"/>
      <c r="I48" s="1175"/>
      <c r="J48" s="1152" t="s">
        <v>539</v>
      </c>
      <c r="K48" s="1152"/>
      <c r="L48" s="1152"/>
      <c r="M48" s="1152"/>
      <c r="N48" s="1152"/>
      <c r="O48" s="1152"/>
      <c r="P48" s="1152"/>
      <c r="Q48" s="1152"/>
      <c r="R48" s="1152"/>
      <c r="S48" s="1152"/>
      <c r="T48" s="1152"/>
      <c r="U48" s="1152"/>
      <c r="V48" s="1152"/>
      <c r="W48" s="1152"/>
      <c r="X48" s="1152"/>
      <c r="Y48" s="1153" t="s">
        <v>540</v>
      </c>
      <c r="Z48" s="1154"/>
      <c r="AA48" s="1154"/>
      <c r="AB48" s="1154"/>
      <c r="AC48" s="1154"/>
      <c r="AD48" s="1154"/>
      <c r="AE48" s="1155"/>
      <c r="AF48" s="1156" t="s">
        <v>541</v>
      </c>
      <c r="AG48" s="1157"/>
      <c r="AH48" s="1157"/>
      <c r="AI48" s="1157"/>
      <c r="AJ48" s="1157"/>
      <c r="AK48" s="1157"/>
      <c r="AL48" s="1158"/>
    </row>
    <row r="49" spans="2:38" ht="45" x14ac:dyDescent="0.45">
      <c r="B49" s="1169"/>
      <c r="C49" s="1089"/>
      <c r="D49" s="1089"/>
      <c r="E49" s="1089"/>
      <c r="F49" s="1089"/>
      <c r="G49" s="1026"/>
      <c r="H49" s="1027"/>
      <c r="I49" s="1176"/>
      <c r="J49" s="1173" t="s">
        <v>15</v>
      </c>
      <c r="K49" s="673" t="s">
        <v>493</v>
      </c>
      <c r="L49" s="1161" t="s">
        <v>491</v>
      </c>
      <c r="M49" s="1162"/>
      <c r="N49" s="1162"/>
      <c r="O49" s="1162"/>
      <c r="P49" s="1163"/>
      <c r="Q49" s="674" t="s">
        <v>533</v>
      </c>
      <c r="R49" s="1161" t="s">
        <v>501</v>
      </c>
      <c r="S49" s="1162"/>
      <c r="T49" s="1163"/>
      <c r="U49" s="674" t="s">
        <v>530</v>
      </c>
      <c r="V49" s="674" t="s">
        <v>531</v>
      </c>
      <c r="W49" s="674" t="s">
        <v>578</v>
      </c>
      <c r="X49" s="681" t="s">
        <v>579</v>
      </c>
      <c r="Y49" s="1164" t="s">
        <v>534</v>
      </c>
      <c r="Z49" s="1165"/>
      <c r="AA49" s="663" t="s">
        <v>537</v>
      </c>
      <c r="AB49" s="664" t="s">
        <v>538</v>
      </c>
      <c r="AC49" s="665" t="s">
        <v>530</v>
      </c>
      <c r="AD49" s="665" t="s">
        <v>578</v>
      </c>
      <c r="AE49" s="682" t="s">
        <v>579</v>
      </c>
      <c r="AF49" s="1166" t="s">
        <v>542</v>
      </c>
      <c r="AG49" s="1167"/>
      <c r="AH49" s="737" t="s">
        <v>543</v>
      </c>
      <c r="AI49" s="738" t="s">
        <v>544</v>
      </c>
      <c r="AJ49" s="739" t="s">
        <v>530</v>
      </c>
      <c r="AK49" s="739" t="s">
        <v>578</v>
      </c>
      <c r="AL49" s="740" t="s">
        <v>579</v>
      </c>
    </row>
    <row r="50" spans="2:38" ht="30" x14ac:dyDescent="0.45">
      <c r="B50" s="1170"/>
      <c r="C50" s="1090"/>
      <c r="D50" s="1090"/>
      <c r="E50" s="1090"/>
      <c r="F50" s="1090"/>
      <c r="G50" s="1085"/>
      <c r="H50" s="1086"/>
      <c r="I50" s="1177"/>
      <c r="J50" s="1174"/>
      <c r="K50" s="675" t="s">
        <v>495</v>
      </c>
      <c r="L50" s="676" t="s">
        <v>524</v>
      </c>
      <c r="M50" s="676" t="s">
        <v>525</v>
      </c>
      <c r="N50" s="676" t="s">
        <v>526</v>
      </c>
      <c r="O50" s="675" t="s">
        <v>517</v>
      </c>
      <c r="P50" s="675" t="s">
        <v>290</v>
      </c>
      <c r="Q50" s="675" t="s">
        <v>532</v>
      </c>
      <c r="R50" s="676" t="s">
        <v>527</v>
      </c>
      <c r="S50" s="676" t="s">
        <v>528</v>
      </c>
      <c r="T50" s="677" t="s">
        <v>529</v>
      </c>
      <c r="U50" s="675" t="s">
        <v>502</v>
      </c>
      <c r="V50" s="675" t="s">
        <v>502</v>
      </c>
      <c r="W50" s="675" t="s">
        <v>502</v>
      </c>
      <c r="X50" s="678" t="s">
        <v>504</v>
      </c>
      <c r="Y50" s="666" t="s">
        <v>535</v>
      </c>
      <c r="Z50" s="667" t="s">
        <v>536</v>
      </c>
      <c r="AA50" s="668" t="s">
        <v>532</v>
      </c>
      <c r="AB50" s="668" t="s">
        <v>532</v>
      </c>
      <c r="AC50" s="668" t="s">
        <v>532</v>
      </c>
      <c r="AD50" s="668" t="s">
        <v>532</v>
      </c>
      <c r="AE50" s="669" t="s">
        <v>532</v>
      </c>
      <c r="AF50" s="741" t="s">
        <v>535</v>
      </c>
      <c r="AG50" s="742" t="s">
        <v>536</v>
      </c>
      <c r="AH50" s="743" t="s">
        <v>532</v>
      </c>
      <c r="AI50" s="743" t="s">
        <v>532</v>
      </c>
      <c r="AJ50" s="743" t="s">
        <v>532</v>
      </c>
      <c r="AK50" s="743" t="s">
        <v>532</v>
      </c>
      <c r="AL50" s="744" t="s">
        <v>532</v>
      </c>
    </row>
    <row r="51" spans="2:38" ht="30" x14ac:dyDescent="0.45">
      <c r="B51" s="639" t="s">
        <v>4</v>
      </c>
      <c r="C51" s="600" t="s">
        <v>5</v>
      </c>
      <c r="D51" s="570" t="s">
        <v>6</v>
      </c>
      <c r="E51" s="570" t="s">
        <v>112</v>
      </c>
      <c r="F51" s="570" t="s">
        <v>114</v>
      </c>
      <c r="G51" s="1014" t="s">
        <v>115</v>
      </c>
      <c r="H51" s="1014"/>
      <c r="I51" s="1172"/>
      <c r="J51" s="791" t="s">
        <v>21</v>
      </c>
      <c r="K51" s="675" t="s">
        <v>496</v>
      </c>
      <c r="L51" s="675" t="s">
        <v>497</v>
      </c>
      <c r="M51" s="675" t="s">
        <v>498</v>
      </c>
      <c r="N51" s="675" t="s">
        <v>499</v>
      </c>
      <c r="O51" s="676" t="s">
        <v>552</v>
      </c>
      <c r="P51" s="675" t="s">
        <v>512</v>
      </c>
      <c r="Q51" s="675" t="s">
        <v>503</v>
      </c>
      <c r="R51" s="675" t="s">
        <v>553</v>
      </c>
      <c r="S51" s="675" t="s">
        <v>513</v>
      </c>
      <c r="T51" s="675" t="s">
        <v>514</v>
      </c>
      <c r="U51" s="675" t="s">
        <v>554</v>
      </c>
      <c r="V51" s="675" t="s">
        <v>515</v>
      </c>
      <c r="W51" s="675" t="s">
        <v>555</v>
      </c>
      <c r="X51" s="678" t="s">
        <v>516</v>
      </c>
      <c r="Y51" s="670" t="s">
        <v>556</v>
      </c>
      <c r="Z51" s="671" t="s">
        <v>557</v>
      </c>
      <c r="AA51" s="671" t="s">
        <v>558</v>
      </c>
      <c r="AB51" s="671" t="s">
        <v>559</v>
      </c>
      <c r="AC51" s="671" t="s">
        <v>560</v>
      </c>
      <c r="AD51" s="671" t="s">
        <v>561</v>
      </c>
      <c r="AE51" s="672" t="s">
        <v>562</v>
      </c>
      <c r="AF51" s="745" t="s">
        <v>563</v>
      </c>
      <c r="AG51" s="746" t="s">
        <v>564</v>
      </c>
      <c r="AH51" s="746" t="s">
        <v>565</v>
      </c>
      <c r="AI51" s="746" t="s">
        <v>566</v>
      </c>
      <c r="AJ51" s="746" t="s">
        <v>567</v>
      </c>
      <c r="AK51" s="746" t="s">
        <v>568</v>
      </c>
      <c r="AL51" s="747" t="s">
        <v>569</v>
      </c>
    </row>
    <row r="52" spans="2:38" ht="15.5" x14ac:dyDescent="0.45">
      <c r="B52" s="1178">
        <v>3</v>
      </c>
      <c r="C52" s="1069" t="s">
        <v>20</v>
      </c>
      <c r="D52" s="1069"/>
      <c r="E52" s="1073">
        <v>1</v>
      </c>
      <c r="F52" s="1069" t="s">
        <v>12</v>
      </c>
      <c r="G52" s="457" t="s">
        <v>90</v>
      </c>
      <c r="H52" s="458"/>
      <c r="I52" s="972"/>
      <c r="J52" s="788"/>
      <c r="K52" s="788"/>
      <c r="L52" s="788"/>
      <c r="M52" s="788"/>
      <c r="N52" s="788"/>
      <c r="O52" s="788"/>
      <c r="P52" s="788"/>
      <c r="Q52" s="788"/>
      <c r="R52" s="788"/>
      <c r="S52" s="788"/>
      <c r="T52" s="788"/>
      <c r="U52" s="788"/>
      <c r="V52" s="788"/>
      <c r="W52" s="788"/>
      <c r="X52" s="788"/>
      <c r="Y52" s="788"/>
      <c r="Z52" s="788"/>
      <c r="AA52" s="788"/>
      <c r="AB52" s="788"/>
      <c r="AC52" s="788"/>
      <c r="AD52" s="788"/>
      <c r="AE52" s="788"/>
      <c r="AF52" s="788"/>
      <c r="AG52" s="788"/>
      <c r="AH52" s="788"/>
      <c r="AI52" s="788"/>
      <c r="AJ52" s="788"/>
      <c r="AK52" s="788"/>
      <c r="AL52" s="788"/>
    </row>
    <row r="53" spans="2:38" x14ac:dyDescent="0.45">
      <c r="B53" s="1179"/>
      <c r="C53" s="1070"/>
      <c r="D53" s="1070"/>
      <c r="E53" s="1074"/>
      <c r="F53" s="1070"/>
      <c r="G53" s="460" t="s">
        <v>249</v>
      </c>
      <c r="H53" s="461"/>
      <c r="I53" s="973"/>
      <c r="J53" s="789"/>
      <c r="K53" s="789"/>
      <c r="L53" s="789"/>
      <c r="M53" s="789"/>
      <c r="N53" s="789"/>
      <c r="O53" s="789"/>
      <c r="P53" s="789"/>
      <c r="Q53" s="789"/>
      <c r="R53" s="789"/>
      <c r="S53" s="789"/>
      <c r="T53" s="789"/>
      <c r="U53" s="789"/>
      <c r="V53" s="789"/>
      <c r="W53" s="789"/>
      <c r="X53" s="789"/>
      <c r="Y53" s="789"/>
      <c r="Z53" s="789"/>
      <c r="AA53" s="789"/>
      <c r="AB53" s="789"/>
      <c r="AC53" s="789"/>
      <c r="AD53" s="789"/>
      <c r="AE53" s="789"/>
      <c r="AF53" s="789"/>
      <c r="AG53" s="789"/>
      <c r="AH53" s="789"/>
      <c r="AI53" s="789"/>
      <c r="AJ53" s="789"/>
      <c r="AK53" s="789"/>
      <c r="AL53" s="790"/>
    </row>
    <row r="54" spans="2:38" x14ac:dyDescent="0.45">
      <c r="B54" s="794"/>
      <c r="C54" s="260"/>
      <c r="D54" s="211"/>
      <c r="E54" s="261"/>
      <c r="F54" s="206" t="s">
        <v>4</v>
      </c>
      <c r="G54" s="262" t="s">
        <v>106</v>
      </c>
      <c r="H54" s="226"/>
      <c r="I54" s="974"/>
      <c r="J54" s="792">
        <f>RAP!E26</f>
        <v>16</v>
      </c>
      <c r="K54" s="601">
        <v>1</v>
      </c>
      <c r="L54" s="319"/>
      <c r="M54" s="319"/>
      <c r="N54" s="319"/>
      <c r="O54" s="598"/>
      <c r="P54" s="598"/>
      <c r="Q54" s="605"/>
      <c r="R54" s="485"/>
      <c r="S54" s="485"/>
      <c r="T54" s="485"/>
      <c r="U54" s="752">
        <f>SUM(R55:R60)+(SUM(S55:S60)+SUM(T55:T60))</f>
        <v>250000</v>
      </c>
      <c r="V54" s="754">
        <f>RAP!H26</f>
        <v>263733.33</v>
      </c>
      <c r="W54" s="752">
        <f>V54-U54</f>
        <v>13733.330000000016</v>
      </c>
      <c r="X54" s="760">
        <f>W54/V54*100</f>
        <v>5.2072788828018117</v>
      </c>
      <c r="Y54" s="755">
        <f>SUM(R55:R60)/J54</f>
        <v>15625</v>
      </c>
      <c r="Z54" s="757">
        <v>15000</v>
      </c>
      <c r="AA54" s="758">
        <f>J54*Z54</f>
        <v>240000</v>
      </c>
      <c r="AB54" s="758">
        <f>SUM(S54:S60)+SUM(T54:T60)</f>
        <v>0</v>
      </c>
      <c r="AC54" s="752">
        <f>AA54+AB54</f>
        <v>240000</v>
      </c>
      <c r="AD54" s="752">
        <f>V54-AC54</f>
        <v>23733.330000000016</v>
      </c>
      <c r="AE54" s="760">
        <f>AD54/V54*100</f>
        <v>8.9989877274897392</v>
      </c>
      <c r="AF54" s="755">
        <f>(SUM(R54:R60)+SUM(S54:S60))/J54</f>
        <v>15625</v>
      </c>
      <c r="AG54" s="757">
        <v>15000</v>
      </c>
      <c r="AH54" s="758">
        <f>AG54*J54</f>
        <v>240000</v>
      </c>
      <c r="AI54" s="758">
        <f>SUM(T54:T60)</f>
        <v>0</v>
      </c>
      <c r="AJ54" s="752">
        <f>AH54+AI54</f>
        <v>240000</v>
      </c>
      <c r="AK54" s="752">
        <f>V54-AJ54</f>
        <v>23733.330000000016</v>
      </c>
      <c r="AL54" s="760">
        <f>AK54/V54*100</f>
        <v>8.9989877274897392</v>
      </c>
    </row>
    <row r="55" spans="2:38" x14ac:dyDescent="0.45">
      <c r="B55" s="785"/>
      <c r="C55" s="265"/>
      <c r="D55" s="211" t="s">
        <v>107</v>
      </c>
      <c r="E55" s="266">
        <f>0.5/3</f>
        <v>0.16666666666666666</v>
      </c>
      <c r="F55" s="267" t="s">
        <v>108</v>
      </c>
      <c r="G55" s="235" t="s">
        <v>51</v>
      </c>
      <c r="H55" s="209"/>
      <c r="I55" s="966"/>
      <c r="J55" s="475"/>
      <c r="K55" s="602"/>
      <c r="L55" s="433">
        <f>E55*J54/K54</f>
        <v>2.6666666666666665</v>
      </c>
      <c r="M55" s="433"/>
      <c r="N55" s="433"/>
      <c r="O55" s="597">
        <v>2</v>
      </c>
      <c r="P55" s="596" t="str">
        <f>F55</f>
        <v>OH</v>
      </c>
      <c r="Q55" s="608">
        <f>'Analisa Upah RAP'!G5</f>
        <v>75000</v>
      </c>
      <c r="R55" s="453">
        <f>O55*Q55*K54</f>
        <v>150000</v>
      </c>
      <c r="S55" s="453"/>
      <c r="T55" s="453"/>
      <c r="U55" s="753"/>
      <c r="V55" s="753"/>
      <c r="W55" s="753"/>
      <c r="X55" s="761"/>
      <c r="Y55" s="756"/>
      <c r="Z55" s="759"/>
      <c r="AA55" s="759"/>
      <c r="AB55" s="759"/>
      <c r="AC55" s="753"/>
      <c r="AD55" s="753"/>
      <c r="AE55" s="761"/>
      <c r="AF55" s="756"/>
      <c r="AG55" s="759"/>
      <c r="AH55" s="759"/>
      <c r="AI55" s="759"/>
      <c r="AJ55" s="753"/>
      <c r="AK55" s="753"/>
      <c r="AL55" s="761"/>
    </row>
    <row r="56" spans="2:38" x14ac:dyDescent="0.45">
      <c r="B56" s="785"/>
      <c r="C56" s="265"/>
      <c r="D56" s="269" t="s">
        <v>109</v>
      </c>
      <c r="E56" s="270">
        <f>0.05/3</f>
        <v>1.6666666666666666E-2</v>
      </c>
      <c r="F56" s="271" t="s">
        <v>108</v>
      </c>
      <c r="G56" s="225" t="s">
        <v>52</v>
      </c>
      <c r="H56" s="226"/>
      <c r="I56" s="974"/>
      <c r="J56" s="475"/>
      <c r="K56" s="602"/>
      <c r="L56" s="433">
        <f>E56*J54/K54</f>
        <v>0.26666666666666666</v>
      </c>
      <c r="M56" s="433"/>
      <c r="N56" s="433"/>
      <c r="O56" s="597">
        <v>1</v>
      </c>
      <c r="P56" s="596" t="str">
        <f>F56</f>
        <v>OH</v>
      </c>
      <c r="Q56" s="608">
        <f>'Analisa Upah RAP'!G12</f>
        <v>100000</v>
      </c>
      <c r="R56" s="453">
        <f>O56*Q56*K54</f>
        <v>100000</v>
      </c>
      <c r="S56" s="453"/>
      <c r="T56" s="453"/>
      <c r="U56" s="753"/>
      <c r="V56" s="753"/>
      <c r="W56" s="753"/>
      <c r="X56" s="761"/>
      <c r="Y56" s="756"/>
      <c r="Z56" s="759"/>
      <c r="AA56" s="759"/>
      <c r="AB56" s="759"/>
      <c r="AC56" s="753"/>
      <c r="AD56" s="753"/>
      <c r="AE56" s="761"/>
      <c r="AF56" s="756"/>
      <c r="AG56" s="759"/>
      <c r="AH56" s="759"/>
      <c r="AI56" s="759"/>
      <c r="AJ56" s="753"/>
      <c r="AK56" s="753"/>
      <c r="AL56" s="761"/>
    </row>
    <row r="57" spans="2:38" x14ac:dyDescent="0.45">
      <c r="B57" s="785"/>
      <c r="C57" s="265"/>
      <c r="D57" s="230"/>
      <c r="E57" s="230"/>
      <c r="F57" s="207" t="s">
        <v>5</v>
      </c>
      <c r="G57" s="213" t="s">
        <v>110</v>
      </c>
      <c r="H57" s="231"/>
      <c r="I57" s="968"/>
      <c r="J57" s="475"/>
      <c r="K57" s="602"/>
      <c r="L57" s="433"/>
      <c r="M57" s="433">
        <f>E57*J54</f>
        <v>0</v>
      </c>
      <c r="N57" s="433"/>
      <c r="O57" s="597">
        <v>0</v>
      </c>
      <c r="P57" s="596">
        <f t="shared" ref="P57:P62" si="3">E57</f>
        <v>0</v>
      </c>
      <c r="Q57" s="608">
        <v>0</v>
      </c>
      <c r="R57" s="453"/>
      <c r="S57" s="453">
        <f t="shared" ref="S57:S58" si="4">O57*Q57</f>
        <v>0</v>
      </c>
      <c r="T57" s="453"/>
      <c r="U57" s="753"/>
      <c r="V57" s="753"/>
      <c r="W57" s="753"/>
      <c r="X57" s="761"/>
      <c r="Y57" s="756"/>
      <c r="Z57" s="759"/>
      <c r="AA57" s="759"/>
      <c r="AB57" s="759"/>
      <c r="AC57" s="753"/>
      <c r="AD57" s="753"/>
      <c r="AE57" s="761"/>
      <c r="AF57" s="756"/>
      <c r="AG57" s="759"/>
      <c r="AH57" s="759"/>
      <c r="AI57" s="759"/>
      <c r="AJ57" s="753"/>
      <c r="AK57" s="753"/>
      <c r="AL57" s="761"/>
    </row>
    <row r="58" spans="2:38" x14ac:dyDescent="0.45">
      <c r="B58" s="785"/>
      <c r="C58" s="265"/>
      <c r="D58" s="230"/>
      <c r="E58" s="234">
        <v>0</v>
      </c>
      <c r="F58" s="211" t="s">
        <v>154</v>
      </c>
      <c r="G58" s="235" t="s">
        <v>154</v>
      </c>
      <c r="H58" s="231"/>
      <c r="I58" s="968"/>
      <c r="J58" s="475"/>
      <c r="K58" s="602"/>
      <c r="L58" s="433"/>
      <c r="M58" s="433">
        <f>E58*J54</f>
        <v>0</v>
      </c>
      <c r="N58" s="433"/>
      <c r="O58" s="597">
        <v>0</v>
      </c>
      <c r="P58" s="596">
        <f t="shared" si="3"/>
        <v>0</v>
      </c>
      <c r="Q58" s="608">
        <v>0</v>
      </c>
      <c r="R58" s="453"/>
      <c r="S58" s="453">
        <f t="shared" si="4"/>
        <v>0</v>
      </c>
      <c r="T58" s="453"/>
      <c r="U58" s="753"/>
      <c r="V58" s="753"/>
      <c r="W58" s="753"/>
      <c r="X58" s="761"/>
      <c r="Y58" s="756"/>
      <c r="Z58" s="759"/>
      <c r="AA58" s="759"/>
      <c r="AB58" s="759"/>
      <c r="AC58" s="753"/>
      <c r="AD58" s="753"/>
      <c r="AE58" s="761"/>
      <c r="AF58" s="756"/>
      <c r="AG58" s="759"/>
      <c r="AH58" s="759"/>
      <c r="AI58" s="759"/>
      <c r="AJ58" s="753"/>
      <c r="AK58" s="753"/>
      <c r="AL58" s="761"/>
    </row>
    <row r="59" spans="2:38" x14ac:dyDescent="0.45">
      <c r="B59" s="785"/>
      <c r="C59" s="265"/>
      <c r="D59" s="230"/>
      <c r="E59" s="234">
        <v>0</v>
      </c>
      <c r="F59" s="211" t="s">
        <v>154</v>
      </c>
      <c r="G59" s="235" t="s">
        <v>154</v>
      </c>
      <c r="H59" s="231"/>
      <c r="I59" s="968"/>
      <c r="J59" s="475"/>
      <c r="K59" s="602"/>
      <c r="L59" s="433"/>
      <c r="M59" s="433"/>
      <c r="N59" s="433"/>
      <c r="O59" s="599"/>
      <c r="P59" s="596">
        <f t="shared" si="3"/>
        <v>0</v>
      </c>
      <c r="Q59" s="606">
        <v>0</v>
      </c>
      <c r="R59" s="433"/>
      <c r="S59" s="433"/>
      <c r="T59" s="433"/>
      <c r="U59" s="753"/>
      <c r="V59" s="753"/>
      <c r="W59" s="753"/>
      <c r="X59" s="761"/>
      <c r="Y59" s="756"/>
      <c r="Z59" s="759"/>
      <c r="AA59" s="759"/>
      <c r="AB59" s="759"/>
      <c r="AC59" s="753"/>
      <c r="AD59" s="753"/>
      <c r="AE59" s="761"/>
      <c r="AF59" s="756"/>
      <c r="AG59" s="759"/>
      <c r="AH59" s="759"/>
      <c r="AI59" s="759"/>
      <c r="AJ59" s="753"/>
      <c r="AK59" s="753"/>
      <c r="AL59" s="761"/>
    </row>
    <row r="60" spans="2:38" x14ac:dyDescent="0.45">
      <c r="B60" s="785"/>
      <c r="C60" s="265"/>
      <c r="D60" s="230"/>
      <c r="E60" s="234">
        <v>0</v>
      </c>
      <c r="F60" s="211" t="s">
        <v>154</v>
      </c>
      <c r="G60" s="235" t="s">
        <v>154</v>
      </c>
      <c r="H60" s="231"/>
      <c r="I60" s="968"/>
      <c r="J60" s="475"/>
      <c r="K60" s="602"/>
      <c r="L60" s="433"/>
      <c r="M60" s="433">
        <f>E60*J54</f>
        <v>0</v>
      </c>
      <c r="N60" s="433"/>
      <c r="O60" s="597">
        <v>0</v>
      </c>
      <c r="P60" s="596">
        <f t="shared" si="3"/>
        <v>0</v>
      </c>
      <c r="Q60" s="608">
        <v>0</v>
      </c>
      <c r="R60" s="453"/>
      <c r="S60" s="453">
        <f t="shared" ref="S60" si="5">O60*Q60</f>
        <v>0</v>
      </c>
      <c r="T60" s="453"/>
      <c r="U60" s="753"/>
      <c r="V60" s="753"/>
      <c r="W60" s="753"/>
      <c r="X60" s="761"/>
      <c r="Y60" s="756"/>
      <c r="Z60" s="759"/>
      <c r="AA60" s="759"/>
      <c r="AB60" s="759"/>
      <c r="AC60" s="753"/>
      <c r="AD60" s="753"/>
      <c r="AE60" s="761"/>
      <c r="AF60" s="756"/>
      <c r="AG60" s="759"/>
      <c r="AH60" s="759"/>
      <c r="AI60" s="759"/>
      <c r="AJ60" s="753"/>
      <c r="AK60" s="753"/>
      <c r="AL60" s="761"/>
    </row>
    <row r="61" spans="2:38" x14ac:dyDescent="0.45">
      <c r="B61" s="785"/>
      <c r="C61" s="265"/>
      <c r="D61" s="230"/>
      <c r="E61" s="230"/>
      <c r="F61" s="207" t="s">
        <v>6</v>
      </c>
      <c r="G61" s="213" t="s">
        <v>111</v>
      </c>
      <c r="H61" s="244"/>
      <c r="I61" s="969"/>
      <c r="J61" s="475"/>
      <c r="K61" s="602"/>
      <c r="L61" s="433"/>
      <c r="M61" s="433"/>
      <c r="N61" s="433"/>
      <c r="O61" s="599"/>
      <c r="P61" s="596">
        <f t="shared" si="3"/>
        <v>0</v>
      </c>
      <c r="Q61" s="606">
        <v>0</v>
      </c>
      <c r="R61" s="433"/>
      <c r="S61" s="433"/>
      <c r="T61" s="433"/>
      <c r="U61" s="753"/>
      <c r="V61" s="753"/>
      <c r="W61" s="753"/>
      <c r="X61" s="761"/>
      <c r="Y61" s="756"/>
      <c r="Z61" s="759"/>
      <c r="AA61" s="759"/>
      <c r="AB61" s="759"/>
      <c r="AC61" s="753"/>
      <c r="AD61" s="753"/>
      <c r="AE61" s="761"/>
      <c r="AF61" s="756"/>
      <c r="AG61" s="759"/>
      <c r="AH61" s="759"/>
      <c r="AI61" s="759"/>
      <c r="AJ61" s="753"/>
      <c r="AK61" s="753"/>
      <c r="AL61" s="761"/>
    </row>
    <row r="62" spans="2:38" x14ac:dyDescent="0.45">
      <c r="B62" s="785"/>
      <c r="C62" s="265"/>
      <c r="D62" s="230"/>
      <c r="E62" s="234">
        <v>0</v>
      </c>
      <c r="F62" s="211" t="s">
        <v>154</v>
      </c>
      <c r="G62" s="235" t="s">
        <v>154</v>
      </c>
      <c r="H62" s="244"/>
      <c r="I62" s="969"/>
      <c r="J62" s="475"/>
      <c r="K62" s="602"/>
      <c r="L62" s="433"/>
      <c r="M62" s="433"/>
      <c r="N62" s="433">
        <f>E62*J54</f>
        <v>0</v>
      </c>
      <c r="O62" s="599">
        <v>0</v>
      </c>
      <c r="P62" s="596">
        <f t="shared" si="3"/>
        <v>0</v>
      </c>
      <c r="Q62" s="606">
        <v>0</v>
      </c>
      <c r="R62" s="433"/>
      <c r="S62" s="433"/>
      <c r="T62" s="433">
        <f>O62*Q62</f>
        <v>0</v>
      </c>
      <c r="U62" s="753"/>
      <c r="V62" s="753"/>
      <c r="W62" s="753"/>
      <c r="X62" s="761"/>
      <c r="Y62" s="756"/>
      <c r="Z62" s="759"/>
      <c r="AA62" s="759"/>
      <c r="AB62" s="759"/>
      <c r="AC62" s="753"/>
      <c r="AD62" s="753"/>
      <c r="AE62" s="761"/>
      <c r="AF62" s="756"/>
      <c r="AG62" s="759"/>
      <c r="AH62" s="759"/>
      <c r="AI62" s="759"/>
      <c r="AJ62" s="753"/>
      <c r="AK62" s="753"/>
      <c r="AL62" s="761"/>
    </row>
    <row r="63" spans="2:38" x14ac:dyDescent="0.45">
      <c r="B63" s="785"/>
      <c r="C63" s="250"/>
      <c r="D63" s="230"/>
      <c r="E63" s="230"/>
      <c r="F63" s="207" t="s">
        <v>112</v>
      </c>
      <c r="G63" s="213" t="s">
        <v>113</v>
      </c>
      <c r="H63" s="244"/>
      <c r="I63" s="969"/>
      <c r="J63" s="475"/>
      <c r="K63" s="602"/>
      <c r="L63" s="433"/>
      <c r="M63" s="433"/>
      <c r="N63" s="433"/>
      <c r="O63" s="433"/>
      <c r="P63" s="433"/>
      <c r="Q63" s="595"/>
      <c r="R63" s="433"/>
      <c r="S63" s="433"/>
      <c r="T63" s="433"/>
      <c r="U63" s="433"/>
      <c r="V63" s="433"/>
      <c r="W63" s="433"/>
      <c r="X63" s="659"/>
      <c r="Y63" s="661"/>
      <c r="Z63" s="433"/>
      <c r="AA63" s="433"/>
      <c r="AB63" s="433"/>
      <c r="AC63" s="433"/>
      <c r="AD63" s="433"/>
      <c r="AE63" s="644"/>
      <c r="AF63" s="661"/>
      <c r="AG63" s="433"/>
      <c r="AH63" s="433"/>
      <c r="AI63" s="433"/>
      <c r="AJ63" s="433"/>
      <c r="AK63" s="433"/>
      <c r="AL63" s="644"/>
    </row>
    <row r="64" spans="2:38" x14ac:dyDescent="0.45">
      <c r="B64" s="785"/>
      <c r="C64" s="265"/>
      <c r="D64" s="272"/>
      <c r="E64" s="272"/>
      <c r="F64" s="207" t="s">
        <v>114</v>
      </c>
      <c r="G64" s="213" t="s">
        <v>130</v>
      </c>
      <c r="H64" s="244"/>
      <c r="I64" s="970">
        <v>0.15</v>
      </c>
      <c r="J64" s="475"/>
      <c r="K64" s="602"/>
      <c r="L64" s="433"/>
      <c r="M64" s="433"/>
      <c r="N64" s="433"/>
      <c r="O64" s="433"/>
      <c r="P64" s="433"/>
      <c r="Q64" s="595"/>
      <c r="R64" s="433"/>
      <c r="S64" s="433"/>
      <c r="T64" s="433"/>
      <c r="U64" s="433"/>
      <c r="V64" s="433"/>
      <c r="W64" s="433"/>
      <c r="X64" s="659"/>
      <c r="Y64" s="661"/>
      <c r="Z64" s="433"/>
      <c r="AA64" s="433"/>
      <c r="AB64" s="433"/>
      <c r="AC64" s="433"/>
      <c r="AD64" s="433"/>
      <c r="AE64" s="644"/>
      <c r="AF64" s="661"/>
      <c r="AG64" s="433"/>
      <c r="AH64" s="433"/>
      <c r="AI64" s="433"/>
      <c r="AJ64" s="433"/>
      <c r="AK64" s="433"/>
      <c r="AL64" s="644"/>
    </row>
    <row r="65" spans="2:38" ht="17" thickBot="1" x14ac:dyDescent="0.5">
      <c r="B65" s="786"/>
      <c r="C65" s="795"/>
      <c r="D65" s="796"/>
      <c r="E65" s="796"/>
      <c r="F65" s="649" t="s">
        <v>115</v>
      </c>
      <c r="G65" s="650" t="s">
        <v>116</v>
      </c>
      <c r="H65" s="651"/>
      <c r="I65" s="971"/>
      <c r="J65" s="793"/>
      <c r="K65" s="763"/>
      <c r="L65" s="655"/>
      <c r="M65" s="655"/>
      <c r="N65" s="655"/>
      <c r="O65" s="655"/>
      <c r="P65" s="655"/>
      <c r="Q65" s="654"/>
      <c r="R65" s="655"/>
      <c r="S65" s="655"/>
      <c r="T65" s="655"/>
      <c r="U65" s="655"/>
      <c r="V65" s="655"/>
      <c r="W65" s="655"/>
      <c r="X65" s="660"/>
      <c r="Y65" s="662"/>
      <c r="Z65" s="655"/>
      <c r="AA65" s="655"/>
      <c r="AB65" s="655"/>
      <c r="AC65" s="655"/>
      <c r="AD65" s="655"/>
      <c r="AE65" s="656"/>
      <c r="AF65" s="662"/>
      <c r="AG65" s="655"/>
      <c r="AH65" s="655"/>
      <c r="AI65" s="655"/>
      <c r="AJ65" s="655"/>
      <c r="AK65" s="655"/>
      <c r="AL65" s="656"/>
    </row>
    <row r="66" spans="2:38" x14ac:dyDescent="0.45">
      <c r="B66" s="748"/>
      <c r="C66" s="748"/>
      <c r="D66" s="294"/>
      <c r="E66" s="294"/>
      <c r="F66" s="276"/>
      <c r="G66" s="240"/>
      <c r="H66" s="241"/>
      <c r="I66" s="241"/>
      <c r="J66" s="609"/>
      <c r="K66" s="782"/>
      <c r="L66" s="609"/>
      <c r="M66" s="609"/>
      <c r="N66" s="609"/>
      <c r="O66" s="609"/>
      <c r="P66" s="609"/>
      <c r="Q66" s="604"/>
      <c r="R66" s="609"/>
      <c r="S66" s="609"/>
      <c r="T66" s="609"/>
      <c r="U66" s="609"/>
      <c r="V66" s="609"/>
      <c r="W66" s="609"/>
      <c r="X66" s="609"/>
      <c r="Y66" s="609"/>
      <c r="Z66" s="609"/>
      <c r="AA66" s="609"/>
      <c r="AB66" s="609"/>
      <c r="AC66" s="609"/>
      <c r="AD66" s="609"/>
      <c r="AE66" s="609"/>
      <c r="AF66" s="609"/>
      <c r="AG66" s="609"/>
      <c r="AH66" s="609"/>
      <c r="AI66" s="609"/>
      <c r="AJ66" s="609"/>
      <c r="AK66" s="609"/>
      <c r="AL66" s="609"/>
    </row>
    <row r="67" spans="2:38" ht="17" thickBot="1" x14ac:dyDescent="0.5">
      <c r="B67" s="749" t="s">
        <v>603</v>
      </c>
      <c r="C67" s="750" t="str">
        <f>RAP!B27</f>
        <v>Urugan Pasir Bawah Pondasi dan Sloof</v>
      </c>
      <c r="D67" s="241"/>
      <c r="E67" s="241"/>
      <c r="F67" s="276"/>
      <c r="G67" s="240"/>
      <c r="H67" s="241"/>
      <c r="I67" s="241"/>
      <c r="J67" s="604"/>
      <c r="K67" s="603"/>
      <c r="L67" s="604"/>
      <c r="M67" s="604"/>
      <c r="N67" s="604"/>
      <c r="O67" s="604"/>
      <c r="P67" s="604"/>
      <c r="Q67" s="604"/>
      <c r="R67" s="609"/>
      <c r="S67" s="609"/>
      <c r="T67" s="609"/>
      <c r="U67" s="609"/>
      <c r="V67" s="609"/>
      <c r="W67" s="609"/>
      <c r="X67" s="609"/>
      <c r="Y67" s="609"/>
      <c r="Z67" s="609"/>
      <c r="AA67" s="609"/>
      <c r="AB67" s="609"/>
      <c r="AC67" s="609"/>
      <c r="AD67" s="609"/>
      <c r="AE67" s="609"/>
      <c r="AF67" s="609"/>
      <c r="AG67" s="609"/>
      <c r="AH67" s="609"/>
      <c r="AI67" s="609"/>
      <c r="AJ67" s="609"/>
      <c r="AK67" s="609"/>
      <c r="AL67" s="609"/>
    </row>
    <row r="68" spans="2:38" ht="19.5" customHeight="1" x14ac:dyDescent="0.45">
      <c r="B68" s="1168" t="s">
        <v>99</v>
      </c>
      <c r="C68" s="1171" t="s">
        <v>100</v>
      </c>
      <c r="D68" s="1171" t="s">
        <v>89</v>
      </c>
      <c r="E68" s="1171" t="s">
        <v>101</v>
      </c>
      <c r="F68" s="1171" t="s">
        <v>102</v>
      </c>
      <c r="G68" s="1109" t="s">
        <v>103</v>
      </c>
      <c r="H68" s="1110"/>
      <c r="I68" s="1175"/>
      <c r="J68" s="1152" t="s">
        <v>539</v>
      </c>
      <c r="K68" s="1152"/>
      <c r="L68" s="1152"/>
      <c r="M68" s="1152"/>
      <c r="N68" s="1152"/>
      <c r="O68" s="1152"/>
      <c r="P68" s="1152"/>
      <c r="Q68" s="1152"/>
      <c r="R68" s="1152"/>
      <c r="S68" s="1152"/>
      <c r="T68" s="1152"/>
      <c r="U68" s="1152"/>
      <c r="V68" s="1152"/>
      <c r="W68" s="1152"/>
      <c r="X68" s="1152"/>
      <c r="Y68" s="1153" t="s">
        <v>540</v>
      </c>
      <c r="Z68" s="1154"/>
      <c r="AA68" s="1154"/>
      <c r="AB68" s="1154"/>
      <c r="AC68" s="1154"/>
      <c r="AD68" s="1154"/>
      <c r="AE68" s="1155"/>
      <c r="AF68" s="1156" t="s">
        <v>541</v>
      </c>
      <c r="AG68" s="1157"/>
      <c r="AH68" s="1157"/>
      <c r="AI68" s="1157"/>
      <c r="AJ68" s="1157"/>
      <c r="AK68" s="1157"/>
      <c r="AL68" s="1158"/>
    </row>
    <row r="69" spans="2:38" ht="45" x14ac:dyDescent="0.45">
      <c r="B69" s="1169"/>
      <c r="C69" s="1089"/>
      <c r="D69" s="1089"/>
      <c r="E69" s="1089"/>
      <c r="F69" s="1089"/>
      <c r="G69" s="1026"/>
      <c r="H69" s="1027"/>
      <c r="I69" s="1176"/>
      <c r="J69" s="1173" t="s">
        <v>15</v>
      </c>
      <c r="K69" s="673" t="s">
        <v>493</v>
      </c>
      <c r="L69" s="1161" t="s">
        <v>491</v>
      </c>
      <c r="M69" s="1162"/>
      <c r="N69" s="1162"/>
      <c r="O69" s="1162"/>
      <c r="P69" s="1163"/>
      <c r="Q69" s="674" t="s">
        <v>533</v>
      </c>
      <c r="R69" s="1161" t="s">
        <v>501</v>
      </c>
      <c r="S69" s="1162"/>
      <c r="T69" s="1163"/>
      <c r="U69" s="674" t="s">
        <v>530</v>
      </c>
      <c r="V69" s="674" t="s">
        <v>531</v>
      </c>
      <c r="W69" s="674" t="s">
        <v>578</v>
      </c>
      <c r="X69" s="681" t="s">
        <v>579</v>
      </c>
      <c r="Y69" s="1164" t="s">
        <v>534</v>
      </c>
      <c r="Z69" s="1165"/>
      <c r="AA69" s="663" t="s">
        <v>537</v>
      </c>
      <c r="AB69" s="664" t="s">
        <v>538</v>
      </c>
      <c r="AC69" s="665" t="s">
        <v>530</v>
      </c>
      <c r="AD69" s="665" t="s">
        <v>578</v>
      </c>
      <c r="AE69" s="682" t="s">
        <v>579</v>
      </c>
      <c r="AF69" s="1166" t="s">
        <v>542</v>
      </c>
      <c r="AG69" s="1167"/>
      <c r="AH69" s="737" t="s">
        <v>543</v>
      </c>
      <c r="AI69" s="738" t="s">
        <v>544</v>
      </c>
      <c r="AJ69" s="739" t="s">
        <v>530</v>
      </c>
      <c r="AK69" s="739" t="s">
        <v>578</v>
      </c>
      <c r="AL69" s="740" t="s">
        <v>579</v>
      </c>
    </row>
    <row r="70" spans="2:38" ht="30" x14ac:dyDescent="0.45">
      <c r="B70" s="1170"/>
      <c r="C70" s="1090"/>
      <c r="D70" s="1090"/>
      <c r="E70" s="1090"/>
      <c r="F70" s="1090"/>
      <c r="G70" s="1085"/>
      <c r="H70" s="1086"/>
      <c r="I70" s="1177"/>
      <c r="J70" s="1174"/>
      <c r="K70" s="675" t="s">
        <v>495</v>
      </c>
      <c r="L70" s="676" t="s">
        <v>524</v>
      </c>
      <c r="M70" s="676" t="s">
        <v>525</v>
      </c>
      <c r="N70" s="676" t="s">
        <v>526</v>
      </c>
      <c r="O70" s="675" t="s">
        <v>517</v>
      </c>
      <c r="P70" s="675" t="s">
        <v>290</v>
      </c>
      <c r="Q70" s="675" t="s">
        <v>532</v>
      </c>
      <c r="R70" s="676" t="s">
        <v>527</v>
      </c>
      <c r="S70" s="676" t="s">
        <v>528</v>
      </c>
      <c r="T70" s="677" t="s">
        <v>529</v>
      </c>
      <c r="U70" s="675" t="s">
        <v>502</v>
      </c>
      <c r="V70" s="675" t="s">
        <v>502</v>
      </c>
      <c r="W70" s="675" t="s">
        <v>502</v>
      </c>
      <c r="X70" s="678" t="s">
        <v>504</v>
      </c>
      <c r="Y70" s="666" t="s">
        <v>535</v>
      </c>
      <c r="Z70" s="667" t="s">
        <v>536</v>
      </c>
      <c r="AA70" s="668" t="s">
        <v>532</v>
      </c>
      <c r="AB70" s="668" t="s">
        <v>532</v>
      </c>
      <c r="AC70" s="668" t="s">
        <v>532</v>
      </c>
      <c r="AD70" s="668" t="s">
        <v>532</v>
      </c>
      <c r="AE70" s="669" t="s">
        <v>532</v>
      </c>
      <c r="AF70" s="741" t="s">
        <v>535</v>
      </c>
      <c r="AG70" s="742" t="s">
        <v>536</v>
      </c>
      <c r="AH70" s="743" t="s">
        <v>532</v>
      </c>
      <c r="AI70" s="743" t="s">
        <v>532</v>
      </c>
      <c r="AJ70" s="743" t="s">
        <v>532</v>
      </c>
      <c r="AK70" s="743" t="s">
        <v>532</v>
      </c>
      <c r="AL70" s="744" t="s">
        <v>532</v>
      </c>
    </row>
    <row r="71" spans="2:38" ht="30" x14ac:dyDescent="0.45">
      <c r="B71" s="639" t="s">
        <v>4</v>
      </c>
      <c r="C71" s="600" t="s">
        <v>5</v>
      </c>
      <c r="D71" s="570" t="s">
        <v>6</v>
      </c>
      <c r="E71" s="570" t="s">
        <v>112</v>
      </c>
      <c r="F71" s="570" t="s">
        <v>114</v>
      </c>
      <c r="G71" s="1014" t="s">
        <v>115</v>
      </c>
      <c r="H71" s="1014"/>
      <c r="I71" s="1172"/>
      <c r="J71" s="791" t="s">
        <v>21</v>
      </c>
      <c r="K71" s="675" t="s">
        <v>496</v>
      </c>
      <c r="L71" s="675" t="s">
        <v>497</v>
      </c>
      <c r="M71" s="675" t="s">
        <v>498</v>
      </c>
      <c r="N71" s="675" t="s">
        <v>499</v>
      </c>
      <c r="O71" s="676" t="s">
        <v>552</v>
      </c>
      <c r="P71" s="675" t="s">
        <v>512</v>
      </c>
      <c r="Q71" s="675" t="s">
        <v>503</v>
      </c>
      <c r="R71" s="675" t="s">
        <v>553</v>
      </c>
      <c r="S71" s="675" t="s">
        <v>513</v>
      </c>
      <c r="T71" s="675" t="s">
        <v>514</v>
      </c>
      <c r="U71" s="675" t="s">
        <v>554</v>
      </c>
      <c r="V71" s="675" t="s">
        <v>515</v>
      </c>
      <c r="W71" s="675" t="s">
        <v>555</v>
      </c>
      <c r="X71" s="678" t="s">
        <v>516</v>
      </c>
      <c r="Y71" s="670" t="s">
        <v>556</v>
      </c>
      <c r="Z71" s="671" t="s">
        <v>557</v>
      </c>
      <c r="AA71" s="671" t="s">
        <v>558</v>
      </c>
      <c r="AB71" s="671" t="s">
        <v>559</v>
      </c>
      <c r="AC71" s="671" t="s">
        <v>560</v>
      </c>
      <c r="AD71" s="671" t="s">
        <v>561</v>
      </c>
      <c r="AE71" s="672" t="s">
        <v>562</v>
      </c>
      <c r="AF71" s="745" t="s">
        <v>563</v>
      </c>
      <c r="AG71" s="746" t="s">
        <v>564</v>
      </c>
      <c r="AH71" s="746" t="s">
        <v>565</v>
      </c>
      <c r="AI71" s="746" t="s">
        <v>566</v>
      </c>
      <c r="AJ71" s="746" t="s">
        <v>567</v>
      </c>
      <c r="AK71" s="746" t="s">
        <v>568</v>
      </c>
      <c r="AL71" s="747" t="s">
        <v>569</v>
      </c>
    </row>
    <row r="72" spans="2:38" x14ac:dyDescent="0.45">
      <c r="B72" s="800">
        <v>4</v>
      </c>
      <c r="C72" s="583" t="s">
        <v>18</v>
      </c>
      <c r="D72" s="550"/>
      <c r="E72" s="798">
        <v>1</v>
      </c>
      <c r="F72" s="508" t="s">
        <v>12</v>
      </c>
      <c r="G72" s="510" t="s">
        <v>209</v>
      </c>
      <c r="H72" s="562"/>
      <c r="I72" s="975"/>
      <c r="J72" s="789"/>
      <c r="K72" s="789"/>
      <c r="L72" s="789"/>
      <c r="M72" s="789"/>
      <c r="N72" s="789"/>
      <c r="O72" s="789"/>
      <c r="P72" s="789"/>
      <c r="Q72" s="789"/>
      <c r="R72" s="789"/>
      <c r="S72" s="789"/>
      <c r="T72" s="789"/>
      <c r="U72" s="789"/>
      <c r="V72" s="789"/>
      <c r="W72" s="789"/>
      <c r="X72" s="789"/>
      <c r="Y72" s="789"/>
      <c r="Z72" s="789"/>
      <c r="AA72" s="789"/>
      <c r="AB72" s="789"/>
      <c r="AC72" s="789"/>
      <c r="AD72" s="789"/>
      <c r="AE72" s="789"/>
      <c r="AF72" s="789"/>
      <c r="AG72" s="789"/>
      <c r="AH72" s="789"/>
      <c r="AI72" s="789"/>
      <c r="AJ72" s="789"/>
      <c r="AK72" s="789"/>
      <c r="AL72" s="790"/>
    </row>
    <row r="73" spans="2:38" x14ac:dyDescent="0.45">
      <c r="B73" s="794"/>
      <c r="C73" s="260"/>
      <c r="D73" s="244"/>
      <c r="E73" s="212"/>
      <c r="F73" s="276" t="s">
        <v>4</v>
      </c>
      <c r="G73" s="262" t="s">
        <v>106</v>
      </c>
      <c r="H73" s="209"/>
      <c r="I73" s="966"/>
      <c r="J73" s="792">
        <f>RAP!E27</f>
        <v>8.76</v>
      </c>
      <c r="K73" s="601">
        <v>1</v>
      </c>
      <c r="L73" s="319"/>
      <c r="M73" s="319"/>
      <c r="N73" s="319"/>
      <c r="O73" s="598"/>
      <c r="P73" s="598"/>
      <c r="Q73" s="605"/>
      <c r="R73" s="485"/>
      <c r="S73" s="485"/>
      <c r="T73" s="485"/>
      <c r="U73" s="752">
        <f>SUM(R74:R79)+(SUM(S74:S79)+SUM(T74:T79))</f>
        <v>3737500</v>
      </c>
      <c r="V73" s="754">
        <f>RAP!H27</f>
        <v>4166606.4</v>
      </c>
      <c r="W73" s="752">
        <f>V73-U73</f>
        <v>429106.39999999991</v>
      </c>
      <c r="X73" s="760">
        <f>W73/V73*100</f>
        <v>10.298702560433833</v>
      </c>
      <c r="Y73" s="755">
        <f>SUM(R74:R79)/J73</f>
        <v>37100.456621004567</v>
      </c>
      <c r="Z73" s="757">
        <v>32500</v>
      </c>
      <c r="AA73" s="758">
        <f>J73*Z73</f>
        <v>284700</v>
      </c>
      <c r="AB73" s="758">
        <f>SUM(S73:S79)+SUM(T73:T79)</f>
        <v>3412500</v>
      </c>
      <c r="AC73" s="752">
        <f>AA73+AB73</f>
        <v>3697200</v>
      </c>
      <c r="AD73" s="752">
        <f>V73-AC73</f>
        <v>469406.39999999991</v>
      </c>
      <c r="AE73" s="760">
        <f>AD73/V73*100</f>
        <v>11.26591655021698</v>
      </c>
      <c r="AF73" s="755">
        <f>(SUM(R73:R79)+SUM(S73:S79))/J73</f>
        <v>426655.25114155252</v>
      </c>
      <c r="AG73" s="757">
        <v>420000</v>
      </c>
      <c r="AH73" s="758">
        <f>AG73*J73</f>
        <v>3679200</v>
      </c>
      <c r="AI73" s="758">
        <f>SUM(T73:T79)</f>
        <v>0</v>
      </c>
      <c r="AJ73" s="752">
        <f>AH73+AI73</f>
        <v>3679200</v>
      </c>
      <c r="AK73" s="752">
        <f>V73-AJ73</f>
        <v>487406.39999999991</v>
      </c>
      <c r="AL73" s="760">
        <f>AK73/V73*100</f>
        <v>11.697922798755359</v>
      </c>
    </row>
    <row r="74" spans="2:38" x14ac:dyDescent="0.45">
      <c r="B74" s="785"/>
      <c r="C74" s="265"/>
      <c r="D74" s="288" t="s">
        <v>107</v>
      </c>
      <c r="E74" s="289">
        <v>0.3</v>
      </c>
      <c r="F74" s="217" t="s">
        <v>108</v>
      </c>
      <c r="G74" s="218" t="s">
        <v>51</v>
      </c>
      <c r="H74" s="219"/>
      <c r="I74" s="976"/>
      <c r="J74" s="475"/>
      <c r="K74" s="602"/>
      <c r="L74" s="433">
        <f>E74*J73/K73</f>
        <v>2.6279999999999997</v>
      </c>
      <c r="M74" s="433"/>
      <c r="N74" s="433"/>
      <c r="O74" s="597">
        <v>3</v>
      </c>
      <c r="P74" s="596" t="str">
        <f>F74</f>
        <v>OH</v>
      </c>
      <c r="Q74" s="608">
        <f>'Analisa Upah RAP'!G5</f>
        <v>75000</v>
      </c>
      <c r="R74" s="453">
        <f>O74*Q74*K73</f>
        <v>225000</v>
      </c>
      <c r="S74" s="453"/>
      <c r="T74" s="453"/>
      <c r="U74" s="753"/>
      <c r="V74" s="753"/>
      <c r="W74" s="753"/>
      <c r="X74" s="761"/>
      <c r="Y74" s="756"/>
      <c r="Z74" s="759"/>
      <c r="AA74" s="759"/>
      <c r="AB74" s="759"/>
      <c r="AC74" s="753"/>
      <c r="AD74" s="753"/>
      <c r="AE74" s="761"/>
      <c r="AF74" s="756"/>
      <c r="AG74" s="759"/>
      <c r="AH74" s="759"/>
      <c r="AI74" s="759"/>
      <c r="AJ74" s="753"/>
      <c r="AK74" s="753"/>
      <c r="AL74" s="761"/>
    </row>
    <row r="75" spans="2:38" x14ac:dyDescent="0.45">
      <c r="B75" s="785"/>
      <c r="C75" s="265"/>
      <c r="D75" s="275" t="s">
        <v>109</v>
      </c>
      <c r="E75" s="281">
        <v>0.01</v>
      </c>
      <c r="F75" s="253" t="s">
        <v>108</v>
      </c>
      <c r="G75" s="228" t="s">
        <v>52</v>
      </c>
      <c r="H75" s="229"/>
      <c r="I75" s="967"/>
      <c r="J75" s="475"/>
      <c r="K75" s="602"/>
      <c r="L75" s="433">
        <f>E75*J73/K73</f>
        <v>8.7599999999999997E-2</v>
      </c>
      <c r="M75" s="433"/>
      <c r="N75" s="433"/>
      <c r="O75" s="597">
        <v>1</v>
      </c>
      <c r="P75" s="596" t="str">
        <f>F75</f>
        <v>OH</v>
      </c>
      <c r="Q75" s="608">
        <f>'Analisa Upah RAP'!G12</f>
        <v>100000</v>
      </c>
      <c r="R75" s="453">
        <f>O75*Q75*K73</f>
        <v>100000</v>
      </c>
      <c r="S75" s="453"/>
      <c r="T75" s="453"/>
      <c r="U75" s="753"/>
      <c r="V75" s="753"/>
      <c r="W75" s="753"/>
      <c r="X75" s="761"/>
      <c r="Y75" s="756"/>
      <c r="Z75" s="759"/>
      <c r="AA75" s="759"/>
      <c r="AB75" s="759"/>
      <c r="AC75" s="753"/>
      <c r="AD75" s="753"/>
      <c r="AE75" s="761"/>
      <c r="AF75" s="756"/>
      <c r="AG75" s="759"/>
      <c r="AH75" s="759"/>
      <c r="AI75" s="759"/>
      <c r="AJ75" s="753"/>
      <c r="AK75" s="753"/>
      <c r="AL75" s="761"/>
    </row>
    <row r="76" spans="2:38" x14ac:dyDescent="0.45">
      <c r="B76" s="785"/>
      <c r="C76" s="265"/>
      <c r="D76" s="209"/>
      <c r="E76" s="284"/>
      <c r="F76" s="285" t="s">
        <v>5</v>
      </c>
      <c r="G76" s="286" t="s">
        <v>110</v>
      </c>
      <c r="H76" s="209"/>
      <c r="I76" s="966"/>
      <c r="J76" s="475"/>
      <c r="K76" s="602"/>
      <c r="L76" s="433"/>
      <c r="M76" s="433">
        <f>E76*J73</f>
        <v>0</v>
      </c>
      <c r="N76" s="433"/>
      <c r="O76" s="597">
        <v>0</v>
      </c>
      <c r="P76" s="596">
        <f>E76</f>
        <v>0</v>
      </c>
      <c r="Q76" s="608">
        <v>0</v>
      </c>
      <c r="R76" s="453"/>
      <c r="S76" s="453">
        <f t="shared" ref="S76:S77" si="6">O76*Q76</f>
        <v>0</v>
      </c>
      <c r="T76" s="453"/>
      <c r="U76" s="753"/>
      <c r="V76" s="753"/>
      <c r="W76" s="753"/>
      <c r="X76" s="761"/>
      <c r="Y76" s="756"/>
      <c r="Z76" s="759"/>
      <c r="AA76" s="759"/>
      <c r="AB76" s="759"/>
      <c r="AC76" s="753"/>
      <c r="AD76" s="753"/>
      <c r="AE76" s="761"/>
      <c r="AF76" s="756"/>
      <c r="AG76" s="759"/>
      <c r="AH76" s="759"/>
      <c r="AI76" s="759"/>
      <c r="AJ76" s="753"/>
      <c r="AK76" s="753"/>
      <c r="AL76" s="761"/>
    </row>
    <row r="77" spans="2:38" x14ac:dyDescent="0.45">
      <c r="B77" s="785"/>
      <c r="C77" s="265"/>
      <c r="D77" s="226"/>
      <c r="E77" s="291">
        <v>1.2</v>
      </c>
      <c r="F77" s="269" t="s">
        <v>65</v>
      </c>
      <c r="G77" s="292" t="s">
        <v>117</v>
      </c>
      <c r="H77" s="226"/>
      <c r="I77" s="974"/>
      <c r="J77" s="475"/>
      <c r="K77" s="602"/>
      <c r="L77" s="433"/>
      <c r="M77" s="433">
        <f>E77*J73</f>
        <v>10.511999999999999</v>
      </c>
      <c r="N77" s="433"/>
      <c r="O77" s="597">
        <v>10.5</v>
      </c>
      <c r="P77" s="596" t="str">
        <f>F77</f>
        <v>m3</v>
      </c>
      <c r="Q77" s="608">
        <f>'Harga Bahan RAP'!G9</f>
        <v>325000</v>
      </c>
      <c r="R77" s="453"/>
      <c r="S77" s="453">
        <f t="shared" si="6"/>
        <v>3412500</v>
      </c>
      <c r="T77" s="453"/>
      <c r="U77" s="753"/>
      <c r="V77" s="753"/>
      <c r="W77" s="753"/>
      <c r="X77" s="761"/>
      <c r="Y77" s="756"/>
      <c r="Z77" s="759"/>
      <c r="AA77" s="759"/>
      <c r="AB77" s="759"/>
      <c r="AC77" s="753"/>
      <c r="AD77" s="753"/>
      <c r="AE77" s="761"/>
      <c r="AF77" s="756"/>
      <c r="AG77" s="759"/>
      <c r="AH77" s="759"/>
      <c r="AI77" s="759"/>
      <c r="AJ77" s="753"/>
      <c r="AK77" s="753"/>
      <c r="AL77" s="761"/>
    </row>
    <row r="78" spans="2:38" x14ac:dyDescent="0.45">
      <c r="B78" s="785"/>
      <c r="C78" s="265"/>
      <c r="D78" s="230"/>
      <c r="E78" s="234">
        <v>0</v>
      </c>
      <c r="F78" s="211" t="s">
        <v>154</v>
      </c>
      <c r="G78" s="235" t="s">
        <v>154</v>
      </c>
      <c r="H78" s="231"/>
      <c r="I78" s="968"/>
      <c r="J78" s="475"/>
      <c r="K78" s="602"/>
      <c r="L78" s="433"/>
      <c r="M78" s="433"/>
      <c r="N78" s="433"/>
      <c r="O78" s="599"/>
      <c r="P78" s="596">
        <f>E78</f>
        <v>0</v>
      </c>
      <c r="Q78" s="606">
        <v>0</v>
      </c>
      <c r="R78" s="433"/>
      <c r="S78" s="433"/>
      <c r="T78" s="433"/>
      <c r="U78" s="753"/>
      <c r="V78" s="753"/>
      <c r="W78" s="753"/>
      <c r="X78" s="761"/>
      <c r="Y78" s="756"/>
      <c r="Z78" s="759"/>
      <c r="AA78" s="759"/>
      <c r="AB78" s="759"/>
      <c r="AC78" s="753"/>
      <c r="AD78" s="753"/>
      <c r="AE78" s="761"/>
      <c r="AF78" s="756"/>
      <c r="AG78" s="759"/>
      <c r="AH78" s="759"/>
      <c r="AI78" s="759"/>
      <c r="AJ78" s="753"/>
      <c r="AK78" s="753"/>
      <c r="AL78" s="761"/>
    </row>
    <row r="79" spans="2:38" x14ac:dyDescent="0.45">
      <c r="B79" s="785"/>
      <c r="C79" s="265"/>
      <c r="D79" s="230"/>
      <c r="E79" s="234">
        <v>0</v>
      </c>
      <c r="F79" s="211" t="s">
        <v>154</v>
      </c>
      <c r="G79" s="235" t="s">
        <v>154</v>
      </c>
      <c r="H79" s="231"/>
      <c r="I79" s="968"/>
      <c r="J79" s="475"/>
      <c r="K79" s="602"/>
      <c r="L79" s="433"/>
      <c r="M79" s="433">
        <f>E79*J73</f>
        <v>0</v>
      </c>
      <c r="N79" s="433"/>
      <c r="O79" s="597">
        <v>0</v>
      </c>
      <c r="P79" s="596">
        <f>E79</f>
        <v>0</v>
      </c>
      <c r="Q79" s="608">
        <v>0</v>
      </c>
      <c r="R79" s="453"/>
      <c r="S79" s="453">
        <f t="shared" ref="S79" si="7">O79*Q79</f>
        <v>0</v>
      </c>
      <c r="T79" s="453"/>
      <c r="U79" s="753"/>
      <c r="V79" s="753"/>
      <c r="W79" s="753"/>
      <c r="X79" s="761"/>
      <c r="Y79" s="756"/>
      <c r="Z79" s="759"/>
      <c r="AA79" s="759"/>
      <c r="AB79" s="759"/>
      <c r="AC79" s="753"/>
      <c r="AD79" s="753"/>
      <c r="AE79" s="761"/>
      <c r="AF79" s="756"/>
      <c r="AG79" s="759"/>
      <c r="AH79" s="759"/>
      <c r="AI79" s="759"/>
      <c r="AJ79" s="753"/>
      <c r="AK79" s="753"/>
      <c r="AL79" s="761"/>
    </row>
    <row r="80" spans="2:38" x14ac:dyDescent="0.45">
      <c r="B80" s="785"/>
      <c r="C80" s="265"/>
      <c r="D80" s="230"/>
      <c r="E80" s="230"/>
      <c r="F80" s="207" t="s">
        <v>6</v>
      </c>
      <c r="G80" s="213" t="s">
        <v>111</v>
      </c>
      <c r="H80" s="244"/>
      <c r="I80" s="969"/>
      <c r="J80" s="475"/>
      <c r="K80" s="602"/>
      <c r="L80" s="433"/>
      <c r="M80" s="433"/>
      <c r="N80" s="433"/>
      <c r="O80" s="599"/>
      <c r="P80" s="596">
        <f>E80</f>
        <v>0</v>
      </c>
      <c r="Q80" s="606">
        <v>0</v>
      </c>
      <c r="R80" s="433"/>
      <c r="S80" s="433"/>
      <c r="T80" s="433"/>
      <c r="U80" s="753"/>
      <c r="V80" s="753"/>
      <c r="W80" s="753"/>
      <c r="X80" s="761"/>
      <c r="Y80" s="756"/>
      <c r="Z80" s="759"/>
      <c r="AA80" s="759"/>
      <c r="AB80" s="759"/>
      <c r="AC80" s="753"/>
      <c r="AD80" s="753"/>
      <c r="AE80" s="761"/>
      <c r="AF80" s="756"/>
      <c r="AG80" s="759"/>
      <c r="AH80" s="759"/>
      <c r="AI80" s="759"/>
      <c r="AJ80" s="753"/>
      <c r="AK80" s="753"/>
      <c r="AL80" s="761"/>
    </row>
    <row r="81" spans="2:38" x14ac:dyDescent="0.45">
      <c r="B81" s="785"/>
      <c r="C81" s="265"/>
      <c r="D81" s="230"/>
      <c r="E81" s="234">
        <v>0</v>
      </c>
      <c r="F81" s="211" t="s">
        <v>154</v>
      </c>
      <c r="G81" s="235" t="s">
        <v>154</v>
      </c>
      <c r="H81" s="244"/>
      <c r="I81" s="969"/>
      <c r="J81" s="475"/>
      <c r="K81" s="602"/>
      <c r="L81" s="433"/>
      <c r="M81" s="433"/>
      <c r="N81" s="433">
        <f>E81*J73</f>
        <v>0</v>
      </c>
      <c r="O81" s="599">
        <v>0</v>
      </c>
      <c r="P81" s="596">
        <f>E81</f>
        <v>0</v>
      </c>
      <c r="Q81" s="606">
        <v>0</v>
      </c>
      <c r="R81" s="433"/>
      <c r="S81" s="433"/>
      <c r="T81" s="433">
        <f>O81*Q81</f>
        <v>0</v>
      </c>
      <c r="U81" s="753"/>
      <c r="V81" s="753"/>
      <c r="W81" s="753"/>
      <c r="X81" s="761"/>
      <c r="Y81" s="756"/>
      <c r="Z81" s="759"/>
      <c r="AA81" s="759"/>
      <c r="AB81" s="759"/>
      <c r="AC81" s="753"/>
      <c r="AD81" s="753"/>
      <c r="AE81" s="761"/>
      <c r="AF81" s="756"/>
      <c r="AG81" s="759"/>
      <c r="AH81" s="759"/>
      <c r="AI81" s="759"/>
      <c r="AJ81" s="753"/>
      <c r="AK81" s="753"/>
      <c r="AL81" s="761"/>
    </row>
    <row r="82" spans="2:38" x14ac:dyDescent="0.45">
      <c r="B82" s="785"/>
      <c r="C82" s="265"/>
      <c r="D82" s="272"/>
      <c r="E82" s="272"/>
      <c r="F82" s="207" t="s">
        <v>112</v>
      </c>
      <c r="G82" s="213" t="s">
        <v>113</v>
      </c>
      <c r="H82" s="244"/>
      <c r="I82" s="969"/>
      <c r="J82" s="475"/>
      <c r="K82" s="602"/>
      <c r="L82" s="433"/>
      <c r="M82" s="433"/>
      <c r="N82" s="433"/>
      <c r="O82" s="433"/>
      <c r="P82" s="433"/>
      <c r="Q82" s="595"/>
      <c r="R82" s="433"/>
      <c r="S82" s="433"/>
      <c r="T82" s="433"/>
      <c r="U82" s="433"/>
      <c r="V82" s="433"/>
      <c r="W82" s="433"/>
      <c r="X82" s="659"/>
      <c r="Y82" s="661"/>
      <c r="Z82" s="433"/>
      <c r="AA82" s="433"/>
      <c r="AB82" s="433"/>
      <c r="AC82" s="433"/>
      <c r="AD82" s="433"/>
      <c r="AE82" s="644"/>
      <c r="AF82" s="661"/>
      <c r="AG82" s="433"/>
      <c r="AH82" s="433"/>
      <c r="AI82" s="433"/>
      <c r="AJ82" s="433"/>
      <c r="AK82" s="433"/>
      <c r="AL82" s="644"/>
    </row>
    <row r="83" spans="2:38" x14ac:dyDescent="0.45">
      <c r="B83" s="785"/>
      <c r="C83" s="265"/>
      <c r="D83" s="272"/>
      <c r="E83" s="272"/>
      <c r="F83" s="207" t="s">
        <v>114</v>
      </c>
      <c r="G83" s="213" t="s">
        <v>130</v>
      </c>
      <c r="H83" s="244"/>
      <c r="I83" s="970">
        <v>0.15</v>
      </c>
      <c r="J83" s="475"/>
      <c r="K83" s="602"/>
      <c r="L83" s="433"/>
      <c r="M83" s="433"/>
      <c r="N83" s="433"/>
      <c r="O83" s="433"/>
      <c r="P83" s="433"/>
      <c r="Q83" s="595"/>
      <c r="R83" s="433"/>
      <c r="S83" s="433"/>
      <c r="T83" s="433"/>
      <c r="U83" s="433"/>
      <c r="V83" s="433"/>
      <c r="W83" s="433"/>
      <c r="X83" s="659"/>
      <c r="Y83" s="661"/>
      <c r="Z83" s="433"/>
      <c r="AA83" s="433"/>
      <c r="AB83" s="433"/>
      <c r="AC83" s="433"/>
      <c r="AD83" s="433"/>
      <c r="AE83" s="644"/>
      <c r="AF83" s="661"/>
      <c r="AG83" s="433"/>
      <c r="AH83" s="433"/>
      <c r="AI83" s="433"/>
      <c r="AJ83" s="433"/>
      <c r="AK83" s="433"/>
      <c r="AL83" s="644"/>
    </row>
    <row r="84" spans="2:38" ht="17" thickBot="1" x14ac:dyDescent="0.5">
      <c r="B84" s="786"/>
      <c r="C84" s="795"/>
      <c r="D84" s="796"/>
      <c r="E84" s="796"/>
      <c r="F84" s="649" t="s">
        <v>115</v>
      </c>
      <c r="G84" s="801" t="s">
        <v>116</v>
      </c>
      <c r="H84" s="651"/>
      <c r="I84" s="971"/>
      <c r="J84" s="793"/>
      <c r="K84" s="763"/>
      <c r="L84" s="655"/>
      <c r="M84" s="655"/>
      <c r="N84" s="655"/>
      <c r="O84" s="655"/>
      <c r="P84" s="655"/>
      <c r="Q84" s="654"/>
      <c r="R84" s="655"/>
      <c r="S84" s="655"/>
      <c r="T84" s="655"/>
      <c r="U84" s="655"/>
      <c r="V84" s="655"/>
      <c r="W84" s="655"/>
      <c r="X84" s="660"/>
      <c r="Y84" s="662"/>
      <c r="Z84" s="655"/>
      <c r="AA84" s="655"/>
      <c r="AB84" s="655"/>
      <c r="AC84" s="655"/>
      <c r="AD84" s="655"/>
      <c r="AE84" s="656"/>
      <c r="AF84" s="662"/>
      <c r="AG84" s="655"/>
      <c r="AH84" s="655"/>
      <c r="AI84" s="655"/>
      <c r="AJ84" s="655"/>
      <c r="AK84" s="655"/>
      <c r="AL84" s="656"/>
    </row>
    <row r="85" spans="2:38" x14ac:dyDescent="0.45">
      <c r="B85" s="748"/>
      <c r="C85" s="748"/>
      <c r="D85" s="294"/>
      <c r="E85" s="294"/>
      <c r="F85" s="276"/>
      <c r="G85" s="240"/>
      <c r="H85" s="241"/>
      <c r="I85" s="241"/>
      <c r="J85" s="609"/>
      <c r="K85" s="782"/>
      <c r="L85" s="609"/>
      <c r="M85" s="609"/>
      <c r="N85" s="609"/>
      <c r="O85" s="609"/>
      <c r="P85" s="609"/>
      <c r="Q85" s="604"/>
      <c r="R85" s="609"/>
      <c r="S85" s="609"/>
      <c r="T85" s="609"/>
      <c r="U85" s="609"/>
      <c r="V85" s="609"/>
      <c r="W85" s="609"/>
      <c r="X85" s="609"/>
      <c r="Y85" s="609"/>
      <c r="Z85" s="609"/>
      <c r="AA85" s="609"/>
      <c r="AB85" s="609"/>
      <c r="AC85" s="609"/>
      <c r="AD85" s="609"/>
      <c r="AE85" s="609"/>
      <c r="AF85" s="609"/>
      <c r="AG85" s="609"/>
      <c r="AH85" s="609"/>
      <c r="AI85" s="609"/>
      <c r="AJ85" s="609"/>
      <c r="AK85" s="609"/>
      <c r="AL85" s="609"/>
    </row>
    <row r="86" spans="2:38" ht="17" thickBot="1" x14ac:dyDescent="0.5">
      <c r="B86" s="749" t="s">
        <v>604</v>
      </c>
      <c r="C86" s="750" t="str">
        <f>RAP!B28</f>
        <v>Urugan Pasir Bawah Lantai</v>
      </c>
      <c r="D86" s="241"/>
      <c r="E86" s="241"/>
      <c r="F86" s="276"/>
      <c r="G86" s="240"/>
      <c r="H86" s="241"/>
      <c r="I86" s="241"/>
      <c r="J86" s="604"/>
      <c r="K86" s="603"/>
      <c r="L86" s="604"/>
      <c r="M86" s="604"/>
      <c r="N86" s="604"/>
      <c r="O86" s="604"/>
      <c r="P86" s="604"/>
      <c r="Q86" s="604"/>
      <c r="R86" s="609"/>
      <c r="S86" s="609"/>
      <c r="T86" s="609"/>
      <c r="U86" s="609"/>
      <c r="V86" s="609"/>
      <c r="W86" s="609"/>
      <c r="X86" s="609"/>
      <c r="Y86" s="609"/>
      <c r="Z86" s="609"/>
      <c r="AA86" s="609"/>
      <c r="AB86" s="609"/>
      <c r="AC86" s="609"/>
      <c r="AD86" s="609"/>
      <c r="AE86" s="609"/>
      <c r="AF86" s="609"/>
      <c r="AG86" s="609"/>
      <c r="AH86" s="609"/>
      <c r="AI86" s="609"/>
      <c r="AJ86" s="609"/>
      <c r="AK86" s="609"/>
      <c r="AL86" s="609"/>
    </row>
    <row r="87" spans="2:38" ht="19.5" customHeight="1" x14ac:dyDescent="0.45">
      <c r="B87" s="1168" t="s">
        <v>99</v>
      </c>
      <c r="C87" s="1171" t="s">
        <v>100</v>
      </c>
      <c r="D87" s="1171" t="s">
        <v>89</v>
      </c>
      <c r="E87" s="1171" t="s">
        <v>101</v>
      </c>
      <c r="F87" s="1171" t="s">
        <v>102</v>
      </c>
      <c r="G87" s="1109" t="s">
        <v>103</v>
      </c>
      <c r="H87" s="1110"/>
      <c r="I87" s="1175"/>
      <c r="J87" s="1152" t="s">
        <v>539</v>
      </c>
      <c r="K87" s="1152"/>
      <c r="L87" s="1152"/>
      <c r="M87" s="1152"/>
      <c r="N87" s="1152"/>
      <c r="O87" s="1152"/>
      <c r="P87" s="1152"/>
      <c r="Q87" s="1152"/>
      <c r="R87" s="1152"/>
      <c r="S87" s="1152"/>
      <c r="T87" s="1152"/>
      <c r="U87" s="1152"/>
      <c r="V87" s="1152"/>
      <c r="W87" s="1152"/>
      <c r="X87" s="1152"/>
      <c r="Y87" s="1153" t="s">
        <v>540</v>
      </c>
      <c r="Z87" s="1154"/>
      <c r="AA87" s="1154"/>
      <c r="AB87" s="1154"/>
      <c r="AC87" s="1154"/>
      <c r="AD87" s="1154"/>
      <c r="AE87" s="1155"/>
      <c r="AF87" s="1156" t="s">
        <v>541</v>
      </c>
      <c r="AG87" s="1157"/>
      <c r="AH87" s="1157"/>
      <c r="AI87" s="1157"/>
      <c r="AJ87" s="1157"/>
      <c r="AK87" s="1157"/>
      <c r="AL87" s="1158"/>
    </row>
    <row r="88" spans="2:38" ht="45" x14ac:dyDescent="0.45">
      <c r="B88" s="1169"/>
      <c r="C88" s="1089"/>
      <c r="D88" s="1089"/>
      <c r="E88" s="1089"/>
      <c r="F88" s="1089"/>
      <c r="G88" s="1026"/>
      <c r="H88" s="1027"/>
      <c r="I88" s="1176"/>
      <c r="J88" s="1173" t="s">
        <v>15</v>
      </c>
      <c r="K88" s="673" t="s">
        <v>493</v>
      </c>
      <c r="L88" s="1161" t="s">
        <v>491</v>
      </c>
      <c r="M88" s="1162"/>
      <c r="N88" s="1162"/>
      <c r="O88" s="1162"/>
      <c r="P88" s="1163"/>
      <c r="Q88" s="674" t="s">
        <v>533</v>
      </c>
      <c r="R88" s="1161" t="s">
        <v>501</v>
      </c>
      <c r="S88" s="1162"/>
      <c r="T88" s="1163"/>
      <c r="U88" s="674" t="s">
        <v>530</v>
      </c>
      <c r="V88" s="674" t="s">
        <v>531</v>
      </c>
      <c r="W88" s="674" t="s">
        <v>578</v>
      </c>
      <c r="X88" s="681" t="s">
        <v>579</v>
      </c>
      <c r="Y88" s="1164" t="s">
        <v>534</v>
      </c>
      <c r="Z88" s="1165"/>
      <c r="AA88" s="663" t="s">
        <v>537</v>
      </c>
      <c r="AB88" s="664" t="s">
        <v>538</v>
      </c>
      <c r="AC88" s="665" t="s">
        <v>530</v>
      </c>
      <c r="AD88" s="665" t="s">
        <v>578</v>
      </c>
      <c r="AE88" s="682" t="s">
        <v>579</v>
      </c>
      <c r="AF88" s="1166" t="s">
        <v>542</v>
      </c>
      <c r="AG88" s="1167"/>
      <c r="AH88" s="737" t="s">
        <v>543</v>
      </c>
      <c r="AI88" s="738" t="s">
        <v>544</v>
      </c>
      <c r="AJ88" s="739" t="s">
        <v>530</v>
      </c>
      <c r="AK88" s="739" t="s">
        <v>578</v>
      </c>
      <c r="AL88" s="740" t="s">
        <v>579</v>
      </c>
    </row>
    <row r="89" spans="2:38" ht="30" x14ac:dyDescent="0.45">
      <c r="B89" s="1170"/>
      <c r="C89" s="1090"/>
      <c r="D89" s="1090"/>
      <c r="E89" s="1090"/>
      <c r="F89" s="1090"/>
      <c r="G89" s="1085"/>
      <c r="H89" s="1086"/>
      <c r="I89" s="1177"/>
      <c r="J89" s="1174"/>
      <c r="K89" s="675" t="s">
        <v>495</v>
      </c>
      <c r="L89" s="676" t="s">
        <v>524</v>
      </c>
      <c r="M89" s="676" t="s">
        <v>525</v>
      </c>
      <c r="N89" s="676" t="s">
        <v>526</v>
      </c>
      <c r="O89" s="675" t="s">
        <v>517</v>
      </c>
      <c r="P89" s="675" t="s">
        <v>290</v>
      </c>
      <c r="Q89" s="675" t="s">
        <v>532</v>
      </c>
      <c r="R89" s="676" t="s">
        <v>527</v>
      </c>
      <c r="S89" s="676" t="s">
        <v>528</v>
      </c>
      <c r="T89" s="677" t="s">
        <v>529</v>
      </c>
      <c r="U89" s="675" t="s">
        <v>502</v>
      </c>
      <c r="V89" s="675" t="s">
        <v>502</v>
      </c>
      <c r="W89" s="675" t="s">
        <v>502</v>
      </c>
      <c r="X89" s="678" t="s">
        <v>504</v>
      </c>
      <c r="Y89" s="666" t="s">
        <v>535</v>
      </c>
      <c r="Z89" s="667" t="s">
        <v>536</v>
      </c>
      <c r="AA89" s="668" t="s">
        <v>532</v>
      </c>
      <c r="AB89" s="668" t="s">
        <v>532</v>
      </c>
      <c r="AC89" s="668" t="s">
        <v>532</v>
      </c>
      <c r="AD89" s="668" t="s">
        <v>532</v>
      </c>
      <c r="AE89" s="669" t="s">
        <v>532</v>
      </c>
      <c r="AF89" s="741" t="s">
        <v>535</v>
      </c>
      <c r="AG89" s="742" t="s">
        <v>536</v>
      </c>
      <c r="AH89" s="743" t="s">
        <v>532</v>
      </c>
      <c r="AI89" s="743" t="s">
        <v>532</v>
      </c>
      <c r="AJ89" s="743" t="s">
        <v>532</v>
      </c>
      <c r="AK89" s="743" t="s">
        <v>532</v>
      </c>
      <c r="AL89" s="744" t="s">
        <v>532</v>
      </c>
    </row>
    <row r="90" spans="2:38" ht="30" x14ac:dyDescent="0.45">
      <c r="B90" s="639" t="s">
        <v>4</v>
      </c>
      <c r="C90" s="600" t="s">
        <v>5</v>
      </c>
      <c r="D90" s="570" t="s">
        <v>6</v>
      </c>
      <c r="E90" s="570" t="s">
        <v>112</v>
      </c>
      <c r="F90" s="570" t="s">
        <v>114</v>
      </c>
      <c r="G90" s="1014" t="s">
        <v>115</v>
      </c>
      <c r="H90" s="1014"/>
      <c r="I90" s="1172"/>
      <c r="J90" s="791" t="s">
        <v>21</v>
      </c>
      <c r="K90" s="675" t="s">
        <v>496</v>
      </c>
      <c r="L90" s="675" t="s">
        <v>497</v>
      </c>
      <c r="M90" s="675" t="s">
        <v>498</v>
      </c>
      <c r="N90" s="675" t="s">
        <v>499</v>
      </c>
      <c r="O90" s="676" t="s">
        <v>552</v>
      </c>
      <c r="P90" s="675" t="s">
        <v>512</v>
      </c>
      <c r="Q90" s="675" t="s">
        <v>503</v>
      </c>
      <c r="R90" s="675" t="s">
        <v>553</v>
      </c>
      <c r="S90" s="675" t="s">
        <v>513</v>
      </c>
      <c r="T90" s="675" t="s">
        <v>514</v>
      </c>
      <c r="U90" s="675" t="s">
        <v>554</v>
      </c>
      <c r="V90" s="675" t="s">
        <v>515</v>
      </c>
      <c r="W90" s="675" t="s">
        <v>555</v>
      </c>
      <c r="X90" s="678" t="s">
        <v>516</v>
      </c>
      <c r="Y90" s="670" t="s">
        <v>556</v>
      </c>
      <c r="Z90" s="671" t="s">
        <v>557</v>
      </c>
      <c r="AA90" s="671" t="s">
        <v>558</v>
      </c>
      <c r="AB90" s="671" t="s">
        <v>559</v>
      </c>
      <c r="AC90" s="671" t="s">
        <v>560</v>
      </c>
      <c r="AD90" s="671" t="s">
        <v>561</v>
      </c>
      <c r="AE90" s="672" t="s">
        <v>562</v>
      </c>
      <c r="AF90" s="745" t="s">
        <v>563</v>
      </c>
      <c r="AG90" s="746" t="s">
        <v>564</v>
      </c>
      <c r="AH90" s="746" t="s">
        <v>565</v>
      </c>
      <c r="AI90" s="746" t="s">
        <v>566</v>
      </c>
      <c r="AJ90" s="746" t="s">
        <v>567</v>
      </c>
      <c r="AK90" s="746" t="s">
        <v>568</v>
      </c>
      <c r="AL90" s="747" t="s">
        <v>569</v>
      </c>
    </row>
    <row r="91" spans="2:38" x14ac:dyDescent="0.45">
      <c r="B91" s="800">
        <v>5</v>
      </c>
      <c r="C91" s="583" t="s">
        <v>18</v>
      </c>
      <c r="D91" s="550"/>
      <c r="E91" s="798">
        <v>1</v>
      </c>
      <c r="F91" s="508" t="s">
        <v>12</v>
      </c>
      <c r="G91" s="510" t="s">
        <v>209</v>
      </c>
      <c r="H91" s="562"/>
      <c r="I91" s="975"/>
      <c r="J91" s="789"/>
      <c r="K91" s="789"/>
      <c r="L91" s="789"/>
      <c r="M91" s="789"/>
      <c r="N91" s="789"/>
      <c r="O91" s="789"/>
      <c r="P91" s="789"/>
      <c r="Q91" s="789"/>
      <c r="R91" s="789"/>
      <c r="S91" s="789"/>
      <c r="T91" s="789"/>
      <c r="U91" s="789"/>
      <c r="V91" s="789"/>
      <c r="W91" s="789"/>
      <c r="X91" s="789"/>
      <c r="Y91" s="789"/>
      <c r="Z91" s="789"/>
      <c r="AA91" s="789"/>
      <c r="AB91" s="789"/>
      <c r="AC91" s="789"/>
      <c r="AD91" s="789"/>
      <c r="AE91" s="789"/>
      <c r="AF91" s="789"/>
      <c r="AG91" s="789"/>
      <c r="AH91" s="789"/>
      <c r="AI91" s="789"/>
      <c r="AJ91" s="789"/>
      <c r="AK91" s="789"/>
      <c r="AL91" s="790"/>
    </row>
    <row r="92" spans="2:38" x14ac:dyDescent="0.45">
      <c r="B92" s="794"/>
      <c r="C92" s="260"/>
      <c r="D92" s="244"/>
      <c r="E92" s="212"/>
      <c r="F92" s="276" t="s">
        <v>4</v>
      </c>
      <c r="G92" s="262" t="s">
        <v>106</v>
      </c>
      <c r="H92" s="209"/>
      <c r="I92" s="966"/>
      <c r="J92" s="792">
        <f>RAP!E28</f>
        <v>10</v>
      </c>
      <c r="K92" s="601">
        <v>1</v>
      </c>
      <c r="L92" s="319"/>
      <c r="M92" s="319"/>
      <c r="N92" s="319"/>
      <c r="O92" s="598"/>
      <c r="P92" s="598"/>
      <c r="Q92" s="605"/>
      <c r="R92" s="485"/>
      <c r="S92" s="485"/>
      <c r="T92" s="485"/>
      <c r="U92" s="752">
        <f>SUM(R93:R98)+(SUM(S93:S98)+SUM(T93:T98))</f>
        <v>4225000</v>
      </c>
      <c r="V92" s="754">
        <f>RAP!H28</f>
        <v>4756400</v>
      </c>
      <c r="W92" s="752">
        <f>V92-U92</f>
        <v>531400</v>
      </c>
      <c r="X92" s="760">
        <f>W92/V92*100</f>
        <v>11.172315196367</v>
      </c>
      <c r="Y92" s="755">
        <f>SUM(R93:R98)/J92</f>
        <v>32500</v>
      </c>
      <c r="Z92" s="757">
        <v>32500</v>
      </c>
      <c r="AA92" s="758">
        <f>J92*Z92</f>
        <v>325000</v>
      </c>
      <c r="AB92" s="758">
        <f>SUM(S92:S98)+SUM(T92:T98)</f>
        <v>3900000</v>
      </c>
      <c r="AC92" s="752">
        <f>AA92+AB92</f>
        <v>4225000</v>
      </c>
      <c r="AD92" s="752">
        <f>V92-AC92</f>
        <v>531400</v>
      </c>
      <c r="AE92" s="760">
        <f>AD92/V92*100</f>
        <v>11.172315196367</v>
      </c>
      <c r="AF92" s="755">
        <f>(SUM(R92:R98)+SUM(S92:S98))/J92</f>
        <v>422500</v>
      </c>
      <c r="AG92" s="757">
        <v>420000</v>
      </c>
      <c r="AH92" s="758">
        <f>AG92*J92</f>
        <v>4200000</v>
      </c>
      <c r="AI92" s="758">
        <f>SUM(T92:T98)</f>
        <v>0</v>
      </c>
      <c r="AJ92" s="752">
        <f>AH92+AI92</f>
        <v>4200000</v>
      </c>
      <c r="AK92" s="752">
        <f>V92-AJ92</f>
        <v>556400</v>
      </c>
      <c r="AL92" s="760">
        <f>AK92/V92*100</f>
        <v>11.697922798755361</v>
      </c>
    </row>
    <row r="93" spans="2:38" x14ac:dyDescent="0.45">
      <c r="B93" s="785"/>
      <c r="C93" s="265"/>
      <c r="D93" s="288" t="s">
        <v>107</v>
      </c>
      <c r="E93" s="289">
        <v>0.3</v>
      </c>
      <c r="F93" s="217" t="s">
        <v>108</v>
      </c>
      <c r="G93" s="218" t="s">
        <v>51</v>
      </c>
      <c r="H93" s="219"/>
      <c r="I93" s="976"/>
      <c r="J93" s="475"/>
      <c r="K93" s="602"/>
      <c r="L93" s="433">
        <f>E93*J92/K92</f>
        <v>3</v>
      </c>
      <c r="M93" s="433"/>
      <c r="N93" s="433"/>
      <c r="O93" s="597">
        <v>3</v>
      </c>
      <c r="P93" s="596" t="str">
        <f>F93</f>
        <v>OH</v>
      </c>
      <c r="Q93" s="608">
        <f>'Analisa Upah RAP'!G5</f>
        <v>75000</v>
      </c>
      <c r="R93" s="453">
        <f>O93*Q93*K92</f>
        <v>225000</v>
      </c>
      <c r="S93" s="453"/>
      <c r="T93" s="453"/>
      <c r="U93" s="753"/>
      <c r="V93" s="753"/>
      <c r="W93" s="753"/>
      <c r="X93" s="761"/>
      <c r="Y93" s="756"/>
      <c r="Z93" s="759"/>
      <c r="AA93" s="759"/>
      <c r="AB93" s="759"/>
      <c r="AC93" s="753"/>
      <c r="AD93" s="753"/>
      <c r="AE93" s="761"/>
      <c r="AF93" s="756"/>
      <c r="AG93" s="759"/>
      <c r="AH93" s="759"/>
      <c r="AI93" s="759"/>
      <c r="AJ93" s="753"/>
      <c r="AK93" s="753"/>
      <c r="AL93" s="761"/>
    </row>
    <row r="94" spans="2:38" x14ac:dyDescent="0.45">
      <c r="B94" s="785"/>
      <c r="C94" s="265"/>
      <c r="D94" s="275" t="s">
        <v>109</v>
      </c>
      <c r="E94" s="281">
        <v>0.01</v>
      </c>
      <c r="F94" s="253" t="s">
        <v>108</v>
      </c>
      <c r="G94" s="228" t="s">
        <v>52</v>
      </c>
      <c r="H94" s="229"/>
      <c r="I94" s="967"/>
      <c r="J94" s="475"/>
      <c r="K94" s="602"/>
      <c r="L94" s="433">
        <f>E94*J92/K92</f>
        <v>0.1</v>
      </c>
      <c r="M94" s="433"/>
      <c r="N94" s="433"/>
      <c r="O94" s="597">
        <v>1</v>
      </c>
      <c r="P94" s="596" t="str">
        <f>F94</f>
        <v>OH</v>
      </c>
      <c r="Q94" s="608">
        <f>'Analisa Upah RAP'!G12</f>
        <v>100000</v>
      </c>
      <c r="R94" s="453">
        <f>O94*Q94*K92</f>
        <v>100000</v>
      </c>
      <c r="S94" s="453"/>
      <c r="T94" s="453"/>
      <c r="U94" s="753"/>
      <c r="V94" s="753"/>
      <c r="W94" s="753"/>
      <c r="X94" s="761"/>
      <c r="Y94" s="756"/>
      <c r="Z94" s="759"/>
      <c r="AA94" s="759"/>
      <c r="AB94" s="759"/>
      <c r="AC94" s="753"/>
      <c r="AD94" s="753"/>
      <c r="AE94" s="761"/>
      <c r="AF94" s="756"/>
      <c r="AG94" s="759"/>
      <c r="AH94" s="759"/>
      <c r="AI94" s="759"/>
      <c r="AJ94" s="753"/>
      <c r="AK94" s="753"/>
      <c r="AL94" s="761"/>
    </row>
    <row r="95" spans="2:38" x14ac:dyDescent="0.45">
      <c r="B95" s="785"/>
      <c r="C95" s="265"/>
      <c r="D95" s="209"/>
      <c r="E95" s="284"/>
      <c r="F95" s="285" t="s">
        <v>5</v>
      </c>
      <c r="G95" s="286" t="s">
        <v>110</v>
      </c>
      <c r="H95" s="209"/>
      <c r="I95" s="966"/>
      <c r="J95" s="475"/>
      <c r="K95" s="602"/>
      <c r="L95" s="433"/>
      <c r="M95" s="433">
        <f>E95*J92</f>
        <v>0</v>
      </c>
      <c r="N95" s="433"/>
      <c r="O95" s="597">
        <v>0</v>
      </c>
      <c r="P95" s="596">
        <f>E95</f>
        <v>0</v>
      </c>
      <c r="Q95" s="608">
        <v>0</v>
      </c>
      <c r="R95" s="453"/>
      <c r="S95" s="453">
        <f t="shared" ref="S95:S96" si="8">O95*Q95</f>
        <v>0</v>
      </c>
      <c r="T95" s="453"/>
      <c r="U95" s="753"/>
      <c r="V95" s="753"/>
      <c r="W95" s="753"/>
      <c r="X95" s="761"/>
      <c r="Y95" s="756"/>
      <c r="Z95" s="759"/>
      <c r="AA95" s="759"/>
      <c r="AB95" s="759"/>
      <c r="AC95" s="753"/>
      <c r="AD95" s="753"/>
      <c r="AE95" s="761"/>
      <c r="AF95" s="756"/>
      <c r="AG95" s="759"/>
      <c r="AH95" s="759"/>
      <c r="AI95" s="759"/>
      <c r="AJ95" s="753"/>
      <c r="AK95" s="753"/>
      <c r="AL95" s="761"/>
    </row>
    <row r="96" spans="2:38" x14ac:dyDescent="0.45">
      <c r="B96" s="785"/>
      <c r="C96" s="265"/>
      <c r="D96" s="226"/>
      <c r="E96" s="291">
        <v>1.2</v>
      </c>
      <c r="F96" s="269" t="s">
        <v>65</v>
      </c>
      <c r="G96" s="292" t="s">
        <v>117</v>
      </c>
      <c r="H96" s="226"/>
      <c r="I96" s="974"/>
      <c r="J96" s="475"/>
      <c r="K96" s="602"/>
      <c r="L96" s="433"/>
      <c r="M96" s="433">
        <f>E96*J92</f>
        <v>12</v>
      </c>
      <c r="N96" s="433"/>
      <c r="O96" s="597">
        <v>12</v>
      </c>
      <c r="P96" s="596" t="str">
        <f>F96</f>
        <v>m3</v>
      </c>
      <c r="Q96" s="608">
        <f>'Harga Bahan RAP'!G9</f>
        <v>325000</v>
      </c>
      <c r="R96" s="453"/>
      <c r="S96" s="453">
        <f t="shared" si="8"/>
        <v>3900000</v>
      </c>
      <c r="T96" s="453"/>
      <c r="U96" s="753"/>
      <c r="V96" s="753"/>
      <c r="W96" s="753"/>
      <c r="X96" s="761"/>
      <c r="Y96" s="756"/>
      <c r="Z96" s="759"/>
      <c r="AA96" s="759"/>
      <c r="AB96" s="759"/>
      <c r="AC96" s="753"/>
      <c r="AD96" s="753"/>
      <c r="AE96" s="761"/>
      <c r="AF96" s="756"/>
      <c r="AG96" s="759"/>
      <c r="AH96" s="759"/>
      <c r="AI96" s="759"/>
      <c r="AJ96" s="753"/>
      <c r="AK96" s="753"/>
      <c r="AL96" s="761"/>
    </row>
    <row r="97" spans="2:38" x14ac:dyDescent="0.45">
      <c r="B97" s="785"/>
      <c r="C97" s="265"/>
      <c r="D97" s="230"/>
      <c r="E97" s="234">
        <v>0</v>
      </c>
      <c r="F97" s="211" t="s">
        <v>154</v>
      </c>
      <c r="G97" s="235" t="s">
        <v>154</v>
      </c>
      <c r="H97" s="231"/>
      <c r="I97" s="968"/>
      <c r="J97" s="475"/>
      <c r="K97" s="602"/>
      <c r="L97" s="433"/>
      <c r="M97" s="433"/>
      <c r="N97" s="433"/>
      <c r="O97" s="599"/>
      <c r="P97" s="596">
        <f>E97</f>
        <v>0</v>
      </c>
      <c r="Q97" s="606">
        <v>0</v>
      </c>
      <c r="R97" s="433"/>
      <c r="S97" s="433"/>
      <c r="T97" s="433"/>
      <c r="U97" s="753"/>
      <c r="V97" s="753"/>
      <c r="W97" s="753"/>
      <c r="X97" s="761"/>
      <c r="Y97" s="756"/>
      <c r="Z97" s="759"/>
      <c r="AA97" s="759"/>
      <c r="AB97" s="759"/>
      <c r="AC97" s="753"/>
      <c r="AD97" s="753"/>
      <c r="AE97" s="761"/>
      <c r="AF97" s="756"/>
      <c r="AG97" s="759"/>
      <c r="AH97" s="759"/>
      <c r="AI97" s="759"/>
      <c r="AJ97" s="753"/>
      <c r="AK97" s="753"/>
      <c r="AL97" s="761"/>
    </row>
    <row r="98" spans="2:38" x14ac:dyDescent="0.45">
      <c r="B98" s="785"/>
      <c r="C98" s="265"/>
      <c r="D98" s="230"/>
      <c r="E98" s="234">
        <v>0</v>
      </c>
      <c r="F98" s="211" t="s">
        <v>154</v>
      </c>
      <c r="G98" s="235" t="s">
        <v>154</v>
      </c>
      <c r="H98" s="231"/>
      <c r="I98" s="968"/>
      <c r="J98" s="475"/>
      <c r="K98" s="602"/>
      <c r="L98" s="433"/>
      <c r="M98" s="433">
        <f>E98*J92</f>
        <v>0</v>
      </c>
      <c r="N98" s="433"/>
      <c r="O98" s="597">
        <v>0</v>
      </c>
      <c r="P98" s="596">
        <f>E98</f>
        <v>0</v>
      </c>
      <c r="Q98" s="608">
        <v>0</v>
      </c>
      <c r="R98" s="453"/>
      <c r="S98" s="453">
        <f t="shared" ref="S98" si="9">O98*Q98</f>
        <v>0</v>
      </c>
      <c r="T98" s="453"/>
      <c r="U98" s="753"/>
      <c r="V98" s="753"/>
      <c r="W98" s="753"/>
      <c r="X98" s="761"/>
      <c r="Y98" s="756"/>
      <c r="Z98" s="759"/>
      <c r="AA98" s="759"/>
      <c r="AB98" s="759"/>
      <c r="AC98" s="753"/>
      <c r="AD98" s="753"/>
      <c r="AE98" s="761"/>
      <c r="AF98" s="756"/>
      <c r="AG98" s="759"/>
      <c r="AH98" s="759"/>
      <c r="AI98" s="759"/>
      <c r="AJ98" s="753"/>
      <c r="AK98" s="753"/>
      <c r="AL98" s="761"/>
    </row>
    <row r="99" spans="2:38" x14ac:dyDescent="0.45">
      <c r="B99" s="785"/>
      <c r="C99" s="265"/>
      <c r="D99" s="230"/>
      <c r="E99" s="230"/>
      <c r="F99" s="207" t="s">
        <v>6</v>
      </c>
      <c r="G99" s="213" t="s">
        <v>111</v>
      </c>
      <c r="H99" s="244"/>
      <c r="I99" s="969"/>
      <c r="J99" s="475"/>
      <c r="K99" s="602"/>
      <c r="L99" s="433"/>
      <c r="M99" s="433"/>
      <c r="N99" s="433"/>
      <c r="O99" s="599"/>
      <c r="P99" s="596">
        <f>E99</f>
        <v>0</v>
      </c>
      <c r="Q99" s="606">
        <v>0</v>
      </c>
      <c r="R99" s="433"/>
      <c r="S99" s="433"/>
      <c r="T99" s="433"/>
      <c r="U99" s="753"/>
      <c r="V99" s="753"/>
      <c r="W99" s="753"/>
      <c r="X99" s="761"/>
      <c r="Y99" s="756"/>
      <c r="Z99" s="759"/>
      <c r="AA99" s="759"/>
      <c r="AB99" s="759"/>
      <c r="AC99" s="753"/>
      <c r="AD99" s="753"/>
      <c r="AE99" s="761"/>
      <c r="AF99" s="756"/>
      <c r="AG99" s="759"/>
      <c r="AH99" s="759"/>
      <c r="AI99" s="759"/>
      <c r="AJ99" s="753"/>
      <c r="AK99" s="753"/>
      <c r="AL99" s="761"/>
    </row>
    <row r="100" spans="2:38" x14ac:dyDescent="0.45">
      <c r="B100" s="785"/>
      <c r="C100" s="265"/>
      <c r="D100" s="230"/>
      <c r="E100" s="234">
        <v>0</v>
      </c>
      <c r="F100" s="211" t="s">
        <v>154</v>
      </c>
      <c r="G100" s="235" t="s">
        <v>154</v>
      </c>
      <c r="H100" s="244"/>
      <c r="I100" s="969"/>
      <c r="J100" s="475"/>
      <c r="K100" s="602"/>
      <c r="L100" s="433"/>
      <c r="M100" s="433"/>
      <c r="N100" s="433">
        <f>E100*J92</f>
        <v>0</v>
      </c>
      <c r="O100" s="599">
        <v>0</v>
      </c>
      <c r="P100" s="596">
        <f>E100</f>
        <v>0</v>
      </c>
      <c r="Q100" s="606">
        <v>0</v>
      </c>
      <c r="R100" s="433"/>
      <c r="S100" s="433"/>
      <c r="T100" s="433">
        <f>O100*Q100</f>
        <v>0</v>
      </c>
      <c r="U100" s="753"/>
      <c r="V100" s="753"/>
      <c r="W100" s="753"/>
      <c r="X100" s="761"/>
      <c r="Y100" s="756"/>
      <c r="Z100" s="759"/>
      <c r="AA100" s="759"/>
      <c r="AB100" s="759"/>
      <c r="AC100" s="753"/>
      <c r="AD100" s="753"/>
      <c r="AE100" s="761"/>
      <c r="AF100" s="756"/>
      <c r="AG100" s="759"/>
      <c r="AH100" s="759"/>
      <c r="AI100" s="759"/>
      <c r="AJ100" s="753"/>
      <c r="AK100" s="753"/>
      <c r="AL100" s="761"/>
    </row>
    <row r="101" spans="2:38" x14ac:dyDescent="0.45">
      <c r="B101" s="785"/>
      <c r="C101" s="265"/>
      <c r="D101" s="272"/>
      <c r="E101" s="272"/>
      <c r="F101" s="207" t="s">
        <v>112</v>
      </c>
      <c r="G101" s="213" t="s">
        <v>113</v>
      </c>
      <c r="H101" s="244"/>
      <c r="I101" s="969"/>
      <c r="J101" s="475"/>
      <c r="K101" s="602"/>
      <c r="L101" s="433"/>
      <c r="M101" s="433"/>
      <c r="N101" s="433"/>
      <c r="O101" s="433"/>
      <c r="P101" s="433"/>
      <c r="Q101" s="595"/>
      <c r="R101" s="433"/>
      <c r="S101" s="433"/>
      <c r="T101" s="433"/>
      <c r="U101" s="433"/>
      <c r="V101" s="433"/>
      <c r="W101" s="433"/>
      <c r="X101" s="659"/>
      <c r="Y101" s="661"/>
      <c r="Z101" s="433"/>
      <c r="AA101" s="433"/>
      <c r="AB101" s="433"/>
      <c r="AC101" s="433"/>
      <c r="AD101" s="433"/>
      <c r="AE101" s="644"/>
      <c r="AF101" s="661"/>
      <c r="AG101" s="433"/>
      <c r="AH101" s="433"/>
      <c r="AI101" s="433"/>
      <c r="AJ101" s="433"/>
      <c r="AK101" s="433"/>
      <c r="AL101" s="644"/>
    </row>
    <row r="102" spans="2:38" x14ac:dyDescent="0.45">
      <c r="B102" s="785"/>
      <c r="C102" s="265"/>
      <c r="D102" s="272"/>
      <c r="E102" s="272"/>
      <c r="F102" s="207" t="s">
        <v>114</v>
      </c>
      <c r="G102" s="213" t="s">
        <v>130</v>
      </c>
      <c r="H102" s="244"/>
      <c r="I102" s="970">
        <v>0.15</v>
      </c>
      <c r="J102" s="475"/>
      <c r="K102" s="602"/>
      <c r="L102" s="433"/>
      <c r="M102" s="433"/>
      <c r="N102" s="433"/>
      <c r="O102" s="433"/>
      <c r="P102" s="433"/>
      <c r="Q102" s="595"/>
      <c r="R102" s="433"/>
      <c r="S102" s="433"/>
      <c r="T102" s="433"/>
      <c r="U102" s="433"/>
      <c r="V102" s="433"/>
      <c r="W102" s="433"/>
      <c r="X102" s="659"/>
      <c r="Y102" s="661"/>
      <c r="Z102" s="433"/>
      <c r="AA102" s="433"/>
      <c r="AB102" s="433"/>
      <c r="AC102" s="433"/>
      <c r="AD102" s="433"/>
      <c r="AE102" s="644"/>
      <c r="AF102" s="661"/>
      <c r="AG102" s="433"/>
      <c r="AH102" s="433"/>
      <c r="AI102" s="433"/>
      <c r="AJ102" s="433"/>
      <c r="AK102" s="433"/>
      <c r="AL102" s="644"/>
    </row>
    <row r="103" spans="2:38" ht="17" thickBot="1" x14ac:dyDescent="0.5">
      <c r="B103" s="786"/>
      <c r="C103" s="795"/>
      <c r="D103" s="796"/>
      <c r="E103" s="796"/>
      <c r="F103" s="649" t="s">
        <v>115</v>
      </c>
      <c r="G103" s="801" t="s">
        <v>116</v>
      </c>
      <c r="H103" s="651"/>
      <c r="I103" s="971"/>
      <c r="J103" s="793"/>
      <c r="K103" s="763"/>
      <c r="L103" s="655"/>
      <c r="M103" s="655"/>
      <c r="N103" s="655"/>
      <c r="O103" s="655"/>
      <c r="P103" s="655"/>
      <c r="Q103" s="654"/>
      <c r="R103" s="655"/>
      <c r="S103" s="655"/>
      <c r="T103" s="655"/>
      <c r="U103" s="655"/>
      <c r="V103" s="655"/>
      <c r="W103" s="655"/>
      <c r="X103" s="660"/>
      <c r="Y103" s="662"/>
      <c r="Z103" s="655"/>
      <c r="AA103" s="655"/>
      <c r="AB103" s="655"/>
      <c r="AC103" s="655"/>
      <c r="AD103" s="655"/>
      <c r="AE103" s="656"/>
      <c r="AF103" s="662"/>
      <c r="AG103" s="655"/>
      <c r="AH103" s="655"/>
      <c r="AI103" s="655"/>
      <c r="AJ103" s="655"/>
      <c r="AK103" s="655"/>
      <c r="AL103" s="656"/>
    </row>
    <row r="104" spans="2:38" x14ac:dyDescent="0.45">
      <c r="B104" s="748"/>
      <c r="C104" s="748"/>
      <c r="D104" s="294"/>
      <c r="E104" s="294"/>
      <c r="F104" s="276"/>
      <c r="G104" s="240"/>
      <c r="H104" s="241"/>
      <c r="I104" s="241"/>
      <c r="J104" s="609"/>
      <c r="K104" s="782"/>
      <c r="L104" s="609"/>
      <c r="M104" s="609"/>
      <c r="N104" s="609"/>
      <c r="O104" s="609"/>
      <c r="P104" s="609"/>
      <c r="Q104" s="604"/>
      <c r="R104" s="609"/>
      <c r="S104" s="609"/>
      <c r="T104" s="609"/>
      <c r="U104" s="609"/>
      <c r="V104" s="609"/>
      <c r="W104" s="609"/>
      <c r="X104" s="609"/>
      <c r="Y104" s="609"/>
      <c r="Z104" s="609"/>
      <c r="AA104" s="609"/>
      <c r="AB104" s="609"/>
      <c r="AC104" s="609"/>
      <c r="AD104" s="609"/>
      <c r="AE104" s="609"/>
      <c r="AF104" s="609"/>
      <c r="AG104" s="609"/>
      <c r="AH104" s="609"/>
      <c r="AI104" s="609"/>
      <c r="AJ104" s="609"/>
      <c r="AK104" s="609"/>
      <c r="AL104" s="609"/>
    </row>
  </sheetData>
  <mergeCells count="80">
    <mergeCell ref="J10:X10"/>
    <mergeCell ref="Y10:AE10"/>
    <mergeCell ref="AF10:AL10"/>
    <mergeCell ref="J11:J12"/>
    <mergeCell ref="L11:P11"/>
    <mergeCell ref="R11:T11"/>
    <mergeCell ref="Y11:Z11"/>
    <mergeCell ref="AF11:AG11"/>
    <mergeCell ref="B52:B53"/>
    <mergeCell ref="C52:C53"/>
    <mergeCell ref="D52:D53"/>
    <mergeCell ref="E52:E53"/>
    <mergeCell ref="F52:F53"/>
    <mergeCell ref="B10:B12"/>
    <mergeCell ref="C10:C12"/>
    <mergeCell ref="D10:D12"/>
    <mergeCell ref="E10:E12"/>
    <mergeCell ref="G51:I51"/>
    <mergeCell ref="G32:I32"/>
    <mergeCell ref="G13:I13"/>
    <mergeCell ref="B29:B31"/>
    <mergeCell ref="C29:C31"/>
    <mergeCell ref="D29:D31"/>
    <mergeCell ref="E29:E31"/>
    <mergeCell ref="F29:F31"/>
    <mergeCell ref="G29:I31"/>
    <mergeCell ref="F10:F12"/>
    <mergeCell ref="G10:I12"/>
    <mergeCell ref="B48:B50"/>
    <mergeCell ref="J29:X29"/>
    <mergeCell ref="Y29:AE29"/>
    <mergeCell ref="AF29:AL29"/>
    <mergeCell ref="J30:J31"/>
    <mergeCell ref="L30:P30"/>
    <mergeCell ref="R30:T30"/>
    <mergeCell ref="Y30:Z30"/>
    <mergeCell ref="AF30:AG30"/>
    <mergeCell ref="AF48:AL48"/>
    <mergeCell ref="J49:J50"/>
    <mergeCell ref="L49:P49"/>
    <mergeCell ref="R49:T49"/>
    <mergeCell ref="Y49:Z49"/>
    <mergeCell ref="AF49:AG49"/>
    <mergeCell ref="J48:X48"/>
    <mergeCell ref="Y48:AE48"/>
    <mergeCell ref="C48:C50"/>
    <mergeCell ref="D48:D50"/>
    <mergeCell ref="E48:E50"/>
    <mergeCell ref="F48:F50"/>
    <mergeCell ref="G48:I50"/>
    <mergeCell ref="AF68:AL68"/>
    <mergeCell ref="J69:J70"/>
    <mergeCell ref="L69:P69"/>
    <mergeCell ref="R69:T69"/>
    <mergeCell ref="Y69:Z69"/>
    <mergeCell ref="AF69:AG69"/>
    <mergeCell ref="G68:I70"/>
    <mergeCell ref="G71:I71"/>
    <mergeCell ref="J68:X68"/>
    <mergeCell ref="Y68:AE68"/>
    <mergeCell ref="B87:B89"/>
    <mergeCell ref="C87:C89"/>
    <mergeCell ref="D87:D89"/>
    <mergeCell ref="E87:E89"/>
    <mergeCell ref="F87:F89"/>
    <mergeCell ref="G87:I89"/>
    <mergeCell ref="B68:B70"/>
    <mergeCell ref="C68:C70"/>
    <mergeCell ref="D68:D70"/>
    <mergeCell ref="E68:E70"/>
    <mergeCell ref="F68:F70"/>
    <mergeCell ref="G90:I90"/>
    <mergeCell ref="J87:X87"/>
    <mergeCell ref="Y87:AE87"/>
    <mergeCell ref="AF87:AL87"/>
    <mergeCell ref="J88:J89"/>
    <mergeCell ref="L88:P88"/>
    <mergeCell ref="R88:T88"/>
    <mergeCell ref="Y88:Z88"/>
    <mergeCell ref="AF88:AG88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0444-F192-4B21-A9B3-0B83B162B7EC}">
  <sheetPr>
    <tabColor rgb="FFFFFF00"/>
  </sheetPr>
  <dimension ref="A1:AL30"/>
  <sheetViews>
    <sheetView view="pageBreakPreview" topLeftCell="A7" zoomScale="70" zoomScaleNormal="100" zoomScaleSheetLayoutView="70" workbookViewId="0">
      <selection activeCell="B11" sqref="B11:I29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RAP!B30</f>
        <v xml:space="preserve">PEKERJAAN PONDASI 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ht="17" thickBot="1" x14ac:dyDescent="0.5">
      <c r="B10" s="749" t="s">
        <v>601</v>
      </c>
      <c r="C10" s="750" t="str">
        <f>RAP!B31</f>
        <v xml:space="preserve">Pasangan Batu Belah 1Pc : 4Ps </v>
      </c>
      <c r="D10" s="241"/>
      <c r="E10" s="241"/>
      <c r="F10" s="276"/>
      <c r="G10" s="240"/>
      <c r="H10" s="241"/>
      <c r="I10" s="241"/>
      <c r="J10" s="604"/>
      <c r="K10" s="603"/>
      <c r="L10" s="604"/>
      <c r="M10" s="604"/>
      <c r="N10" s="604"/>
      <c r="O10" s="604"/>
      <c r="P10" s="604"/>
      <c r="Q10" s="604"/>
      <c r="R10" s="609"/>
      <c r="S10" s="609"/>
      <c r="T10" s="609"/>
      <c r="U10" s="609"/>
      <c r="V10" s="609"/>
      <c r="W10" s="609"/>
      <c r="X10" s="609"/>
      <c r="Y10" s="609"/>
      <c r="Z10" s="609"/>
      <c r="AA10" s="609"/>
      <c r="AB10" s="609"/>
      <c r="AC10" s="609"/>
      <c r="AD10" s="609"/>
      <c r="AE10" s="609"/>
      <c r="AF10" s="609"/>
      <c r="AG10" s="609"/>
      <c r="AH10" s="609"/>
      <c r="AI10" s="609"/>
      <c r="AJ10" s="609"/>
      <c r="AK10" s="609"/>
      <c r="AL10" s="609"/>
    </row>
    <row r="11" spans="2:38" ht="19.5" customHeight="1" x14ac:dyDescent="0.45">
      <c r="B11" s="1168" t="s">
        <v>99</v>
      </c>
      <c r="C11" s="1171" t="s">
        <v>100</v>
      </c>
      <c r="D11" s="1171" t="s">
        <v>89</v>
      </c>
      <c r="E11" s="1171" t="s">
        <v>101</v>
      </c>
      <c r="F11" s="1171" t="s">
        <v>102</v>
      </c>
      <c r="G11" s="1109" t="s">
        <v>103</v>
      </c>
      <c r="H11" s="1110"/>
      <c r="I11" s="1175"/>
      <c r="J11" s="1152" t="s">
        <v>539</v>
      </c>
      <c r="K11" s="1152"/>
      <c r="L11" s="1152"/>
      <c r="M11" s="1152"/>
      <c r="N11" s="1152"/>
      <c r="O11" s="1152"/>
      <c r="P11" s="1152"/>
      <c r="Q11" s="1152"/>
      <c r="R11" s="1152"/>
      <c r="S11" s="1152"/>
      <c r="T11" s="1152"/>
      <c r="U11" s="1152"/>
      <c r="V11" s="1152"/>
      <c r="W11" s="1152"/>
      <c r="X11" s="1152"/>
      <c r="Y11" s="1153" t="s">
        <v>540</v>
      </c>
      <c r="Z11" s="1154"/>
      <c r="AA11" s="1154"/>
      <c r="AB11" s="1154"/>
      <c r="AC11" s="1154"/>
      <c r="AD11" s="1154"/>
      <c r="AE11" s="1155"/>
      <c r="AF11" s="1156" t="s">
        <v>541</v>
      </c>
      <c r="AG11" s="1157"/>
      <c r="AH11" s="1157"/>
      <c r="AI11" s="1157"/>
      <c r="AJ11" s="1157"/>
      <c r="AK11" s="1157"/>
      <c r="AL11" s="1158"/>
    </row>
    <row r="12" spans="2:38" ht="45" x14ac:dyDescent="0.45">
      <c r="B12" s="1169"/>
      <c r="C12" s="1089"/>
      <c r="D12" s="1089"/>
      <c r="E12" s="1089"/>
      <c r="F12" s="1089"/>
      <c r="G12" s="1026"/>
      <c r="H12" s="1027"/>
      <c r="I12" s="1176"/>
      <c r="J12" s="1173" t="s">
        <v>15</v>
      </c>
      <c r="K12" s="673" t="s">
        <v>493</v>
      </c>
      <c r="L12" s="1161" t="s">
        <v>491</v>
      </c>
      <c r="M12" s="1162"/>
      <c r="N12" s="1162"/>
      <c r="O12" s="1162"/>
      <c r="P12" s="1163"/>
      <c r="Q12" s="674" t="s">
        <v>533</v>
      </c>
      <c r="R12" s="1161" t="s">
        <v>501</v>
      </c>
      <c r="S12" s="1162"/>
      <c r="T12" s="1163"/>
      <c r="U12" s="674" t="s">
        <v>530</v>
      </c>
      <c r="V12" s="674" t="s">
        <v>531</v>
      </c>
      <c r="W12" s="674" t="s">
        <v>578</v>
      </c>
      <c r="X12" s="681" t="s">
        <v>579</v>
      </c>
      <c r="Y12" s="1164" t="s">
        <v>534</v>
      </c>
      <c r="Z12" s="1165"/>
      <c r="AA12" s="663" t="s">
        <v>537</v>
      </c>
      <c r="AB12" s="664" t="s">
        <v>538</v>
      </c>
      <c r="AC12" s="665" t="s">
        <v>530</v>
      </c>
      <c r="AD12" s="665" t="s">
        <v>578</v>
      </c>
      <c r="AE12" s="682" t="s">
        <v>579</v>
      </c>
      <c r="AF12" s="1166" t="s">
        <v>542</v>
      </c>
      <c r="AG12" s="1167"/>
      <c r="AH12" s="737" t="s">
        <v>543</v>
      </c>
      <c r="AI12" s="738" t="s">
        <v>544</v>
      </c>
      <c r="AJ12" s="739" t="s">
        <v>530</v>
      </c>
      <c r="AK12" s="739" t="s">
        <v>578</v>
      </c>
      <c r="AL12" s="740" t="s">
        <v>579</v>
      </c>
    </row>
    <row r="13" spans="2:38" ht="30" x14ac:dyDescent="0.45">
      <c r="B13" s="1170"/>
      <c r="C13" s="1090"/>
      <c r="D13" s="1090"/>
      <c r="E13" s="1090"/>
      <c r="F13" s="1090"/>
      <c r="G13" s="1085"/>
      <c r="H13" s="1086"/>
      <c r="I13" s="1177"/>
      <c r="J13" s="1174"/>
      <c r="K13" s="675" t="s">
        <v>495</v>
      </c>
      <c r="L13" s="676" t="s">
        <v>524</v>
      </c>
      <c r="M13" s="676" t="s">
        <v>525</v>
      </c>
      <c r="N13" s="676" t="s">
        <v>526</v>
      </c>
      <c r="O13" s="675" t="s">
        <v>517</v>
      </c>
      <c r="P13" s="675" t="s">
        <v>290</v>
      </c>
      <c r="Q13" s="675" t="s">
        <v>532</v>
      </c>
      <c r="R13" s="676" t="s">
        <v>527</v>
      </c>
      <c r="S13" s="676" t="s">
        <v>528</v>
      </c>
      <c r="T13" s="677" t="s">
        <v>529</v>
      </c>
      <c r="U13" s="675" t="s">
        <v>502</v>
      </c>
      <c r="V13" s="675" t="s">
        <v>502</v>
      </c>
      <c r="W13" s="675" t="s">
        <v>502</v>
      </c>
      <c r="X13" s="678" t="s">
        <v>504</v>
      </c>
      <c r="Y13" s="666" t="s">
        <v>535</v>
      </c>
      <c r="Z13" s="667" t="s">
        <v>536</v>
      </c>
      <c r="AA13" s="668" t="s">
        <v>532</v>
      </c>
      <c r="AB13" s="668" t="s">
        <v>532</v>
      </c>
      <c r="AC13" s="668" t="s">
        <v>532</v>
      </c>
      <c r="AD13" s="668" t="s">
        <v>532</v>
      </c>
      <c r="AE13" s="669" t="s">
        <v>532</v>
      </c>
      <c r="AF13" s="741" t="s">
        <v>535</v>
      </c>
      <c r="AG13" s="742" t="s">
        <v>536</v>
      </c>
      <c r="AH13" s="743" t="s">
        <v>532</v>
      </c>
      <c r="AI13" s="743" t="s">
        <v>532</v>
      </c>
      <c r="AJ13" s="743" t="s">
        <v>532</v>
      </c>
      <c r="AK13" s="743" t="s">
        <v>532</v>
      </c>
      <c r="AL13" s="744" t="s">
        <v>532</v>
      </c>
    </row>
    <row r="14" spans="2:38" ht="30" x14ac:dyDescent="0.45">
      <c r="B14" s="639" t="s">
        <v>4</v>
      </c>
      <c r="C14" s="600" t="s">
        <v>5</v>
      </c>
      <c r="D14" s="570" t="s">
        <v>6</v>
      </c>
      <c r="E14" s="570" t="s">
        <v>112</v>
      </c>
      <c r="F14" s="570" t="s">
        <v>114</v>
      </c>
      <c r="G14" s="1014" t="s">
        <v>115</v>
      </c>
      <c r="H14" s="1014"/>
      <c r="I14" s="1172"/>
      <c r="J14" s="791" t="s">
        <v>21</v>
      </c>
      <c r="K14" s="675" t="s">
        <v>496</v>
      </c>
      <c r="L14" s="675" t="s">
        <v>497</v>
      </c>
      <c r="M14" s="675" t="s">
        <v>498</v>
      </c>
      <c r="N14" s="675" t="s">
        <v>499</v>
      </c>
      <c r="O14" s="676" t="s">
        <v>552</v>
      </c>
      <c r="P14" s="675" t="s">
        <v>512</v>
      </c>
      <c r="Q14" s="675" t="s">
        <v>503</v>
      </c>
      <c r="R14" s="675" t="s">
        <v>553</v>
      </c>
      <c r="S14" s="675" t="s">
        <v>513</v>
      </c>
      <c r="T14" s="675" t="s">
        <v>514</v>
      </c>
      <c r="U14" s="675" t="s">
        <v>554</v>
      </c>
      <c r="V14" s="675" t="s">
        <v>515</v>
      </c>
      <c r="W14" s="675" t="s">
        <v>555</v>
      </c>
      <c r="X14" s="678" t="s">
        <v>516</v>
      </c>
      <c r="Y14" s="670" t="s">
        <v>556</v>
      </c>
      <c r="Z14" s="671" t="s">
        <v>557</v>
      </c>
      <c r="AA14" s="671" t="s">
        <v>558</v>
      </c>
      <c r="AB14" s="671" t="s">
        <v>559</v>
      </c>
      <c r="AC14" s="671" t="s">
        <v>560</v>
      </c>
      <c r="AD14" s="671" t="s">
        <v>561</v>
      </c>
      <c r="AE14" s="672" t="s">
        <v>562</v>
      </c>
      <c r="AF14" s="745" t="s">
        <v>563</v>
      </c>
      <c r="AG14" s="746" t="s">
        <v>564</v>
      </c>
      <c r="AH14" s="746" t="s">
        <v>565</v>
      </c>
      <c r="AI14" s="746" t="s">
        <v>566</v>
      </c>
      <c r="AJ14" s="746" t="s">
        <v>567</v>
      </c>
      <c r="AK14" s="746" t="s">
        <v>568</v>
      </c>
      <c r="AL14" s="747" t="s">
        <v>569</v>
      </c>
    </row>
    <row r="15" spans="2:38" ht="15.5" x14ac:dyDescent="0.45">
      <c r="B15" s="812">
        <v>9</v>
      </c>
      <c r="C15" s="439" t="s">
        <v>24</v>
      </c>
      <c r="D15" s="448"/>
      <c r="E15" s="452">
        <v>1</v>
      </c>
      <c r="F15" s="448" t="s">
        <v>12</v>
      </c>
      <c r="G15" s="471" t="s">
        <v>128</v>
      </c>
      <c r="H15" s="443"/>
      <c r="I15" s="965"/>
      <c r="J15" s="789"/>
      <c r="K15" s="789"/>
      <c r="L15" s="789"/>
      <c r="M15" s="789"/>
      <c r="N15" s="789"/>
      <c r="O15" s="789"/>
      <c r="P15" s="789"/>
      <c r="Q15" s="789"/>
      <c r="R15" s="789"/>
      <c r="S15" s="789"/>
      <c r="T15" s="789"/>
      <c r="U15" s="789"/>
      <c r="V15" s="789"/>
      <c r="W15" s="789"/>
      <c r="X15" s="789"/>
      <c r="Y15" s="789"/>
      <c r="Z15" s="789"/>
      <c r="AA15" s="789"/>
      <c r="AB15" s="789"/>
      <c r="AC15" s="789"/>
      <c r="AD15" s="789"/>
      <c r="AE15" s="789"/>
      <c r="AF15" s="789"/>
      <c r="AG15" s="789"/>
      <c r="AH15" s="789"/>
      <c r="AI15" s="789"/>
      <c r="AJ15" s="789"/>
      <c r="AK15" s="789"/>
      <c r="AL15" s="790"/>
    </row>
    <row r="16" spans="2:38" x14ac:dyDescent="0.45">
      <c r="B16" s="783"/>
      <c r="C16" s="249"/>
      <c r="D16" s="285"/>
      <c r="E16" s="295"/>
      <c r="F16" s="207" t="s">
        <v>4</v>
      </c>
      <c r="G16" s="213" t="s">
        <v>120</v>
      </c>
      <c r="H16" s="231"/>
      <c r="I16" s="968"/>
      <c r="J16" s="792">
        <f>RAP!E31</f>
        <v>48.9</v>
      </c>
      <c r="K16" s="601">
        <v>4</v>
      </c>
      <c r="L16" s="319"/>
      <c r="M16" s="319"/>
      <c r="N16" s="319"/>
      <c r="O16" s="598"/>
      <c r="P16" s="598"/>
      <c r="Q16" s="605"/>
      <c r="R16" s="485"/>
      <c r="S16" s="485"/>
      <c r="T16" s="485"/>
      <c r="U16" s="752">
        <f>SUM(R16:R29)+(SUM(S16:S29)+SUM(T16:T29))</f>
        <v>43847500</v>
      </c>
      <c r="V16" s="754">
        <f>RAP!H31</f>
        <v>51047321.25</v>
      </c>
      <c r="W16" s="752">
        <f>V16-U16</f>
        <v>7199821.25</v>
      </c>
      <c r="X16" s="760">
        <f>W16/V16*100</f>
        <v>14.104209728732828</v>
      </c>
      <c r="Y16" s="755">
        <f>SUM(R16:R29)/J16</f>
        <v>181186.09406952964</v>
      </c>
      <c r="Z16" s="757">
        <v>180000</v>
      </c>
      <c r="AA16" s="758">
        <f>J16*Z16</f>
        <v>8802000</v>
      </c>
      <c r="AB16" s="758">
        <f>SUM(S16:S29)+SUM(T16:T29)</f>
        <v>34987500</v>
      </c>
      <c r="AC16" s="752">
        <f>AA16+AB16</f>
        <v>43789500</v>
      </c>
      <c r="AD16" s="752">
        <f>V16-AC16</f>
        <v>7257821.25</v>
      </c>
      <c r="AE16" s="760">
        <f>AD16/V16*100</f>
        <v>14.21782979454578</v>
      </c>
      <c r="AF16" s="755">
        <f>(SUM(R16:R29)+SUM(S16:S29))/J16</f>
        <v>896676.891615542</v>
      </c>
      <c r="AG16" s="757">
        <v>875000</v>
      </c>
      <c r="AH16" s="758">
        <f>AG16*J16</f>
        <v>42787500</v>
      </c>
      <c r="AI16" s="758">
        <f>SUM(T16:T29)</f>
        <v>0</v>
      </c>
      <c r="AJ16" s="752">
        <f>AH16+AI16</f>
        <v>42787500</v>
      </c>
      <c r="AK16" s="752">
        <f>V16-AJ16</f>
        <v>8259821.25</v>
      </c>
      <c r="AL16" s="760">
        <f>AK16/V16*100</f>
        <v>16.180714379797156</v>
      </c>
    </row>
    <row r="17" spans="2:38" x14ac:dyDescent="0.45">
      <c r="B17" s="813"/>
      <c r="C17" s="297"/>
      <c r="D17" s="211" t="s">
        <v>107</v>
      </c>
      <c r="E17" s="298">
        <v>1.5</v>
      </c>
      <c r="F17" s="267" t="s">
        <v>108</v>
      </c>
      <c r="G17" s="235" t="s">
        <v>51</v>
      </c>
      <c r="H17" s="209"/>
      <c r="I17" s="966"/>
      <c r="J17" s="475"/>
      <c r="K17" s="602"/>
      <c r="L17" s="433">
        <f>E17*J16/K16</f>
        <v>18.337499999999999</v>
      </c>
      <c r="M17" s="433"/>
      <c r="N17" s="433"/>
      <c r="O17" s="597">
        <v>18</v>
      </c>
      <c r="P17" s="596" t="str">
        <f>F17</f>
        <v>OH</v>
      </c>
      <c r="Q17" s="608">
        <f>'Analisa Upah RAP'!G5</f>
        <v>75000</v>
      </c>
      <c r="R17" s="453">
        <f>O17*Q17*K16</f>
        <v>5400000</v>
      </c>
      <c r="S17" s="453"/>
      <c r="T17" s="453"/>
      <c r="U17" s="753"/>
      <c r="V17" s="753"/>
      <c r="W17" s="753"/>
      <c r="X17" s="761"/>
      <c r="Y17" s="756"/>
      <c r="Z17" s="759"/>
      <c r="AA17" s="759"/>
      <c r="AB17" s="759"/>
      <c r="AC17" s="753"/>
      <c r="AD17" s="753"/>
      <c r="AE17" s="761"/>
      <c r="AF17" s="756"/>
      <c r="AG17" s="759"/>
      <c r="AH17" s="759"/>
      <c r="AI17" s="759"/>
      <c r="AJ17" s="753"/>
      <c r="AK17" s="753"/>
      <c r="AL17" s="761"/>
    </row>
    <row r="18" spans="2:38" x14ac:dyDescent="0.45">
      <c r="B18" s="813"/>
      <c r="C18" s="297"/>
      <c r="D18" s="211" t="s">
        <v>121</v>
      </c>
      <c r="E18" s="299">
        <v>0.75</v>
      </c>
      <c r="F18" s="267" t="s">
        <v>108</v>
      </c>
      <c r="G18" s="235" t="s">
        <v>57</v>
      </c>
      <c r="H18" s="209"/>
      <c r="I18" s="966"/>
      <c r="J18" s="475"/>
      <c r="K18" s="602"/>
      <c r="L18" s="433">
        <f>E18*J16/K16</f>
        <v>9.1687499999999993</v>
      </c>
      <c r="M18" s="433"/>
      <c r="N18" s="433"/>
      <c r="O18" s="597">
        <v>9</v>
      </c>
      <c r="P18" s="596" t="str">
        <f>F18</f>
        <v>OH</v>
      </c>
      <c r="Q18" s="608">
        <f>'Analisa Upah RAP'!G7</f>
        <v>85000</v>
      </c>
      <c r="R18" s="453">
        <f>O18*Q18*K16</f>
        <v>3060000</v>
      </c>
      <c r="S18" s="453"/>
      <c r="T18" s="453"/>
      <c r="U18" s="753"/>
      <c r="V18" s="753"/>
      <c r="W18" s="753"/>
      <c r="X18" s="761"/>
      <c r="Y18" s="756"/>
      <c r="Z18" s="759"/>
      <c r="AA18" s="759"/>
      <c r="AB18" s="759"/>
      <c r="AC18" s="753"/>
      <c r="AD18" s="753"/>
      <c r="AE18" s="761"/>
      <c r="AF18" s="756"/>
      <c r="AG18" s="759"/>
      <c r="AH18" s="759"/>
      <c r="AI18" s="759"/>
      <c r="AJ18" s="753"/>
      <c r="AK18" s="753"/>
      <c r="AL18" s="761"/>
    </row>
    <row r="19" spans="2:38" x14ac:dyDescent="0.45">
      <c r="B19" s="813"/>
      <c r="C19" s="297"/>
      <c r="D19" s="211" t="s">
        <v>122</v>
      </c>
      <c r="E19" s="299">
        <v>7.4999999999999997E-2</v>
      </c>
      <c r="F19" s="267" t="s">
        <v>108</v>
      </c>
      <c r="G19" s="235" t="s">
        <v>123</v>
      </c>
      <c r="H19" s="209"/>
      <c r="I19" s="966"/>
      <c r="J19" s="475"/>
      <c r="K19" s="602"/>
      <c r="L19" s="433">
        <f>E19*J16/K16</f>
        <v>0.91687499999999988</v>
      </c>
      <c r="M19" s="433"/>
      <c r="N19" s="433"/>
      <c r="O19" s="597">
        <v>0</v>
      </c>
      <c r="P19" s="596" t="str">
        <f>F19</f>
        <v>OH</v>
      </c>
      <c r="Q19" s="608">
        <f>'Analisa Upah RAP'!G11</f>
        <v>90000</v>
      </c>
      <c r="R19" s="453">
        <f>O19*Q19*K16</f>
        <v>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813"/>
      <c r="C20" s="297"/>
      <c r="D20" s="253" t="s">
        <v>109</v>
      </c>
      <c r="E20" s="300">
        <v>7.4999999999999997E-2</v>
      </c>
      <c r="F20" s="275" t="s">
        <v>108</v>
      </c>
      <c r="G20" s="282" t="s">
        <v>52</v>
      </c>
      <c r="H20" s="229"/>
      <c r="I20" s="967"/>
      <c r="J20" s="475"/>
      <c r="K20" s="602"/>
      <c r="L20" s="433">
        <f>E20*J16/K16</f>
        <v>0.91687499999999988</v>
      </c>
      <c r="M20" s="433"/>
      <c r="N20" s="433"/>
      <c r="O20" s="597">
        <v>1</v>
      </c>
      <c r="P20" s="596" t="str">
        <f>F20</f>
        <v>OH</v>
      </c>
      <c r="Q20" s="608">
        <f>'Analisa Upah RAP'!G12</f>
        <v>100000</v>
      </c>
      <c r="R20" s="453">
        <f>O20*Q20*K16</f>
        <v>400000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784"/>
      <c r="C21" s="250"/>
      <c r="D21" s="285"/>
      <c r="E21" s="295"/>
      <c r="F21" s="207" t="s">
        <v>5</v>
      </c>
      <c r="G21" s="213" t="s">
        <v>124</v>
      </c>
      <c r="H21" s="231"/>
      <c r="I21" s="968"/>
      <c r="J21" s="475"/>
      <c r="K21" s="602"/>
      <c r="L21" s="433"/>
      <c r="M21" s="433"/>
      <c r="N21" s="433"/>
      <c r="O21" s="597"/>
      <c r="P21" s="596"/>
      <c r="Q21" s="608"/>
      <c r="R21" s="453"/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x14ac:dyDescent="0.45">
      <c r="B22" s="813"/>
      <c r="C22" s="297"/>
      <c r="D22" s="279"/>
      <c r="E22" s="298">
        <v>1.2</v>
      </c>
      <c r="F22" s="267" t="s">
        <v>65</v>
      </c>
      <c r="G22" s="235" t="s">
        <v>285</v>
      </c>
      <c r="H22" s="209"/>
      <c r="I22" s="966"/>
      <c r="J22" s="475"/>
      <c r="K22" s="602"/>
      <c r="L22" s="433"/>
      <c r="M22" s="433">
        <f>E22*J16</f>
        <v>58.679999999999993</v>
      </c>
      <c r="N22" s="433"/>
      <c r="O22" s="597">
        <v>59</v>
      </c>
      <c r="P22" s="596" t="str">
        <f>F22</f>
        <v>m3</v>
      </c>
      <c r="Q22" s="608">
        <f>'Harga Bahan RAP'!G6</f>
        <v>300000</v>
      </c>
      <c r="R22" s="453"/>
      <c r="S22" s="453">
        <f t="shared" ref="S22:S24" si="0">O22*Q22</f>
        <v>17700000</v>
      </c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813"/>
      <c r="C23" s="297"/>
      <c r="D23" s="817"/>
      <c r="E23" s="818">
        <f>163/40</f>
        <v>4.0750000000000002</v>
      </c>
      <c r="F23" s="819" t="s">
        <v>347</v>
      </c>
      <c r="G23" s="820" t="s">
        <v>125</v>
      </c>
      <c r="H23" s="821"/>
      <c r="I23" s="977"/>
      <c r="J23" s="475"/>
      <c r="K23" s="602"/>
      <c r="L23" s="433"/>
      <c r="M23" s="433">
        <f>E23*J16</f>
        <v>199.26750000000001</v>
      </c>
      <c r="N23" s="433"/>
      <c r="O23" s="597">
        <v>200</v>
      </c>
      <c r="P23" s="596" t="str">
        <f>F23</f>
        <v>Zak</v>
      </c>
      <c r="Q23" s="607">
        <f>'Harga Bahan RAP'!G11</f>
        <v>45000</v>
      </c>
      <c r="R23" s="433"/>
      <c r="S23" s="453">
        <f t="shared" si="0"/>
        <v>9000000</v>
      </c>
      <c r="T23" s="43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813"/>
      <c r="C24" s="297"/>
      <c r="D24" s="271"/>
      <c r="E24" s="301">
        <v>0.52</v>
      </c>
      <c r="F24" s="271" t="s">
        <v>65</v>
      </c>
      <c r="G24" s="225" t="s">
        <v>126</v>
      </c>
      <c r="H24" s="226"/>
      <c r="I24" s="974"/>
      <c r="J24" s="475"/>
      <c r="K24" s="602"/>
      <c r="L24" s="433"/>
      <c r="M24" s="433">
        <f>E24*J16</f>
        <v>25.428000000000001</v>
      </c>
      <c r="N24" s="433"/>
      <c r="O24" s="597">
        <v>25.5</v>
      </c>
      <c r="P24" s="596" t="str">
        <f>F24</f>
        <v>m3</v>
      </c>
      <c r="Q24" s="607">
        <f>'Harga Bahan RAP'!G9</f>
        <v>325000</v>
      </c>
      <c r="R24" s="433"/>
      <c r="S24" s="453">
        <f t="shared" si="0"/>
        <v>8287500</v>
      </c>
      <c r="T24" s="43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814"/>
      <c r="C25" s="256"/>
      <c r="D25" s="230"/>
      <c r="E25" s="230"/>
      <c r="F25" s="207" t="s">
        <v>6</v>
      </c>
      <c r="G25" s="213" t="s">
        <v>111</v>
      </c>
      <c r="H25" s="244"/>
      <c r="I25" s="969"/>
      <c r="J25" s="475"/>
      <c r="K25" s="602"/>
      <c r="L25" s="433"/>
      <c r="M25" s="433"/>
      <c r="N25" s="433"/>
      <c r="O25" s="597"/>
      <c r="P25" s="596"/>
      <c r="Q25" s="608"/>
      <c r="R25" s="433"/>
      <c r="S25" s="433"/>
      <c r="T25" s="433"/>
      <c r="U25" s="433"/>
      <c r="V25" s="433"/>
      <c r="W25" s="433"/>
      <c r="X25" s="659"/>
      <c r="Y25" s="661"/>
      <c r="Z25" s="433"/>
      <c r="AA25" s="433"/>
      <c r="AB25" s="433"/>
      <c r="AC25" s="433"/>
      <c r="AD25" s="433"/>
      <c r="AE25" s="644"/>
      <c r="AF25" s="661"/>
      <c r="AG25" s="433"/>
      <c r="AH25" s="433"/>
      <c r="AI25" s="433"/>
      <c r="AJ25" s="433"/>
      <c r="AK25" s="433"/>
      <c r="AL25" s="644"/>
    </row>
    <row r="26" spans="2:38" x14ac:dyDescent="0.45">
      <c r="B26" s="814"/>
      <c r="C26" s="256"/>
      <c r="D26" s="230"/>
      <c r="E26" s="234">
        <v>0</v>
      </c>
      <c r="F26" s="211" t="s">
        <v>154</v>
      </c>
      <c r="G26" s="235" t="s">
        <v>154</v>
      </c>
      <c r="H26" s="244"/>
      <c r="I26" s="969"/>
      <c r="J26" s="475"/>
      <c r="K26" s="602"/>
      <c r="L26" s="433"/>
      <c r="M26" s="433"/>
      <c r="N26" s="433">
        <f>E26*J16</f>
        <v>0</v>
      </c>
      <c r="O26" s="597"/>
      <c r="P26" s="596" t="str">
        <f>F26</f>
        <v>-</v>
      </c>
      <c r="Q26" s="608"/>
      <c r="R26" s="433"/>
      <c r="S26" s="433"/>
      <c r="T26" s="433">
        <f>O26*Q26</f>
        <v>0</v>
      </c>
      <c r="U26" s="433"/>
      <c r="V26" s="433"/>
      <c r="W26" s="433"/>
      <c r="X26" s="659"/>
      <c r="Y26" s="661"/>
      <c r="Z26" s="433"/>
      <c r="AA26" s="433"/>
      <c r="AB26" s="433"/>
      <c r="AC26" s="433"/>
      <c r="AD26" s="433"/>
      <c r="AE26" s="644"/>
      <c r="AF26" s="661"/>
      <c r="AG26" s="433"/>
      <c r="AH26" s="433"/>
      <c r="AI26" s="433"/>
      <c r="AJ26" s="433"/>
      <c r="AK26" s="433"/>
      <c r="AL26" s="644"/>
    </row>
    <row r="27" spans="2:38" x14ac:dyDescent="0.45">
      <c r="B27" s="814"/>
      <c r="C27" s="256"/>
      <c r="D27" s="272"/>
      <c r="E27" s="272"/>
      <c r="F27" s="207" t="s">
        <v>112</v>
      </c>
      <c r="G27" s="208" t="s">
        <v>113</v>
      </c>
      <c r="H27" s="244"/>
      <c r="I27" s="969"/>
      <c r="J27" s="475"/>
      <c r="K27" s="602"/>
      <c r="L27" s="433"/>
      <c r="M27" s="433"/>
      <c r="N27" s="433"/>
      <c r="O27" s="433"/>
      <c r="P27" s="433"/>
      <c r="Q27" s="595"/>
      <c r="R27" s="433"/>
      <c r="S27" s="433"/>
      <c r="T27" s="433"/>
      <c r="U27" s="433"/>
      <c r="V27" s="433"/>
      <c r="W27" s="433"/>
      <c r="X27" s="659"/>
      <c r="Y27" s="661"/>
      <c r="Z27" s="433"/>
      <c r="AA27" s="433"/>
      <c r="AB27" s="433"/>
      <c r="AC27" s="433"/>
      <c r="AD27" s="433"/>
      <c r="AE27" s="644"/>
      <c r="AF27" s="661"/>
      <c r="AG27" s="433"/>
      <c r="AH27" s="433"/>
      <c r="AI27" s="433"/>
      <c r="AJ27" s="433"/>
      <c r="AK27" s="433"/>
      <c r="AL27" s="644"/>
    </row>
    <row r="28" spans="2:38" x14ac:dyDescent="0.45">
      <c r="B28" s="814"/>
      <c r="C28" s="256"/>
      <c r="D28" s="272"/>
      <c r="E28" s="272"/>
      <c r="F28" s="207" t="s">
        <v>114</v>
      </c>
      <c r="G28" s="257" t="s">
        <v>166</v>
      </c>
      <c r="H28" s="244"/>
      <c r="I28" s="970">
        <v>0.15</v>
      </c>
      <c r="J28" s="475"/>
      <c r="K28" s="602"/>
      <c r="L28" s="433"/>
      <c r="M28" s="433"/>
      <c r="N28" s="433"/>
      <c r="O28" s="433"/>
      <c r="P28" s="433"/>
      <c r="Q28" s="595"/>
      <c r="R28" s="433"/>
      <c r="S28" s="433"/>
      <c r="T28" s="433"/>
      <c r="U28" s="433"/>
      <c r="V28" s="433"/>
      <c r="W28" s="433"/>
      <c r="X28" s="659"/>
      <c r="Y28" s="661"/>
      <c r="Z28" s="433"/>
      <c r="AA28" s="433"/>
      <c r="AB28" s="433"/>
      <c r="AC28" s="433"/>
      <c r="AD28" s="433"/>
      <c r="AE28" s="644"/>
      <c r="AF28" s="661"/>
      <c r="AG28" s="433"/>
      <c r="AH28" s="433"/>
      <c r="AI28" s="433"/>
      <c r="AJ28" s="433"/>
      <c r="AK28" s="433"/>
      <c r="AL28" s="644"/>
    </row>
    <row r="29" spans="2:38" ht="17" thickBot="1" x14ac:dyDescent="0.5">
      <c r="B29" s="815"/>
      <c r="C29" s="652"/>
      <c r="D29" s="796"/>
      <c r="E29" s="796"/>
      <c r="F29" s="649" t="s">
        <v>115</v>
      </c>
      <c r="G29" s="816" t="s">
        <v>127</v>
      </c>
      <c r="H29" s="651"/>
      <c r="I29" s="971"/>
      <c r="J29" s="793"/>
      <c r="K29" s="763"/>
      <c r="L29" s="655"/>
      <c r="M29" s="655"/>
      <c r="N29" s="655"/>
      <c r="O29" s="655"/>
      <c r="P29" s="655"/>
      <c r="Q29" s="654"/>
      <c r="R29" s="655"/>
      <c r="S29" s="655"/>
      <c r="T29" s="655"/>
      <c r="U29" s="655"/>
      <c r="V29" s="655"/>
      <c r="W29" s="655"/>
      <c r="X29" s="660"/>
      <c r="Y29" s="662"/>
      <c r="Z29" s="655"/>
      <c r="AA29" s="655"/>
      <c r="AB29" s="655"/>
      <c r="AC29" s="655"/>
      <c r="AD29" s="655"/>
      <c r="AE29" s="656"/>
      <c r="AF29" s="662"/>
      <c r="AG29" s="655"/>
      <c r="AH29" s="655"/>
      <c r="AI29" s="655"/>
      <c r="AJ29" s="655"/>
      <c r="AK29" s="655"/>
      <c r="AL29" s="656"/>
    </row>
    <row r="30" spans="2:38" x14ac:dyDescent="0.45">
      <c r="B30" s="241"/>
      <c r="C30" s="241"/>
      <c r="D30" s="294"/>
      <c r="E30" s="294"/>
      <c r="F30" s="276"/>
      <c r="G30" s="257"/>
      <c r="H30" s="241"/>
      <c r="I30" s="241"/>
      <c r="J30" s="609"/>
      <c r="K30" s="782"/>
      <c r="L30" s="609"/>
      <c r="M30" s="609"/>
      <c r="N30" s="609"/>
      <c r="O30" s="609"/>
      <c r="P30" s="609"/>
      <c r="Q30" s="604"/>
      <c r="R30" s="609"/>
      <c r="S30" s="609"/>
      <c r="T30" s="609"/>
      <c r="U30" s="609"/>
      <c r="V30" s="609"/>
      <c r="W30" s="609"/>
      <c r="X30" s="609"/>
      <c r="Y30" s="609"/>
      <c r="Z30" s="609"/>
      <c r="AA30" s="609"/>
      <c r="AB30" s="609"/>
      <c r="AC30" s="609"/>
      <c r="AD30" s="609"/>
      <c r="AE30" s="609"/>
      <c r="AF30" s="609"/>
      <c r="AG30" s="609"/>
      <c r="AH30" s="609"/>
      <c r="AI30" s="609"/>
      <c r="AJ30" s="609"/>
      <c r="AK30" s="609"/>
      <c r="AL30" s="609"/>
    </row>
  </sheetData>
  <mergeCells count="15">
    <mergeCell ref="G11:I13"/>
    <mergeCell ref="G14:I14"/>
    <mergeCell ref="J11:X11"/>
    <mergeCell ref="B11:B13"/>
    <mergeCell ref="C11:C13"/>
    <mergeCell ref="D11:D13"/>
    <mergeCell ref="E11:E13"/>
    <mergeCell ref="F11:F13"/>
    <mergeCell ref="AF11:AL11"/>
    <mergeCell ref="J12:J13"/>
    <mergeCell ref="L12:P12"/>
    <mergeCell ref="R12:T12"/>
    <mergeCell ref="Y12:Z12"/>
    <mergeCell ref="AF12:AG12"/>
    <mergeCell ref="Y11:AE1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3D94-C99F-4516-989F-853E9A07F2CE}">
  <sheetPr>
    <tabColor rgb="FFFFFF00"/>
  </sheetPr>
  <dimension ref="A1:AL381"/>
  <sheetViews>
    <sheetView view="pageBreakPreview" topLeftCell="A238" zoomScale="72" zoomScaleNormal="100" zoomScaleSheetLayoutView="72" workbookViewId="0">
      <selection activeCell="S227" sqref="S227:S228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RAP!B33</f>
        <v xml:space="preserve">PEKERJAAN BETON 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ht="17" thickBot="1" x14ac:dyDescent="0.5">
      <c r="B11" s="749" t="s">
        <v>607</v>
      </c>
      <c r="C11" s="750" t="str">
        <f>RAP!B34</f>
        <v>Lantai Kerja (Rabat Beton) dibawah Foot Plat T=10 cm</v>
      </c>
      <c r="D11" s="241"/>
      <c r="E11" s="241"/>
      <c r="F11" s="276"/>
      <c r="G11" s="240"/>
      <c r="H11" s="241"/>
      <c r="I11" s="241"/>
      <c r="J11" s="604"/>
      <c r="K11" s="603"/>
      <c r="L11" s="604"/>
      <c r="M11" s="604"/>
      <c r="N11" s="604"/>
      <c r="O11" s="604"/>
      <c r="P11" s="604"/>
      <c r="Q11" s="604"/>
      <c r="R11" s="609"/>
      <c r="S11" s="609"/>
      <c r="T11" s="609"/>
      <c r="U11" s="609"/>
      <c r="V11" s="609"/>
      <c r="W11" s="609"/>
      <c r="X11" s="609"/>
      <c r="Y11" s="609"/>
      <c r="Z11" s="609"/>
      <c r="AA11" s="609"/>
      <c r="AB11" s="609"/>
      <c r="AC11" s="609"/>
      <c r="AD11" s="609"/>
      <c r="AE11" s="609"/>
      <c r="AF11" s="609"/>
      <c r="AG11" s="609"/>
      <c r="AH11" s="609"/>
      <c r="AI11" s="609"/>
      <c r="AJ11" s="609"/>
      <c r="AK11" s="609"/>
      <c r="AL11" s="609"/>
    </row>
    <row r="12" spans="2:38" ht="19.5" customHeight="1" x14ac:dyDescent="0.45">
      <c r="B12" s="1168" t="s">
        <v>99</v>
      </c>
      <c r="C12" s="1171" t="s">
        <v>100</v>
      </c>
      <c r="D12" s="1171" t="s">
        <v>89</v>
      </c>
      <c r="E12" s="1171" t="s">
        <v>101</v>
      </c>
      <c r="F12" s="1171" t="s">
        <v>102</v>
      </c>
      <c r="G12" s="1109" t="s">
        <v>103</v>
      </c>
      <c r="H12" s="1110"/>
      <c r="I12" s="1175"/>
      <c r="J12" s="1152" t="s">
        <v>539</v>
      </c>
      <c r="K12" s="1152"/>
      <c r="L12" s="1152"/>
      <c r="M12" s="1152"/>
      <c r="N12" s="1152"/>
      <c r="O12" s="1152"/>
      <c r="P12" s="1152"/>
      <c r="Q12" s="1152"/>
      <c r="R12" s="1152"/>
      <c r="S12" s="1152"/>
      <c r="T12" s="1152"/>
      <c r="U12" s="1152"/>
      <c r="V12" s="1152"/>
      <c r="W12" s="1152"/>
      <c r="X12" s="1152"/>
      <c r="Y12" s="1153" t="s">
        <v>540</v>
      </c>
      <c r="Z12" s="1154"/>
      <c r="AA12" s="1154"/>
      <c r="AB12" s="1154"/>
      <c r="AC12" s="1154"/>
      <c r="AD12" s="1154"/>
      <c r="AE12" s="1155"/>
      <c r="AF12" s="1156" t="s">
        <v>541</v>
      </c>
      <c r="AG12" s="1157"/>
      <c r="AH12" s="1157"/>
      <c r="AI12" s="1157"/>
      <c r="AJ12" s="1157"/>
      <c r="AK12" s="1157"/>
      <c r="AL12" s="1158"/>
    </row>
    <row r="13" spans="2:38" ht="45" x14ac:dyDescent="0.45">
      <c r="B13" s="1169"/>
      <c r="C13" s="1089"/>
      <c r="D13" s="1089"/>
      <c r="E13" s="1089"/>
      <c r="F13" s="1089"/>
      <c r="G13" s="1026"/>
      <c r="H13" s="1027"/>
      <c r="I13" s="1176"/>
      <c r="J13" s="1173" t="s">
        <v>15</v>
      </c>
      <c r="K13" s="673" t="s">
        <v>493</v>
      </c>
      <c r="L13" s="1161" t="s">
        <v>491</v>
      </c>
      <c r="M13" s="1162"/>
      <c r="N13" s="1162"/>
      <c r="O13" s="1162"/>
      <c r="P13" s="1163"/>
      <c r="Q13" s="674" t="s">
        <v>533</v>
      </c>
      <c r="R13" s="1161" t="s">
        <v>501</v>
      </c>
      <c r="S13" s="1162"/>
      <c r="T13" s="1163"/>
      <c r="U13" s="674" t="s">
        <v>530</v>
      </c>
      <c r="V13" s="674" t="s">
        <v>531</v>
      </c>
      <c r="W13" s="674" t="s">
        <v>578</v>
      </c>
      <c r="X13" s="681" t="s">
        <v>579</v>
      </c>
      <c r="Y13" s="1164" t="s">
        <v>534</v>
      </c>
      <c r="Z13" s="1165"/>
      <c r="AA13" s="663" t="s">
        <v>537</v>
      </c>
      <c r="AB13" s="664" t="s">
        <v>538</v>
      </c>
      <c r="AC13" s="665" t="s">
        <v>530</v>
      </c>
      <c r="AD13" s="665" t="s">
        <v>578</v>
      </c>
      <c r="AE13" s="682" t="s">
        <v>579</v>
      </c>
      <c r="AF13" s="1166" t="s">
        <v>542</v>
      </c>
      <c r="AG13" s="1167"/>
      <c r="AH13" s="737" t="s">
        <v>543</v>
      </c>
      <c r="AI13" s="738" t="s">
        <v>544</v>
      </c>
      <c r="AJ13" s="739" t="s">
        <v>530</v>
      </c>
      <c r="AK13" s="739" t="s">
        <v>578</v>
      </c>
      <c r="AL13" s="740" t="s">
        <v>579</v>
      </c>
    </row>
    <row r="14" spans="2:38" ht="30" x14ac:dyDescent="0.45">
      <c r="B14" s="1170"/>
      <c r="C14" s="1090"/>
      <c r="D14" s="1090"/>
      <c r="E14" s="1090"/>
      <c r="F14" s="1090"/>
      <c r="G14" s="1085"/>
      <c r="H14" s="1086"/>
      <c r="I14" s="1177"/>
      <c r="J14" s="1174"/>
      <c r="K14" s="675" t="s">
        <v>495</v>
      </c>
      <c r="L14" s="676" t="s">
        <v>524</v>
      </c>
      <c r="M14" s="676" t="s">
        <v>525</v>
      </c>
      <c r="N14" s="676" t="s">
        <v>526</v>
      </c>
      <c r="O14" s="675" t="s">
        <v>517</v>
      </c>
      <c r="P14" s="675" t="s">
        <v>290</v>
      </c>
      <c r="Q14" s="675" t="s">
        <v>532</v>
      </c>
      <c r="R14" s="676" t="s">
        <v>527</v>
      </c>
      <c r="S14" s="676" t="s">
        <v>528</v>
      </c>
      <c r="T14" s="677" t="s">
        <v>529</v>
      </c>
      <c r="U14" s="675" t="s">
        <v>502</v>
      </c>
      <c r="V14" s="675" t="s">
        <v>502</v>
      </c>
      <c r="W14" s="675" t="s">
        <v>502</v>
      </c>
      <c r="X14" s="678" t="s">
        <v>504</v>
      </c>
      <c r="Y14" s="666" t="s">
        <v>535</v>
      </c>
      <c r="Z14" s="667" t="s">
        <v>536</v>
      </c>
      <c r="AA14" s="668" t="s">
        <v>532</v>
      </c>
      <c r="AB14" s="668" t="s">
        <v>532</v>
      </c>
      <c r="AC14" s="668" t="s">
        <v>532</v>
      </c>
      <c r="AD14" s="668" t="s">
        <v>532</v>
      </c>
      <c r="AE14" s="669" t="s">
        <v>532</v>
      </c>
      <c r="AF14" s="741" t="s">
        <v>535</v>
      </c>
      <c r="AG14" s="742" t="s">
        <v>536</v>
      </c>
      <c r="AH14" s="743" t="s">
        <v>532</v>
      </c>
      <c r="AI14" s="743" t="s">
        <v>532</v>
      </c>
      <c r="AJ14" s="743" t="s">
        <v>532</v>
      </c>
      <c r="AK14" s="743" t="s">
        <v>532</v>
      </c>
      <c r="AL14" s="744" t="s">
        <v>532</v>
      </c>
    </row>
    <row r="15" spans="2:38" ht="30" x14ac:dyDescent="0.45">
      <c r="B15" s="639" t="s">
        <v>4</v>
      </c>
      <c r="C15" s="600" t="s">
        <v>5</v>
      </c>
      <c r="D15" s="570" t="s">
        <v>6</v>
      </c>
      <c r="E15" s="570" t="s">
        <v>112</v>
      </c>
      <c r="F15" s="570" t="s">
        <v>114</v>
      </c>
      <c r="G15" s="1014" t="s">
        <v>115</v>
      </c>
      <c r="H15" s="1014"/>
      <c r="I15" s="1172"/>
      <c r="J15" s="791" t="s">
        <v>21</v>
      </c>
      <c r="K15" s="675" t="s">
        <v>496</v>
      </c>
      <c r="L15" s="675" t="s">
        <v>497</v>
      </c>
      <c r="M15" s="675" t="s">
        <v>498</v>
      </c>
      <c r="N15" s="675" t="s">
        <v>499</v>
      </c>
      <c r="O15" s="676" t="s">
        <v>552</v>
      </c>
      <c r="P15" s="675" t="s">
        <v>512</v>
      </c>
      <c r="Q15" s="675" t="s">
        <v>503</v>
      </c>
      <c r="R15" s="675" t="s">
        <v>553</v>
      </c>
      <c r="S15" s="675" t="s">
        <v>513</v>
      </c>
      <c r="T15" s="675" t="s">
        <v>514</v>
      </c>
      <c r="U15" s="675" t="s">
        <v>554</v>
      </c>
      <c r="V15" s="675" t="s">
        <v>515</v>
      </c>
      <c r="W15" s="675" t="s">
        <v>555</v>
      </c>
      <c r="X15" s="678" t="s">
        <v>516</v>
      </c>
      <c r="Y15" s="670" t="s">
        <v>556</v>
      </c>
      <c r="Z15" s="671" t="s">
        <v>557</v>
      </c>
      <c r="AA15" s="671" t="s">
        <v>558</v>
      </c>
      <c r="AB15" s="671" t="s">
        <v>559</v>
      </c>
      <c r="AC15" s="671" t="s">
        <v>560</v>
      </c>
      <c r="AD15" s="671" t="s">
        <v>561</v>
      </c>
      <c r="AE15" s="672" t="s">
        <v>562</v>
      </c>
      <c r="AF15" s="745" t="s">
        <v>563</v>
      </c>
      <c r="AG15" s="746" t="s">
        <v>564</v>
      </c>
      <c r="AH15" s="746" t="s">
        <v>565</v>
      </c>
      <c r="AI15" s="746" t="s">
        <v>566</v>
      </c>
      <c r="AJ15" s="746" t="s">
        <v>567</v>
      </c>
      <c r="AK15" s="746" t="s">
        <v>568</v>
      </c>
      <c r="AL15" s="747" t="s">
        <v>569</v>
      </c>
    </row>
    <row r="16" spans="2:38" ht="15.5" x14ac:dyDescent="0.45">
      <c r="B16" s="839">
        <v>1</v>
      </c>
      <c r="C16" s="478" t="s">
        <v>242</v>
      </c>
      <c r="D16" s="478"/>
      <c r="E16" s="1081">
        <v>1</v>
      </c>
      <c r="F16" s="1069" t="s">
        <v>12</v>
      </c>
      <c r="G16" s="493" t="s">
        <v>241</v>
      </c>
      <c r="H16" s="458"/>
      <c r="I16" s="972"/>
      <c r="J16" s="828"/>
      <c r="K16" s="828"/>
      <c r="L16" s="828"/>
      <c r="M16" s="828"/>
      <c r="N16" s="828"/>
      <c r="O16" s="828"/>
      <c r="P16" s="828"/>
      <c r="Q16" s="828"/>
      <c r="R16" s="828"/>
      <c r="S16" s="828"/>
      <c r="T16" s="828"/>
      <c r="U16" s="828"/>
      <c r="V16" s="828"/>
      <c r="W16" s="828"/>
      <c r="X16" s="828"/>
      <c r="Y16" s="828"/>
      <c r="Z16" s="828"/>
      <c r="AA16" s="828"/>
      <c r="AB16" s="828"/>
      <c r="AC16" s="828"/>
      <c r="AD16" s="828"/>
      <c r="AE16" s="828"/>
      <c r="AF16" s="828"/>
      <c r="AG16" s="828"/>
      <c r="AH16" s="828"/>
      <c r="AI16" s="828"/>
      <c r="AJ16" s="828"/>
      <c r="AK16" s="828"/>
      <c r="AL16" s="829"/>
    </row>
    <row r="17" spans="2:38" ht="15.5" x14ac:dyDescent="0.45">
      <c r="B17" s="764"/>
      <c r="C17" s="509"/>
      <c r="D17" s="508"/>
      <c r="E17" s="1082"/>
      <c r="F17" s="1070"/>
      <c r="G17" s="510" t="s">
        <v>240</v>
      </c>
      <c r="H17" s="494"/>
      <c r="I17" s="978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89"/>
      <c r="AG17" s="789"/>
      <c r="AH17" s="789"/>
      <c r="AI17" s="789"/>
      <c r="AJ17" s="789"/>
      <c r="AK17" s="789"/>
      <c r="AL17" s="790"/>
    </row>
    <row r="18" spans="2:38" x14ac:dyDescent="0.45">
      <c r="B18" s="813"/>
      <c r="C18" s="256"/>
      <c r="D18" s="341"/>
      <c r="E18" s="342"/>
      <c r="F18" s="202" t="s">
        <v>4</v>
      </c>
      <c r="G18" s="204" t="s">
        <v>120</v>
      </c>
      <c r="H18" s="226"/>
      <c r="I18" s="974"/>
      <c r="J18" s="792">
        <f>RAP!E34</f>
        <v>4.2</v>
      </c>
      <c r="K18" s="601">
        <v>1</v>
      </c>
      <c r="L18" s="319"/>
      <c r="M18" s="319"/>
      <c r="N18" s="319"/>
      <c r="O18" s="598"/>
      <c r="P18" s="598"/>
      <c r="Q18" s="605"/>
      <c r="R18" s="485"/>
      <c r="S18" s="485"/>
      <c r="T18" s="485"/>
      <c r="U18" s="752">
        <f>SUM(R18:R32)+(SUM(S18:S32)+SUM(T18:T32))</f>
        <v>3591780</v>
      </c>
      <c r="V18" s="754">
        <f>RAP!H34</f>
        <v>3787492.8</v>
      </c>
      <c r="W18" s="752">
        <f>V18-U18</f>
        <v>195712.79999999981</v>
      </c>
      <c r="X18" s="760">
        <f>W18/V18*100</f>
        <v>5.1673444765360301</v>
      </c>
      <c r="Y18" s="755">
        <f>SUM(R18:R32)/J18</f>
        <v>133333.33333333331</v>
      </c>
      <c r="Z18" s="757">
        <v>125000</v>
      </c>
      <c r="AA18" s="758">
        <f>J18*Z18</f>
        <v>525000</v>
      </c>
      <c r="AB18" s="758">
        <f>SUM(S18:S32)+SUM(T18:T32)</f>
        <v>3031780</v>
      </c>
      <c r="AC18" s="752">
        <f>AA18+AB18</f>
        <v>3556780</v>
      </c>
      <c r="AD18" s="752">
        <f>V18-AC18</f>
        <v>230712.79999999981</v>
      </c>
      <c r="AE18" s="760">
        <f>AD18/V18*100</f>
        <v>6.0914386424708136</v>
      </c>
      <c r="AF18" s="755">
        <f>(SUM(R18:R32)+SUM(S18:S32))/J18</f>
        <v>819471.42857142852</v>
      </c>
      <c r="AG18" s="757">
        <v>800000</v>
      </c>
      <c r="AH18" s="758">
        <f>AG18*J18</f>
        <v>3360000</v>
      </c>
      <c r="AI18" s="758">
        <f>SUM(T18:T32)</f>
        <v>150000</v>
      </c>
      <c r="AJ18" s="752">
        <f>AH18+AI18</f>
        <v>3510000</v>
      </c>
      <c r="AK18" s="752">
        <f>V18-AJ18</f>
        <v>277492.79999999981</v>
      </c>
      <c r="AL18" s="760">
        <f>AK18/V18*100</f>
        <v>7.326556501968791</v>
      </c>
    </row>
    <row r="19" spans="2:38" x14ac:dyDescent="0.45">
      <c r="B19" s="813"/>
      <c r="C19" s="256"/>
      <c r="D19" s="279" t="s">
        <v>107</v>
      </c>
      <c r="E19" s="299">
        <v>1.2</v>
      </c>
      <c r="F19" s="211" t="s">
        <v>108</v>
      </c>
      <c r="G19" s="209" t="s">
        <v>51</v>
      </c>
      <c r="H19" s="209"/>
      <c r="I19" s="966"/>
      <c r="J19" s="475"/>
      <c r="K19" s="602"/>
      <c r="L19" s="433">
        <f>E19*J18/K18</f>
        <v>5.04</v>
      </c>
      <c r="M19" s="433"/>
      <c r="N19" s="433"/>
      <c r="O19" s="597">
        <v>5</v>
      </c>
      <c r="P19" s="596" t="str">
        <f>F19</f>
        <v>OH</v>
      </c>
      <c r="Q19" s="608">
        <f>'Analisa Upah RAP'!G5</f>
        <v>75000</v>
      </c>
      <c r="R19" s="453">
        <f>O19*Q19*K18</f>
        <v>375000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813"/>
      <c r="C20" s="256"/>
      <c r="D20" s="279" t="s">
        <v>121</v>
      </c>
      <c r="E20" s="299">
        <v>0.2</v>
      </c>
      <c r="F20" s="211" t="s">
        <v>108</v>
      </c>
      <c r="G20" s="209" t="s">
        <v>134</v>
      </c>
      <c r="H20" s="209"/>
      <c r="I20" s="966"/>
      <c r="J20" s="475"/>
      <c r="K20" s="602"/>
      <c r="L20" s="433">
        <f>E20*J18/K18</f>
        <v>0.84000000000000008</v>
      </c>
      <c r="M20" s="433"/>
      <c r="N20" s="433"/>
      <c r="O20" s="597">
        <v>1</v>
      </c>
      <c r="P20" s="596" t="str">
        <f>F20</f>
        <v>OH</v>
      </c>
      <c r="Q20" s="608">
        <f>'Analisa Upah RAP'!G7</f>
        <v>85000</v>
      </c>
      <c r="R20" s="453">
        <f>O20*Q20*K18</f>
        <v>85000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813"/>
      <c r="C21" s="256"/>
      <c r="D21" s="279" t="s">
        <v>122</v>
      </c>
      <c r="E21" s="299">
        <v>0.02</v>
      </c>
      <c r="F21" s="211" t="s">
        <v>108</v>
      </c>
      <c r="G21" s="209" t="s">
        <v>123</v>
      </c>
      <c r="H21" s="209"/>
      <c r="I21" s="966"/>
      <c r="J21" s="475"/>
      <c r="K21" s="602"/>
      <c r="L21" s="433">
        <f>E21*J18/K18</f>
        <v>8.4000000000000005E-2</v>
      </c>
      <c r="M21" s="433"/>
      <c r="N21" s="433"/>
      <c r="O21" s="597">
        <v>0</v>
      </c>
      <c r="P21" s="596" t="str">
        <f>F21</f>
        <v>OH</v>
      </c>
      <c r="Q21" s="608">
        <f>'Analisa Upah RAP'!G11</f>
        <v>90000</v>
      </c>
      <c r="R21" s="453">
        <f>O21*Q21*K18</f>
        <v>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x14ac:dyDescent="0.45">
      <c r="B22" s="813"/>
      <c r="C22" s="256"/>
      <c r="D22" s="343" t="s">
        <v>109</v>
      </c>
      <c r="E22" s="300">
        <v>6.0000000000000001E-3</v>
      </c>
      <c r="F22" s="253" t="s">
        <v>108</v>
      </c>
      <c r="G22" s="229" t="s">
        <v>52</v>
      </c>
      <c r="H22" s="229"/>
      <c r="I22" s="967"/>
      <c r="J22" s="475"/>
      <c r="K22" s="602"/>
      <c r="L22" s="433">
        <f>E22*J18/K18</f>
        <v>2.52E-2</v>
      </c>
      <c r="M22" s="433"/>
      <c r="N22" s="433"/>
      <c r="O22" s="597">
        <v>1</v>
      </c>
      <c r="P22" s="596" t="str">
        <f>F22</f>
        <v>OH</v>
      </c>
      <c r="Q22" s="608">
        <f>'Analisa Upah RAP'!G12</f>
        <v>100000</v>
      </c>
      <c r="R22" s="453">
        <f>O22*Q22*K18</f>
        <v>100000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813"/>
      <c r="C23" s="256"/>
      <c r="D23" s="344"/>
      <c r="E23" s="299"/>
      <c r="F23" s="207" t="s">
        <v>5</v>
      </c>
      <c r="G23" s="231" t="s">
        <v>124</v>
      </c>
      <c r="H23" s="209"/>
      <c r="I23" s="966"/>
      <c r="J23" s="475"/>
      <c r="K23" s="602"/>
      <c r="L23" s="433"/>
      <c r="M23" s="433"/>
      <c r="N23" s="433"/>
      <c r="O23" s="597"/>
      <c r="P23" s="596"/>
      <c r="Q23" s="608"/>
      <c r="R23" s="453"/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813"/>
      <c r="C24" s="256"/>
      <c r="D24" s="836"/>
      <c r="E24" s="818">
        <f>230/40</f>
        <v>5.75</v>
      </c>
      <c r="F24" s="837" t="s">
        <v>347</v>
      </c>
      <c r="G24" s="821" t="s">
        <v>129</v>
      </c>
      <c r="H24" s="821"/>
      <c r="I24" s="977"/>
      <c r="J24" s="475"/>
      <c r="K24" s="602"/>
      <c r="L24" s="433"/>
      <c r="M24" s="433">
        <f>E24*J18</f>
        <v>24.150000000000002</v>
      </c>
      <c r="N24" s="433"/>
      <c r="O24" s="597">
        <v>24</v>
      </c>
      <c r="P24" s="596" t="str">
        <f>F24</f>
        <v>Zak</v>
      </c>
      <c r="Q24" s="608">
        <f>'Harga Bahan RAP'!G11</f>
        <v>45000</v>
      </c>
      <c r="R24" s="453"/>
      <c r="S24" s="453">
        <f t="shared" ref="S24:S27" si="0">O24*Q24</f>
        <v>1080000</v>
      </c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813"/>
      <c r="C25" s="256"/>
      <c r="D25" s="344"/>
      <c r="E25" s="299">
        <v>0.55800000000000005</v>
      </c>
      <c r="F25" s="211" t="s">
        <v>12</v>
      </c>
      <c r="G25" s="209" t="s">
        <v>135</v>
      </c>
      <c r="H25" s="209"/>
      <c r="I25" s="966"/>
      <c r="J25" s="475"/>
      <c r="K25" s="602"/>
      <c r="L25" s="433"/>
      <c r="M25" s="433">
        <f>E25*J18</f>
        <v>2.3436000000000003</v>
      </c>
      <c r="N25" s="433"/>
      <c r="O25" s="597">
        <v>2.5</v>
      </c>
      <c r="P25" s="596" t="str">
        <f>F25</f>
        <v>M3</v>
      </c>
      <c r="Q25" s="607">
        <f>'Harga Bahan RAP'!G9</f>
        <v>325000</v>
      </c>
      <c r="R25" s="433"/>
      <c r="S25" s="453">
        <f t="shared" si="0"/>
        <v>812500</v>
      </c>
      <c r="T25" s="43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x14ac:dyDescent="0.45">
      <c r="B26" s="813"/>
      <c r="C26" s="256"/>
      <c r="D26" s="345"/>
      <c r="E26" s="300">
        <v>0.70799999999999996</v>
      </c>
      <c r="F26" s="253" t="s">
        <v>12</v>
      </c>
      <c r="G26" s="229" t="s">
        <v>136</v>
      </c>
      <c r="H26" s="229"/>
      <c r="I26" s="967"/>
      <c r="J26" s="475"/>
      <c r="K26" s="602"/>
      <c r="L26" s="433"/>
      <c r="M26" s="433">
        <f>E26*J18</f>
        <v>2.9735999999999998</v>
      </c>
      <c r="N26" s="433"/>
      <c r="O26" s="597">
        <v>3</v>
      </c>
      <c r="P26" s="596" t="str">
        <f>F26</f>
        <v>M3</v>
      </c>
      <c r="Q26" s="607">
        <f>'Harga Bahan RAP'!G7</f>
        <v>325000</v>
      </c>
      <c r="R26" s="433"/>
      <c r="S26" s="453">
        <f t="shared" si="0"/>
        <v>975000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x14ac:dyDescent="0.45">
      <c r="B27" s="813"/>
      <c r="C27" s="256"/>
      <c r="D27" s="344"/>
      <c r="E27" s="280">
        <v>200</v>
      </c>
      <c r="F27" s="211" t="s">
        <v>81</v>
      </c>
      <c r="G27" s="209" t="s">
        <v>88</v>
      </c>
      <c r="H27" s="209"/>
      <c r="I27" s="966"/>
      <c r="J27" s="475"/>
      <c r="K27" s="602"/>
      <c r="L27" s="433"/>
      <c r="M27" s="433">
        <f>E27*J18</f>
        <v>840</v>
      </c>
      <c r="N27" s="433"/>
      <c r="O27" s="597">
        <v>840</v>
      </c>
      <c r="P27" s="596" t="str">
        <f>F27</f>
        <v>ltr</v>
      </c>
      <c r="Q27" s="607">
        <f>Q73</f>
        <v>17</v>
      </c>
      <c r="R27" s="433"/>
      <c r="S27" s="453">
        <f t="shared" si="0"/>
        <v>14280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x14ac:dyDescent="0.45">
      <c r="B28" s="813"/>
      <c r="C28" s="277"/>
      <c r="D28" s="230"/>
      <c r="E28" s="230"/>
      <c r="F28" s="207" t="s">
        <v>6</v>
      </c>
      <c r="G28" s="213" t="s">
        <v>111</v>
      </c>
      <c r="H28" s="244"/>
      <c r="I28" s="969"/>
      <c r="J28" s="475"/>
      <c r="K28" s="602"/>
      <c r="L28" s="433"/>
      <c r="M28" s="433"/>
      <c r="N28" s="433"/>
      <c r="O28" s="597"/>
      <c r="P28" s="596"/>
      <c r="Q28" s="608"/>
      <c r="R28" s="433"/>
      <c r="S28" s="433"/>
      <c r="T28" s="433"/>
      <c r="U28" s="433"/>
      <c r="V28" s="433"/>
      <c r="W28" s="433"/>
      <c r="X28" s="659"/>
      <c r="Y28" s="661"/>
      <c r="Z28" s="433"/>
      <c r="AA28" s="433"/>
      <c r="AB28" s="433"/>
      <c r="AC28" s="433"/>
      <c r="AD28" s="433"/>
      <c r="AE28" s="644"/>
      <c r="AF28" s="661"/>
      <c r="AG28" s="433"/>
      <c r="AH28" s="433"/>
      <c r="AI28" s="433"/>
      <c r="AJ28" s="433"/>
      <c r="AK28" s="433"/>
      <c r="AL28" s="644"/>
    </row>
    <row r="29" spans="2:38" x14ac:dyDescent="0.45">
      <c r="B29" s="813"/>
      <c r="C29" s="277"/>
      <c r="D29" s="843"/>
      <c r="E29" s="848"/>
      <c r="F29" s="844"/>
      <c r="G29" s="845" t="s">
        <v>619</v>
      </c>
      <c r="H29" s="846"/>
      <c r="I29" s="979"/>
      <c r="J29" s="475"/>
      <c r="K29" s="602"/>
      <c r="L29" s="433"/>
      <c r="M29" s="433"/>
      <c r="N29" s="433">
        <f>E29*J18</f>
        <v>0</v>
      </c>
      <c r="O29" s="597">
        <v>1</v>
      </c>
      <c r="P29" s="596" t="s">
        <v>318</v>
      </c>
      <c r="Q29" s="608">
        <f>'Harga Alat RAP'!G35</f>
        <v>150000</v>
      </c>
      <c r="R29" s="433"/>
      <c r="S29" s="433"/>
      <c r="T29" s="433">
        <f>O29*Q29</f>
        <v>150000</v>
      </c>
      <c r="U29" s="433"/>
      <c r="V29" s="433"/>
      <c r="W29" s="433"/>
      <c r="X29" s="659"/>
      <c r="Y29" s="661"/>
      <c r="Z29" s="433"/>
      <c r="AA29" s="433"/>
      <c r="AB29" s="433"/>
      <c r="AC29" s="433"/>
      <c r="AD29" s="433"/>
      <c r="AE29" s="644"/>
      <c r="AF29" s="661"/>
      <c r="AG29" s="433"/>
      <c r="AH29" s="433"/>
      <c r="AI29" s="433"/>
      <c r="AJ29" s="433"/>
      <c r="AK29" s="433"/>
      <c r="AL29" s="644"/>
    </row>
    <row r="30" spans="2:38" x14ac:dyDescent="0.45">
      <c r="B30" s="813"/>
      <c r="C30" s="277"/>
      <c r="D30" s="279"/>
      <c r="E30" s="346"/>
      <c r="F30" s="207" t="s">
        <v>112</v>
      </c>
      <c r="G30" s="208" t="s">
        <v>113</v>
      </c>
      <c r="H30" s="209"/>
      <c r="I30" s="966"/>
      <c r="J30" s="475"/>
      <c r="K30" s="602"/>
      <c r="L30" s="433"/>
      <c r="M30" s="433"/>
      <c r="N30" s="433"/>
      <c r="O30" s="433"/>
      <c r="P30" s="433"/>
      <c r="Q30" s="595"/>
      <c r="R30" s="433"/>
      <c r="S30" s="433"/>
      <c r="T30" s="433"/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x14ac:dyDescent="0.45">
      <c r="B31" s="813"/>
      <c r="C31" s="277"/>
      <c r="D31" s="343"/>
      <c r="E31" s="347"/>
      <c r="F31" s="239" t="s">
        <v>114</v>
      </c>
      <c r="G31" s="257" t="s">
        <v>166</v>
      </c>
      <c r="H31" s="229"/>
      <c r="I31" s="980">
        <v>0.15</v>
      </c>
      <c r="J31" s="475"/>
      <c r="K31" s="602"/>
      <c r="L31" s="433"/>
      <c r="M31" s="433"/>
      <c r="N31" s="433"/>
      <c r="O31" s="433"/>
      <c r="P31" s="433"/>
      <c r="Q31" s="595"/>
      <c r="R31" s="433"/>
      <c r="S31" s="433"/>
      <c r="T31" s="433"/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ht="17" thickBot="1" x14ac:dyDescent="0.5">
      <c r="B32" s="830"/>
      <c r="C32" s="831"/>
      <c r="D32" s="832"/>
      <c r="E32" s="833"/>
      <c r="F32" s="834" t="s">
        <v>115</v>
      </c>
      <c r="G32" s="816" t="s">
        <v>127</v>
      </c>
      <c r="H32" s="835"/>
      <c r="I32" s="981"/>
      <c r="J32" s="793"/>
      <c r="K32" s="763"/>
      <c r="L32" s="655"/>
      <c r="M32" s="655"/>
      <c r="N32" s="655"/>
      <c r="O32" s="655"/>
      <c r="P32" s="655"/>
      <c r="Q32" s="654"/>
      <c r="R32" s="655"/>
      <c r="S32" s="655"/>
      <c r="T32" s="655"/>
      <c r="U32" s="655"/>
      <c r="V32" s="655"/>
      <c r="W32" s="655"/>
      <c r="X32" s="660"/>
      <c r="Y32" s="662"/>
      <c r="Z32" s="655"/>
      <c r="AA32" s="655"/>
      <c r="AB32" s="655"/>
      <c r="AC32" s="655"/>
      <c r="AD32" s="655"/>
      <c r="AE32" s="656"/>
      <c r="AF32" s="662"/>
      <c r="AG32" s="655"/>
      <c r="AH32" s="655"/>
      <c r="AI32" s="655"/>
      <c r="AJ32" s="655"/>
      <c r="AK32" s="655"/>
      <c r="AL32" s="656"/>
    </row>
    <row r="33" spans="2:38" x14ac:dyDescent="0.45">
      <c r="D33" s="112"/>
      <c r="E33" s="195"/>
      <c r="G33" s="111"/>
      <c r="H33" s="111"/>
      <c r="I33" s="111"/>
      <c r="Z33" s="657"/>
      <c r="AA33" s="657"/>
      <c r="AB33" s="657"/>
      <c r="AC33" s="657"/>
      <c r="AD33" s="657"/>
      <c r="AE33" s="657"/>
      <c r="AG33" s="657"/>
      <c r="AH33" s="657"/>
      <c r="AI33" s="657"/>
      <c r="AJ33" s="657"/>
      <c r="AK33" s="657"/>
      <c r="AL33" s="657"/>
    </row>
    <row r="34" spans="2:38" ht="17" thickBot="1" x14ac:dyDescent="0.5">
      <c r="B34" s="749" t="s">
        <v>609</v>
      </c>
      <c r="C34" s="750" t="str">
        <f>RAP!B35</f>
        <v>Lantai Kerja (Rabat Beton) Lantai 1 T=10 cm</v>
      </c>
      <c r="D34" s="241"/>
      <c r="E34" s="241"/>
      <c r="F34" s="276"/>
      <c r="G34" s="240"/>
      <c r="H34" s="241"/>
      <c r="I34" s="241"/>
      <c r="J34" s="604"/>
      <c r="K34" s="603"/>
      <c r="L34" s="604"/>
      <c r="M34" s="604"/>
      <c r="N34" s="604"/>
      <c r="O34" s="604"/>
      <c r="P34" s="604"/>
      <c r="Q34" s="604"/>
      <c r="R34" s="609"/>
      <c r="S34" s="609"/>
      <c r="T34" s="609"/>
      <c r="U34" s="609"/>
      <c r="V34" s="609"/>
      <c r="W34" s="609"/>
      <c r="X34" s="609"/>
      <c r="Y34" s="609"/>
      <c r="Z34" s="609"/>
      <c r="AA34" s="609"/>
      <c r="AB34" s="609"/>
      <c r="AC34" s="609"/>
      <c r="AD34" s="609"/>
      <c r="AE34" s="609"/>
      <c r="AF34" s="609"/>
      <c r="AG34" s="609"/>
      <c r="AH34" s="609"/>
      <c r="AI34" s="609"/>
      <c r="AJ34" s="609"/>
      <c r="AK34" s="609"/>
      <c r="AL34" s="609"/>
    </row>
    <row r="35" spans="2:38" ht="19.5" customHeight="1" x14ac:dyDescent="0.45">
      <c r="B35" s="1168" t="s">
        <v>99</v>
      </c>
      <c r="C35" s="1171" t="s">
        <v>100</v>
      </c>
      <c r="D35" s="1171" t="s">
        <v>89</v>
      </c>
      <c r="E35" s="1171" t="s">
        <v>101</v>
      </c>
      <c r="F35" s="1171" t="s">
        <v>102</v>
      </c>
      <c r="G35" s="1109" t="s">
        <v>103</v>
      </c>
      <c r="H35" s="1110"/>
      <c r="I35" s="1175"/>
      <c r="J35" s="1152" t="s">
        <v>539</v>
      </c>
      <c r="K35" s="1152"/>
      <c r="L35" s="1152"/>
      <c r="M35" s="1152"/>
      <c r="N35" s="1152"/>
      <c r="O35" s="1152"/>
      <c r="P35" s="1152"/>
      <c r="Q35" s="1152"/>
      <c r="R35" s="1152"/>
      <c r="S35" s="1152"/>
      <c r="T35" s="1152"/>
      <c r="U35" s="1152"/>
      <c r="V35" s="1152"/>
      <c r="W35" s="1152"/>
      <c r="X35" s="1152"/>
      <c r="Y35" s="1153" t="s">
        <v>540</v>
      </c>
      <c r="Z35" s="1154"/>
      <c r="AA35" s="1154"/>
      <c r="AB35" s="1154"/>
      <c r="AC35" s="1154"/>
      <c r="AD35" s="1154"/>
      <c r="AE35" s="1155"/>
      <c r="AF35" s="1156" t="s">
        <v>541</v>
      </c>
      <c r="AG35" s="1157"/>
      <c r="AH35" s="1157"/>
      <c r="AI35" s="1157"/>
      <c r="AJ35" s="1157"/>
      <c r="AK35" s="1157"/>
      <c r="AL35" s="1158"/>
    </row>
    <row r="36" spans="2:38" ht="45" x14ac:dyDescent="0.45">
      <c r="B36" s="1169"/>
      <c r="C36" s="1089"/>
      <c r="D36" s="1089"/>
      <c r="E36" s="1089"/>
      <c r="F36" s="1089"/>
      <c r="G36" s="1026"/>
      <c r="H36" s="1027"/>
      <c r="I36" s="1176"/>
      <c r="J36" s="1173" t="s">
        <v>15</v>
      </c>
      <c r="K36" s="673" t="s">
        <v>493</v>
      </c>
      <c r="L36" s="1161" t="s">
        <v>491</v>
      </c>
      <c r="M36" s="1162"/>
      <c r="N36" s="1162"/>
      <c r="O36" s="1162"/>
      <c r="P36" s="1163"/>
      <c r="Q36" s="674" t="s">
        <v>533</v>
      </c>
      <c r="R36" s="1161" t="s">
        <v>501</v>
      </c>
      <c r="S36" s="1162"/>
      <c r="T36" s="1163"/>
      <c r="U36" s="674" t="s">
        <v>530</v>
      </c>
      <c r="V36" s="674" t="s">
        <v>531</v>
      </c>
      <c r="W36" s="674" t="s">
        <v>578</v>
      </c>
      <c r="X36" s="681" t="s">
        <v>579</v>
      </c>
      <c r="Y36" s="1164" t="s">
        <v>534</v>
      </c>
      <c r="Z36" s="1165"/>
      <c r="AA36" s="663" t="s">
        <v>537</v>
      </c>
      <c r="AB36" s="664" t="s">
        <v>538</v>
      </c>
      <c r="AC36" s="665" t="s">
        <v>530</v>
      </c>
      <c r="AD36" s="665" t="s">
        <v>578</v>
      </c>
      <c r="AE36" s="682" t="s">
        <v>579</v>
      </c>
      <c r="AF36" s="1166" t="s">
        <v>542</v>
      </c>
      <c r="AG36" s="1167"/>
      <c r="AH36" s="737" t="s">
        <v>543</v>
      </c>
      <c r="AI36" s="738" t="s">
        <v>544</v>
      </c>
      <c r="AJ36" s="739" t="s">
        <v>530</v>
      </c>
      <c r="AK36" s="739" t="s">
        <v>578</v>
      </c>
      <c r="AL36" s="740" t="s">
        <v>579</v>
      </c>
    </row>
    <row r="37" spans="2:38" ht="30" x14ac:dyDescent="0.45">
      <c r="B37" s="1170"/>
      <c r="C37" s="1090"/>
      <c r="D37" s="1090"/>
      <c r="E37" s="1090"/>
      <c r="F37" s="1090"/>
      <c r="G37" s="1085"/>
      <c r="H37" s="1086"/>
      <c r="I37" s="1177"/>
      <c r="J37" s="1174"/>
      <c r="K37" s="675" t="s">
        <v>495</v>
      </c>
      <c r="L37" s="676" t="s">
        <v>524</v>
      </c>
      <c r="M37" s="676" t="s">
        <v>525</v>
      </c>
      <c r="N37" s="676" t="s">
        <v>526</v>
      </c>
      <c r="O37" s="675" t="s">
        <v>517</v>
      </c>
      <c r="P37" s="675" t="s">
        <v>290</v>
      </c>
      <c r="Q37" s="675" t="s">
        <v>532</v>
      </c>
      <c r="R37" s="676" t="s">
        <v>527</v>
      </c>
      <c r="S37" s="676" t="s">
        <v>528</v>
      </c>
      <c r="T37" s="677" t="s">
        <v>529</v>
      </c>
      <c r="U37" s="675" t="s">
        <v>502</v>
      </c>
      <c r="V37" s="675" t="s">
        <v>502</v>
      </c>
      <c r="W37" s="675" t="s">
        <v>502</v>
      </c>
      <c r="X37" s="678" t="s">
        <v>504</v>
      </c>
      <c r="Y37" s="666" t="s">
        <v>535</v>
      </c>
      <c r="Z37" s="667" t="s">
        <v>536</v>
      </c>
      <c r="AA37" s="668" t="s">
        <v>532</v>
      </c>
      <c r="AB37" s="668" t="s">
        <v>532</v>
      </c>
      <c r="AC37" s="668" t="s">
        <v>532</v>
      </c>
      <c r="AD37" s="668" t="s">
        <v>532</v>
      </c>
      <c r="AE37" s="669" t="s">
        <v>532</v>
      </c>
      <c r="AF37" s="741" t="s">
        <v>535</v>
      </c>
      <c r="AG37" s="742" t="s">
        <v>536</v>
      </c>
      <c r="AH37" s="743" t="s">
        <v>532</v>
      </c>
      <c r="AI37" s="743" t="s">
        <v>532</v>
      </c>
      <c r="AJ37" s="743" t="s">
        <v>532</v>
      </c>
      <c r="AK37" s="743" t="s">
        <v>532</v>
      </c>
      <c r="AL37" s="744" t="s">
        <v>532</v>
      </c>
    </row>
    <row r="38" spans="2:38" ht="30" x14ac:dyDescent="0.45">
      <c r="B38" s="639" t="s">
        <v>4</v>
      </c>
      <c r="C38" s="600" t="s">
        <v>5</v>
      </c>
      <c r="D38" s="570" t="s">
        <v>6</v>
      </c>
      <c r="E38" s="570" t="s">
        <v>112</v>
      </c>
      <c r="F38" s="570" t="s">
        <v>114</v>
      </c>
      <c r="G38" s="1014" t="s">
        <v>115</v>
      </c>
      <c r="H38" s="1014"/>
      <c r="I38" s="1172"/>
      <c r="J38" s="791" t="s">
        <v>21</v>
      </c>
      <c r="K38" s="675" t="s">
        <v>496</v>
      </c>
      <c r="L38" s="675" t="s">
        <v>497</v>
      </c>
      <c r="M38" s="675" t="s">
        <v>498</v>
      </c>
      <c r="N38" s="675" t="s">
        <v>499</v>
      </c>
      <c r="O38" s="676" t="s">
        <v>552</v>
      </c>
      <c r="P38" s="675" t="s">
        <v>512</v>
      </c>
      <c r="Q38" s="675" t="s">
        <v>503</v>
      </c>
      <c r="R38" s="675" t="s">
        <v>553</v>
      </c>
      <c r="S38" s="675" t="s">
        <v>513</v>
      </c>
      <c r="T38" s="675" t="s">
        <v>514</v>
      </c>
      <c r="U38" s="675" t="s">
        <v>554</v>
      </c>
      <c r="V38" s="675" t="s">
        <v>515</v>
      </c>
      <c r="W38" s="675" t="s">
        <v>555</v>
      </c>
      <c r="X38" s="678" t="s">
        <v>516</v>
      </c>
      <c r="Y38" s="670" t="s">
        <v>556</v>
      </c>
      <c r="Z38" s="671" t="s">
        <v>557</v>
      </c>
      <c r="AA38" s="671" t="s">
        <v>558</v>
      </c>
      <c r="AB38" s="671" t="s">
        <v>559</v>
      </c>
      <c r="AC38" s="671" t="s">
        <v>560</v>
      </c>
      <c r="AD38" s="671" t="s">
        <v>561</v>
      </c>
      <c r="AE38" s="672" t="s">
        <v>562</v>
      </c>
      <c r="AF38" s="745" t="s">
        <v>563</v>
      </c>
      <c r="AG38" s="746" t="s">
        <v>564</v>
      </c>
      <c r="AH38" s="746" t="s">
        <v>565</v>
      </c>
      <c r="AI38" s="746" t="s">
        <v>566</v>
      </c>
      <c r="AJ38" s="746" t="s">
        <v>567</v>
      </c>
      <c r="AK38" s="746" t="s">
        <v>568</v>
      </c>
      <c r="AL38" s="747" t="s">
        <v>569</v>
      </c>
    </row>
    <row r="39" spans="2:38" ht="15.5" x14ac:dyDescent="0.45">
      <c r="B39" s="839">
        <v>2</v>
      </c>
      <c r="C39" s="478" t="s">
        <v>242</v>
      </c>
      <c r="D39" s="478"/>
      <c r="E39" s="1081">
        <v>1</v>
      </c>
      <c r="F39" s="1069" t="s">
        <v>12</v>
      </c>
      <c r="G39" s="493" t="s">
        <v>241</v>
      </c>
      <c r="H39" s="458"/>
      <c r="I39" s="972"/>
      <c r="J39" s="828"/>
      <c r="K39" s="828"/>
      <c r="L39" s="828"/>
      <c r="M39" s="828"/>
      <c r="N39" s="828"/>
      <c r="O39" s="828"/>
      <c r="P39" s="828"/>
      <c r="Q39" s="828"/>
      <c r="R39" s="828"/>
      <c r="S39" s="828"/>
      <c r="T39" s="828"/>
      <c r="U39" s="828"/>
      <c r="V39" s="828"/>
      <c r="W39" s="828"/>
      <c r="X39" s="828"/>
      <c r="Y39" s="828"/>
      <c r="Z39" s="828"/>
      <c r="AA39" s="828"/>
      <c r="AB39" s="828"/>
      <c r="AC39" s="828"/>
      <c r="AD39" s="828"/>
      <c r="AE39" s="828"/>
      <c r="AF39" s="828"/>
      <c r="AG39" s="828"/>
      <c r="AH39" s="828"/>
      <c r="AI39" s="828"/>
      <c r="AJ39" s="828"/>
      <c r="AK39" s="828"/>
      <c r="AL39" s="829"/>
    </row>
    <row r="40" spans="2:38" ht="15.5" x14ac:dyDescent="0.45">
      <c r="B40" s="764"/>
      <c r="C40" s="509"/>
      <c r="D40" s="508"/>
      <c r="E40" s="1082"/>
      <c r="F40" s="1070"/>
      <c r="G40" s="510" t="s">
        <v>240</v>
      </c>
      <c r="H40" s="494"/>
      <c r="I40" s="978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90"/>
    </row>
    <row r="41" spans="2:38" x14ac:dyDescent="0.45">
      <c r="B41" s="813"/>
      <c r="C41" s="256"/>
      <c r="D41" s="341"/>
      <c r="E41" s="342"/>
      <c r="F41" s="202" t="s">
        <v>4</v>
      </c>
      <c r="G41" s="204" t="s">
        <v>120</v>
      </c>
      <c r="H41" s="226"/>
      <c r="I41" s="974"/>
      <c r="J41" s="792">
        <f>RAP!E35</f>
        <v>18.62</v>
      </c>
      <c r="K41" s="601">
        <v>2</v>
      </c>
      <c r="L41" s="319"/>
      <c r="M41" s="319"/>
      <c r="N41" s="319"/>
      <c r="O41" s="598"/>
      <c r="P41" s="598"/>
      <c r="Q41" s="605"/>
      <c r="R41" s="485"/>
      <c r="S41" s="485"/>
      <c r="T41" s="485"/>
      <c r="U41" s="752">
        <f>SUM(R41:R55)+(SUM(S41:S55)+SUM(T41:T55))</f>
        <v>14855808</v>
      </c>
      <c r="V41" s="754">
        <f>RAP!H35</f>
        <v>16791218.079999998</v>
      </c>
      <c r="W41" s="752">
        <f>V41-U41</f>
        <v>1935410.0799999982</v>
      </c>
      <c r="X41" s="760">
        <f>W41/V41*100</f>
        <v>11.526323288631831</v>
      </c>
      <c r="Y41" s="755">
        <f>SUM(R41:R55)/J41</f>
        <v>109559.61331901181</v>
      </c>
      <c r="Z41" s="757">
        <v>100000</v>
      </c>
      <c r="AA41" s="758">
        <f>J41*Z41</f>
        <v>1862000</v>
      </c>
      <c r="AB41" s="758">
        <f>SUM(S41:S55)+SUM(T41:T55)</f>
        <v>12815808</v>
      </c>
      <c r="AC41" s="752">
        <f>AA41+AB41</f>
        <v>14677808</v>
      </c>
      <c r="AD41" s="752">
        <f>V41-AC41</f>
        <v>2113410.0799999982</v>
      </c>
      <c r="AE41" s="760">
        <f>AD41/V41*100</f>
        <v>12.586401236234785</v>
      </c>
      <c r="AF41" s="755">
        <f>(SUM(R41:R55)+SUM(S41:S55))/J41</f>
        <v>781729.75295381306</v>
      </c>
      <c r="AG41" s="757">
        <v>750000</v>
      </c>
      <c r="AH41" s="758">
        <f>AG41*J41</f>
        <v>13965000</v>
      </c>
      <c r="AI41" s="758">
        <f>SUM(T41:T55)</f>
        <v>300000</v>
      </c>
      <c r="AJ41" s="752">
        <f>AH41+AI41</f>
        <v>14265000</v>
      </c>
      <c r="AK41" s="752">
        <f>V41-AJ41</f>
        <v>2526218.0799999982</v>
      </c>
      <c r="AL41" s="760">
        <f>AK41/V41*100</f>
        <v>15.044876839572311</v>
      </c>
    </row>
    <row r="42" spans="2:38" x14ac:dyDescent="0.45">
      <c r="B42" s="813"/>
      <c r="C42" s="256"/>
      <c r="D42" s="279" t="s">
        <v>107</v>
      </c>
      <c r="E42" s="299">
        <v>1.2</v>
      </c>
      <c r="F42" s="211" t="s">
        <v>108</v>
      </c>
      <c r="G42" s="209" t="s">
        <v>51</v>
      </c>
      <c r="H42" s="209"/>
      <c r="I42" s="966"/>
      <c r="J42" s="475"/>
      <c r="K42" s="602"/>
      <c r="L42" s="433">
        <f>E42*J41/K41</f>
        <v>11.172000000000001</v>
      </c>
      <c r="M42" s="433"/>
      <c r="N42" s="433"/>
      <c r="O42" s="597">
        <v>10</v>
      </c>
      <c r="P42" s="596" t="str">
        <f>F42</f>
        <v>OH</v>
      </c>
      <c r="Q42" s="608">
        <f>'Analisa Upah RAP'!G5</f>
        <v>75000</v>
      </c>
      <c r="R42" s="453">
        <f>O42*Q42*K41</f>
        <v>1500000</v>
      </c>
      <c r="S42" s="453"/>
      <c r="T42" s="453"/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x14ac:dyDescent="0.45">
      <c r="B43" s="813"/>
      <c r="C43" s="256"/>
      <c r="D43" s="279" t="s">
        <v>121</v>
      </c>
      <c r="E43" s="299">
        <v>0.2</v>
      </c>
      <c r="F43" s="211" t="s">
        <v>108</v>
      </c>
      <c r="G43" s="209" t="s">
        <v>134</v>
      </c>
      <c r="H43" s="209"/>
      <c r="I43" s="966"/>
      <c r="J43" s="475"/>
      <c r="K43" s="602"/>
      <c r="L43" s="433">
        <f>E43*J41/K41</f>
        <v>1.8620000000000001</v>
      </c>
      <c r="M43" s="433"/>
      <c r="N43" s="433"/>
      <c r="O43" s="597">
        <v>2</v>
      </c>
      <c r="P43" s="596" t="str">
        <f>F43</f>
        <v>OH</v>
      </c>
      <c r="Q43" s="608">
        <f>'Analisa Upah RAP'!G7</f>
        <v>85000</v>
      </c>
      <c r="R43" s="453">
        <f>O43*Q43*K41</f>
        <v>340000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x14ac:dyDescent="0.45">
      <c r="B44" s="813"/>
      <c r="C44" s="256"/>
      <c r="D44" s="279" t="s">
        <v>122</v>
      </c>
      <c r="E44" s="299">
        <v>0.02</v>
      </c>
      <c r="F44" s="211" t="s">
        <v>108</v>
      </c>
      <c r="G44" s="209" t="s">
        <v>123</v>
      </c>
      <c r="H44" s="209"/>
      <c r="I44" s="966"/>
      <c r="J44" s="475"/>
      <c r="K44" s="602"/>
      <c r="L44" s="433">
        <f>E44*J41/K41</f>
        <v>0.1862</v>
      </c>
      <c r="M44" s="433"/>
      <c r="N44" s="433"/>
      <c r="O44" s="597">
        <v>0</v>
      </c>
      <c r="P44" s="596" t="str">
        <f>F44</f>
        <v>OH</v>
      </c>
      <c r="Q44" s="608">
        <f>'Analisa Upah RAP'!G11</f>
        <v>90000</v>
      </c>
      <c r="R44" s="453">
        <f>O44*Q44*K41</f>
        <v>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x14ac:dyDescent="0.45">
      <c r="B45" s="813"/>
      <c r="C45" s="256"/>
      <c r="D45" s="343" t="s">
        <v>109</v>
      </c>
      <c r="E45" s="300">
        <v>6.0000000000000001E-3</v>
      </c>
      <c r="F45" s="253" t="s">
        <v>108</v>
      </c>
      <c r="G45" s="229" t="s">
        <v>52</v>
      </c>
      <c r="H45" s="229"/>
      <c r="I45" s="967"/>
      <c r="J45" s="475"/>
      <c r="K45" s="602"/>
      <c r="L45" s="433">
        <f>E45*J41/K41</f>
        <v>5.5860000000000007E-2</v>
      </c>
      <c r="M45" s="433"/>
      <c r="N45" s="433"/>
      <c r="O45" s="597">
        <v>1</v>
      </c>
      <c r="P45" s="596" t="str">
        <f>F45</f>
        <v>OH</v>
      </c>
      <c r="Q45" s="608">
        <f>'Analisa Upah RAP'!G12</f>
        <v>100000</v>
      </c>
      <c r="R45" s="453">
        <f>O45*Q45*K41</f>
        <v>200000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x14ac:dyDescent="0.45">
      <c r="B46" s="813"/>
      <c r="C46" s="256"/>
      <c r="D46" s="344"/>
      <c r="E46" s="299"/>
      <c r="F46" s="207" t="s">
        <v>5</v>
      </c>
      <c r="G46" s="231" t="s">
        <v>124</v>
      </c>
      <c r="H46" s="209"/>
      <c r="I46" s="966"/>
      <c r="J46" s="475"/>
      <c r="K46" s="602"/>
      <c r="L46" s="433"/>
      <c r="M46" s="433"/>
      <c r="N46" s="433"/>
      <c r="O46" s="597"/>
      <c r="P46" s="596"/>
      <c r="Q46" s="608"/>
      <c r="R46" s="453"/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x14ac:dyDescent="0.45">
      <c r="B47" s="813"/>
      <c r="C47" s="256"/>
      <c r="D47" s="836"/>
      <c r="E47" s="818">
        <f>230/40</f>
        <v>5.75</v>
      </c>
      <c r="F47" s="837" t="s">
        <v>347</v>
      </c>
      <c r="G47" s="821" t="s">
        <v>129</v>
      </c>
      <c r="H47" s="821"/>
      <c r="I47" s="977"/>
      <c r="J47" s="475"/>
      <c r="K47" s="602"/>
      <c r="L47" s="433"/>
      <c r="M47" s="433">
        <f>E47*J41</f>
        <v>107.06500000000001</v>
      </c>
      <c r="N47" s="433"/>
      <c r="O47" s="597">
        <v>107</v>
      </c>
      <c r="P47" s="596" t="str">
        <f>F47</f>
        <v>Zak</v>
      </c>
      <c r="Q47" s="608">
        <f>'Harga Bahan RAP'!G11</f>
        <v>45000</v>
      </c>
      <c r="R47" s="453"/>
      <c r="S47" s="453">
        <f t="shared" ref="S47:S50" si="1">O47*Q47</f>
        <v>4815000</v>
      </c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x14ac:dyDescent="0.45">
      <c r="B48" s="813"/>
      <c r="C48" s="256"/>
      <c r="D48" s="344"/>
      <c r="E48" s="299">
        <v>0.55800000000000005</v>
      </c>
      <c r="F48" s="211" t="s">
        <v>12</v>
      </c>
      <c r="G48" s="209" t="s">
        <v>135</v>
      </c>
      <c r="H48" s="209"/>
      <c r="I48" s="966"/>
      <c r="J48" s="475"/>
      <c r="K48" s="602"/>
      <c r="L48" s="433"/>
      <c r="M48" s="433">
        <f>E48*J41</f>
        <v>10.389960000000002</v>
      </c>
      <c r="N48" s="433"/>
      <c r="O48" s="597">
        <v>10.5</v>
      </c>
      <c r="P48" s="596" t="str">
        <f>F48</f>
        <v>M3</v>
      </c>
      <c r="Q48" s="607">
        <f>'Harga Bahan RAP'!G9</f>
        <v>325000</v>
      </c>
      <c r="R48" s="433"/>
      <c r="S48" s="453">
        <f t="shared" si="1"/>
        <v>3412500</v>
      </c>
      <c r="T48" s="43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x14ac:dyDescent="0.45">
      <c r="B49" s="813"/>
      <c r="C49" s="256"/>
      <c r="D49" s="345"/>
      <c r="E49" s="300">
        <v>0.70799999999999996</v>
      </c>
      <c r="F49" s="253" t="s">
        <v>12</v>
      </c>
      <c r="G49" s="229" t="s">
        <v>136</v>
      </c>
      <c r="H49" s="229"/>
      <c r="I49" s="967"/>
      <c r="J49" s="475"/>
      <c r="K49" s="602"/>
      <c r="L49" s="433"/>
      <c r="M49" s="433">
        <f>E49*J41</f>
        <v>13.18296</v>
      </c>
      <c r="N49" s="433"/>
      <c r="O49" s="597">
        <v>13</v>
      </c>
      <c r="P49" s="596" t="str">
        <f>F49</f>
        <v>M3</v>
      </c>
      <c r="Q49" s="607">
        <f>'Harga Bahan RAP'!G7</f>
        <v>325000</v>
      </c>
      <c r="R49" s="433"/>
      <c r="S49" s="453">
        <f t="shared" si="1"/>
        <v>4225000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x14ac:dyDescent="0.45">
      <c r="B50" s="813"/>
      <c r="C50" s="256"/>
      <c r="D50" s="344"/>
      <c r="E50" s="280">
        <v>200</v>
      </c>
      <c r="F50" s="211" t="s">
        <v>81</v>
      </c>
      <c r="G50" s="209" t="s">
        <v>88</v>
      </c>
      <c r="H50" s="209"/>
      <c r="I50" s="966"/>
      <c r="J50" s="475"/>
      <c r="K50" s="602"/>
      <c r="L50" s="433"/>
      <c r="M50" s="433">
        <f>E50*J41</f>
        <v>3724</v>
      </c>
      <c r="N50" s="433"/>
      <c r="O50" s="597">
        <v>3724</v>
      </c>
      <c r="P50" s="596" t="str">
        <f>F50</f>
        <v>ltr</v>
      </c>
      <c r="Q50" s="607">
        <f>Q27</f>
        <v>17</v>
      </c>
      <c r="R50" s="433"/>
      <c r="S50" s="453">
        <f t="shared" si="1"/>
        <v>63308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x14ac:dyDescent="0.45">
      <c r="B51" s="813"/>
      <c r="C51" s="277"/>
      <c r="D51" s="230"/>
      <c r="E51" s="230"/>
      <c r="F51" s="207" t="s">
        <v>6</v>
      </c>
      <c r="G51" s="213" t="s">
        <v>111</v>
      </c>
      <c r="H51" s="244"/>
      <c r="I51" s="969"/>
      <c r="J51" s="475"/>
      <c r="K51" s="602"/>
      <c r="L51" s="433"/>
      <c r="M51" s="433"/>
      <c r="N51" s="433"/>
      <c r="O51" s="597"/>
      <c r="P51" s="596"/>
      <c r="Q51" s="608"/>
      <c r="R51" s="433"/>
      <c r="S51" s="433"/>
      <c r="T51" s="433"/>
      <c r="U51" s="433"/>
      <c r="V51" s="433"/>
      <c r="W51" s="433"/>
      <c r="X51" s="659"/>
      <c r="Y51" s="661"/>
      <c r="Z51" s="433"/>
      <c r="AA51" s="433"/>
      <c r="AB51" s="433"/>
      <c r="AC51" s="433"/>
      <c r="AD51" s="433"/>
      <c r="AE51" s="644"/>
      <c r="AF51" s="661"/>
      <c r="AG51" s="433"/>
      <c r="AH51" s="433"/>
      <c r="AI51" s="433"/>
      <c r="AJ51" s="433"/>
      <c r="AK51" s="433"/>
      <c r="AL51" s="644"/>
    </row>
    <row r="52" spans="2:38" x14ac:dyDescent="0.45">
      <c r="B52" s="813"/>
      <c r="C52" s="277"/>
      <c r="D52" s="843"/>
      <c r="E52" s="848"/>
      <c r="F52" s="844"/>
      <c r="G52" s="845" t="s">
        <v>619</v>
      </c>
      <c r="H52" s="846"/>
      <c r="I52" s="979"/>
      <c r="J52" s="475"/>
      <c r="K52" s="602"/>
      <c r="L52" s="433"/>
      <c r="M52" s="433"/>
      <c r="N52" s="433">
        <f>E52*J41</f>
        <v>0</v>
      </c>
      <c r="O52" s="597">
        <v>2</v>
      </c>
      <c r="P52" s="596" t="s">
        <v>318</v>
      </c>
      <c r="Q52" s="608">
        <f>'Harga Alat RAP'!G35</f>
        <v>150000</v>
      </c>
      <c r="R52" s="433"/>
      <c r="S52" s="433"/>
      <c r="T52" s="433">
        <f>O52*Q52</f>
        <v>300000</v>
      </c>
      <c r="U52" s="433"/>
      <c r="V52" s="433"/>
      <c r="W52" s="433"/>
      <c r="X52" s="659"/>
      <c r="Y52" s="661"/>
      <c r="Z52" s="433"/>
      <c r="AA52" s="433"/>
      <c r="AB52" s="433"/>
      <c r="AC52" s="433"/>
      <c r="AD52" s="433"/>
      <c r="AE52" s="644"/>
      <c r="AF52" s="661"/>
      <c r="AG52" s="433"/>
      <c r="AH52" s="433"/>
      <c r="AI52" s="433"/>
      <c r="AJ52" s="433"/>
      <c r="AK52" s="433"/>
      <c r="AL52" s="644"/>
    </row>
    <row r="53" spans="2:38" x14ac:dyDescent="0.45">
      <c r="B53" s="813"/>
      <c r="C53" s="277"/>
      <c r="D53" s="279"/>
      <c r="E53" s="346"/>
      <c r="F53" s="207" t="s">
        <v>112</v>
      </c>
      <c r="G53" s="208" t="s">
        <v>113</v>
      </c>
      <c r="H53" s="209"/>
      <c r="I53" s="966"/>
      <c r="J53" s="475"/>
      <c r="K53" s="602"/>
      <c r="L53" s="433"/>
      <c r="M53" s="433"/>
      <c r="N53" s="433"/>
      <c r="O53" s="433"/>
      <c r="P53" s="433"/>
      <c r="Q53" s="595"/>
      <c r="R53" s="433"/>
      <c r="S53" s="433"/>
      <c r="T53" s="433"/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x14ac:dyDescent="0.45">
      <c r="B54" s="813"/>
      <c r="C54" s="277"/>
      <c r="D54" s="343"/>
      <c r="E54" s="347"/>
      <c r="F54" s="239" t="s">
        <v>114</v>
      </c>
      <c r="G54" s="257" t="s">
        <v>166</v>
      </c>
      <c r="H54" s="229"/>
      <c r="I54" s="980">
        <v>0.15</v>
      </c>
      <c r="J54" s="475"/>
      <c r="K54" s="602"/>
      <c r="L54" s="433"/>
      <c r="M54" s="433"/>
      <c r="N54" s="433"/>
      <c r="O54" s="433"/>
      <c r="P54" s="433"/>
      <c r="Q54" s="595"/>
      <c r="R54" s="433"/>
      <c r="S54" s="433"/>
      <c r="T54" s="433"/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ht="17" thickBot="1" x14ac:dyDescent="0.5">
      <c r="B55" s="830"/>
      <c r="C55" s="831"/>
      <c r="D55" s="832"/>
      <c r="E55" s="833"/>
      <c r="F55" s="834" t="s">
        <v>115</v>
      </c>
      <c r="G55" s="816" t="s">
        <v>127</v>
      </c>
      <c r="H55" s="835"/>
      <c r="I55" s="981"/>
      <c r="J55" s="793"/>
      <c r="K55" s="763"/>
      <c r="L55" s="655"/>
      <c r="M55" s="655"/>
      <c r="N55" s="655"/>
      <c r="O55" s="655"/>
      <c r="P55" s="655"/>
      <c r="Q55" s="654"/>
      <c r="R55" s="655"/>
      <c r="S55" s="655"/>
      <c r="T55" s="655"/>
      <c r="U55" s="655"/>
      <c r="V55" s="655"/>
      <c r="W55" s="655"/>
      <c r="X55" s="660"/>
      <c r="Y55" s="662"/>
      <c r="Z55" s="655"/>
      <c r="AA55" s="655"/>
      <c r="AB55" s="655"/>
      <c r="AC55" s="655"/>
      <c r="AD55" s="655"/>
      <c r="AE55" s="656"/>
      <c r="AF55" s="662"/>
      <c r="AG55" s="655"/>
      <c r="AH55" s="655"/>
      <c r="AI55" s="655"/>
      <c r="AJ55" s="655"/>
      <c r="AK55" s="655"/>
      <c r="AL55" s="656"/>
    </row>
    <row r="56" spans="2:38" x14ac:dyDescent="0.45">
      <c r="D56" s="112"/>
      <c r="E56" s="195"/>
      <c r="G56" s="111"/>
      <c r="H56" s="111"/>
      <c r="I56" s="111"/>
      <c r="Z56" s="657"/>
      <c r="AA56" s="657"/>
      <c r="AB56" s="657"/>
      <c r="AC56" s="657"/>
      <c r="AD56" s="657"/>
      <c r="AE56" s="657"/>
      <c r="AG56" s="657"/>
      <c r="AH56" s="657"/>
      <c r="AI56" s="657"/>
      <c r="AJ56" s="657"/>
      <c r="AK56" s="657"/>
      <c r="AL56" s="657"/>
    </row>
    <row r="57" spans="2:38" ht="17" thickBot="1" x14ac:dyDescent="0.5">
      <c r="B57" s="749" t="s">
        <v>610</v>
      </c>
      <c r="C57" s="750" t="s">
        <v>617</v>
      </c>
      <c r="D57" s="241"/>
      <c r="E57" s="241"/>
      <c r="F57" s="276"/>
      <c r="G57" s="240"/>
      <c r="H57" s="241"/>
      <c r="I57" s="241"/>
      <c r="J57" s="604"/>
      <c r="K57" s="603"/>
      <c r="L57" s="604"/>
      <c r="M57" s="604"/>
      <c r="N57" s="604"/>
      <c r="O57" s="604"/>
      <c r="P57" s="604"/>
      <c r="Q57" s="604"/>
      <c r="R57" s="609"/>
      <c r="S57" s="609"/>
      <c r="T57" s="609"/>
      <c r="U57" s="609"/>
      <c r="V57" s="609"/>
      <c r="W57" s="609"/>
      <c r="X57" s="609"/>
      <c r="Y57" s="609"/>
      <c r="Z57" s="609"/>
      <c r="AA57" s="609"/>
      <c r="AB57" s="609"/>
      <c r="AC57" s="609"/>
      <c r="AD57" s="609"/>
      <c r="AE57" s="609"/>
      <c r="AF57" s="609"/>
      <c r="AG57" s="609"/>
      <c r="AH57" s="609"/>
      <c r="AI57" s="609"/>
      <c r="AJ57" s="609"/>
      <c r="AK57" s="609"/>
      <c r="AL57" s="609"/>
    </row>
    <row r="58" spans="2:38" ht="19.5" customHeight="1" x14ac:dyDescent="0.45">
      <c r="B58" s="1168" t="s">
        <v>99</v>
      </c>
      <c r="C58" s="1171" t="s">
        <v>100</v>
      </c>
      <c r="D58" s="1171" t="s">
        <v>89</v>
      </c>
      <c r="E58" s="1171" t="s">
        <v>101</v>
      </c>
      <c r="F58" s="1171" t="s">
        <v>102</v>
      </c>
      <c r="G58" s="1109" t="s">
        <v>103</v>
      </c>
      <c r="H58" s="1110"/>
      <c r="I58" s="1175"/>
      <c r="J58" s="1152" t="s">
        <v>539</v>
      </c>
      <c r="K58" s="1152"/>
      <c r="L58" s="1152"/>
      <c r="M58" s="1152"/>
      <c r="N58" s="1152"/>
      <c r="O58" s="1152"/>
      <c r="P58" s="1152"/>
      <c r="Q58" s="1152"/>
      <c r="R58" s="1152"/>
      <c r="S58" s="1152"/>
      <c r="T58" s="1152"/>
      <c r="U58" s="1152"/>
      <c r="V58" s="1152"/>
      <c r="W58" s="1152"/>
      <c r="X58" s="1152"/>
      <c r="Y58" s="1153" t="s">
        <v>540</v>
      </c>
      <c r="Z58" s="1154"/>
      <c r="AA58" s="1154"/>
      <c r="AB58" s="1154"/>
      <c r="AC58" s="1154"/>
      <c r="AD58" s="1154"/>
      <c r="AE58" s="1155"/>
      <c r="AF58" s="1156" t="s">
        <v>541</v>
      </c>
      <c r="AG58" s="1157"/>
      <c r="AH58" s="1157"/>
      <c r="AI58" s="1157"/>
      <c r="AJ58" s="1157"/>
      <c r="AK58" s="1157"/>
      <c r="AL58" s="1158"/>
    </row>
    <row r="59" spans="2:38" ht="45" x14ac:dyDescent="0.45">
      <c r="B59" s="1169"/>
      <c r="C59" s="1089"/>
      <c r="D59" s="1089"/>
      <c r="E59" s="1089"/>
      <c r="F59" s="1089"/>
      <c r="G59" s="1026"/>
      <c r="H59" s="1027"/>
      <c r="I59" s="1176"/>
      <c r="J59" s="1173" t="s">
        <v>15</v>
      </c>
      <c r="K59" s="673" t="s">
        <v>493</v>
      </c>
      <c r="L59" s="1161" t="s">
        <v>491</v>
      </c>
      <c r="M59" s="1162"/>
      <c r="N59" s="1162"/>
      <c r="O59" s="1162"/>
      <c r="P59" s="1163"/>
      <c r="Q59" s="674" t="s">
        <v>533</v>
      </c>
      <c r="R59" s="1161" t="s">
        <v>501</v>
      </c>
      <c r="S59" s="1162"/>
      <c r="T59" s="1163"/>
      <c r="U59" s="674" t="s">
        <v>530</v>
      </c>
      <c r="V59" s="674" t="s">
        <v>531</v>
      </c>
      <c r="W59" s="674" t="s">
        <v>578</v>
      </c>
      <c r="X59" s="681" t="s">
        <v>579</v>
      </c>
      <c r="Y59" s="1164" t="s">
        <v>534</v>
      </c>
      <c r="Z59" s="1165"/>
      <c r="AA59" s="663" t="s">
        <v>537</v>
      </c>
      <c r="AB59" s="664" t="s">
        <v>538</v>
      </c>
      <c r="AC59" s="665" t="s">
        <v>530</v>
      </c>
      <c r="AD59" s="665" t="s">
        <v>578</v>
      </c>
      <c r="AE59" s="682" t="s">
        <v>579</v>
      </c>
      <c r="AF59" s="1166" t="s">
        <v>542</v>
      </c>
      <c r="AG59" s="1167"/>
      <c r="AH59" s="737" t="s">
        <v>543</v>
      </c>
      <c r="AI59" s="738" t="s">
        <v>544</v>
      </c>
      <c r="AJ59" s="739" t="s">
        <v>530</v>
      </c>
      <c r="AK59" s="739" t="s">
        <v>578</v>
      </c>
      <c r="AL59" s="740" t="s">
        <v>579</v>
      </c>
    </row>
    <row r="60" spans="2:38" ht="30" x14ac:dyDescent="0.45">
      <c r="B60" s="1170"/>
      <c r="C60" s="1090"/>
      <c r="D60" s="1090"/>
      <c r="E60" s="1090"/>
      <c r="F60" s="1090"/>
      <c r="G60" s="1085"/>
      <c r="H60" s="1086"/>
      <c r="I60" s="1177"/>
      <c r="J60" s="1174"/>
      <c r="K60" s="675" t="s">
        <v>495</v>
      </c>
      <c r="L60" s="676" t="s">
        <v>524</v>
      </c>
      <c r="M60" s="676" t="s">
        <v>525</v>
      </c>
      <c r="N60" s="676" t="s">
        <v>526</v>
      </c>
      <c r="O60" s="675" t="s">
        <v>517</v>
      </c>
      <c r="P60" s="675" t="s">
        <v>290</v>
      </c>
      <c r="Q60" s="675" t="s">
        <v>532</v>
      </c>
      <c r="R60" s="676" t="s">
        <v>527</v>
      </c>
      <c r="S60" s="676" t="s">
        <v>528</v>
      </c>
      <c r="T60" s="677" t="s">
        <v>529</v>
      </c>
      <c r="U60" s="675" t="s">
        <v>502</v>
      </c>
      <c r="V60" s="675" t="s">
        <v>502</v>
      </c>
      <c r="W60" s="675" t="s">
        <v>502</v>
      </c>
      <c r="X60" s="678" t="s">
        <v>504</v>
      </c>
      <c r="Y60" s="666" t="s">
        <v>535</v>
      </c>
      <c r="Z60" s="667" t="s">
        <v>536</v>
      </c>
      <c r="AA60" s="668" t="s">
        <v>532</v>
      </c>
      <c r="AB60" s="668" t="s">
        <v>532</v>
      </c>
      <c r="AC60" s="668" t="s">
        <v>532</v>
      </c>
      <c r="AD60" s="668" t="s">
        <v>532</v>
      </c>
      <c r="AE60" s="669" t="s">
        <v>532</v>
      </c>
      <c r="AF60" s="741" t="s">
        <v>535</v>
      </c>
      <c r="AG60" s="742" t="s">
        <v>536</v>
      </c>
      <c r="AH60" s="743" t="s">
        <v>532</v>
      </c>
      <c r="AI60" s="743" t="s">
        <v>532</v>
      </c>
      <c r="AJ60" s="743" t="s">
        <v>532</v>
      </c>
      <c r="AK60" s="743" t="s">
        <v>532</v>
      </c>
      <c r="AL60" s="744" t="s">
        <v>532</v>
      </c>
    </row>
    <row r="61" spans="2:38" ht="30" x14ac:dyDescent="0.45">
      <c r="B61" s="639" t="s">
        <v>4</v>
      </c>
      <c r="C61" s="600" t="s">
        <v>5</v>
      </c>
      <c r="D61" s="570" t="s">
        <v>6</v>
      </c>
      <c r="E61" s="570" t="s">
        <v>112</v>
      </c>
      <c r="F61" s="570" t="s">
        <v>114</v>
      </c>
      <c r="G61" s="1014" t="s">
        <v>115</v>
      </c>
      <c r="H61" s="1014"/>
      <c r="I61" s="1172"/>
      <c r="J61" s="791" t="s">
        <v>21</v>
      </c>
      <c r="K61" s="675" t="s">
        <v>496</v>
      </c>
      <c r="L61" s="675" t="s">
        <v>497</v>
      </c>
      <c r="M61" s="675" t="s">
        <v>498</v>
      </c>
      <c r="N61" s="675" t="s">
        <v>499</v>
      </c>
      <c r="O61" s="676" t="s">
        <v>552</v>
      </c>
      <c r="P61" s="675" t="s">
        <v>512</v>
      </c>
      <c r="Q61" s="675" t="s">
        <v>503</v>
      </c>
      <c r="R61" s="675" t="s">
        <v>553</v>
      </c>
      <c r="S61" s="675" t="s">
        <v>513</v>
      </c>
      <c r="T61" s="675" t="s">
        <v>514</v>
      </c>
      <c r="U61" s="675" t="s">
        <v>554</v>
      </c>
      <c r="V61" s="675" t="s">
        <v>515</v>
      </c>
      <c r="W61" s="675" t="s">
        <v>555</v>
      </c>
      <c r="X61" s="678" t="s">
        <v>516</v>
      </c>
      <c r="Y61" s="670" t="s">
        <v>556</v>
      </c>
      <c r="Z61" s="671" t="s">
        <v>557</v>
      </c>
      <c r="AA61" s="671" t="s">
        <v>558</v>
      </c>
      <c r="AB61" s="671" t="s">
        <v>559</v>
      </c>
      <c r="AC61" s="671" t="s">
        <v>560</v>
      </c>
      <c r="AD61" s="671" t="s">
        <v>561</v>
      </c>
      <c r="AE61" s="672" t="s">
        <v>562</v>
      </c>
      <c r="AF61" s="745" t="s">
        <v>563</v>
      </c>
      <c r="AG61" s="746" t="s">
        <v>564</v>
      </c>
      <c r="AH61" s="746" t="s">
        <v>565</v>
      </c>
      <c r="AI61" s="746" t="s">
        <v>566</v>
      </c>
      <c r="AJ61" s="746" t="s">
        <v>567</v>
      </c>
      <c r="AK61" s="746" t="s">
        <v>568</v>
      </c>
      <c r="AL61" s="747" t="s">
        <v>569</v>
      </c>
    </row>
    <row r="62" spans="2:38" ht="15.5" x14ac:dyDescent="0.45">
      <c r="B62" s="800">
        <v>3</v>
      </c>
      <c r="C62" s="583" t="s">
        <v>43</v>
      </c>
      <c r="D62" s="583"/>
      <c r="E62" s="798">
        <v>1</v>
      </c>
      <c r="F62" s="584" t="s">
        <v>12</v>
      </c>
      <c r="G62" s="561" t="s">
        <v>244</v>
      </c>
      <c r="H62" s="562"/>
      <c r="I62" s="975"/>
      <c r="J62" s="828"/>
      <c r="K62" s="828"/>
      <c r="L62" s="828"/>
      <c r="M62" s="828"/>
      <c r="N62" s="828"/>
      <c r="O62" s="828"/>
      <c r="P62" s="828"/>
      <c r="Q62" s="828"/>
      <c r="R62" s="828"/>
      <c r="S62" s="828"/>
      <c r="T62" s="828"/>
      <c r="U62" s="828"/>
      <c r="V62" s="828"/>
      <c r="W62" s="828"/>
      <c r="X62" s="828"/>
      <c r="Y62" s="828"/>
      <c r="Z62" s="828"/>
      <c r="AA62" s="828"/>
      <c r="AB62" s="828"/>
      <c r="AC62" s="828"/>
      <c r="AD62" s="828"/>
      <c r="AE62" s="828"/>
      <c r="AF62" s="828"/>
      <c r="AG62" s="828"/>
      <c r="AH62" s="828"/>
      <c r="AI62" s="828"/>
      <c r="AJ62" s="828"/>
      <c r="AK62" s="828"/>
      <c r="AL62" s="829"/>
    </row>
    <row r="63" spans="2:38" ht="15.5" x14ac:dyDescent="0.45">
      <c r="B63" s="764"/>
      <c r="C63" s="520"/>
      <c r="D63" s="508"/>
      <c r="E63" s="521"/>
      <c r="F63" s="508"/>
      <c r="G63" s="510" t="s">
        <v>243</v>
      </c>
      <c r="H63" s="494"/>
      <c r="I63" s="978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789"/>
      <c r="V63" s="789"/>
      <c r="W63" s="789"/>
      <c r="X63" s="789"/>
      <c r="Y63" s="789"/>
      <c r="Z63" s="789"/>
      <c r="AA63" s="789"/>
      <c r="AB63" s="789"/>
      <c r="AC63" s="789"/>
      <c r="AD63" s="789"/>
      <c r="AE63" s="789"/>
      <c r="AF63" s="789"/>
      <c r="AG63" s="789"/>
      <c r="AH63" s="789"/>
      <c r="AI63" s="789"/>
      <c r="AJ63" s="789"/>
      <c r="AK63" s="789"/>
      <c r="AL63" s="790"/>
    </row>
    <row r="64" spans="2:38" x14ac:dyDescent="0.45">
      <c r="B64" s="813"/>
      <c r="C64" s="256"/>
      <c r="D64" s="341"/>
      <c r="E64" s="350"/>
      <c r="F64" s="206" t="s">
        <v>4</v>
      </c>
      <c r="G64" s="274" t="s">
        <v>120</v>
      </c>
      <c r="H64" s="226"/>
      <c r="I64" s="974"/>
      <c r="J64" s="792">
        <f>RAP!E37</f>
        <v>33.6</v>
      </c>
      <c r="K64" s="601">
        <v>3</v>
      </c>
      <c r="L64" s="319"/>
      <c r="M64" s="319"/>
      <c r="N64" s="319"/>
      <c r="O64" s="598"/>
      <c r="P64" s="598"/>
      <c r="Q64" s="605"/>
      <c r="R64" s="485"/>
      <c r="S64" s="485"/>
      <c r="T64" s="485"/>
      <c r="U64" s="752">
        <f>SUM(R64:R78)+(SUM(S64:S78)+SUM(T64:T78))</f>
        <v>32897808</v>
      </c>
      <c r="V64" s="754">
        <f>RAP!H37</f>
        <v>37469014.799999997</v>
      </c>
      <c r="W64" s="752">
        <f>V64-U64</f>
        <v>4571206.799999997</v>
      </c>
      <c r="X64" s="760">
        <f>W64/V64*100</f>
        <v>12.199965289719861</v>
      </c>
      <c r="Y64" s="755">
        <f>SUM(R64:R78)/J64</f>
        <v>152232.14285714284</v>
      </c>
      <c r="Z64" s="757">
        <v>150000</v>
      </c>
      <c r="AA64" s="758">
        <f>J64*Z64</f>
        <v>5040000</v>
      </c>
      <c r="AB64" s="758">
        <f>SUM(S64:S78)+SUM(T64:T78)</f>
        <v>27782808</v>
      </c>
      <c r="AC64" s="752">
        <f>AA64+AB64</f>
        <v>32822808</v>
      </c>
      <c r="AD64" s="752">
        <f>V64-AC64</f>
        <v>4646206.799999997</v>
      </c>
      <c r="AE64" s="760">
        <f>AD64/V64*100</f>
        <v>12.400130680777862</v>
      </c>
      <c r="AF64" s="755">
        <f>(SUM(R64:R78)+SUM(S64:S78))/J64</f>
        <v>965708.57142857136</v>
      </c>
      <c r="AG64" s="757">
        <v>950000</v>
      </c>
      <c r="AH64" s="758">
        <f>AG64*J64</f>
        <v>31920000</v>
      </c>
      <c r="AI64" s="758">
        <f>SUM(T64:T78)</f>
        <v>450000</v>
      </c>
      <c r="AJ64" s="752">
        <f>AH64+AI64</f>
        <v>32370000</v>
      </c>
      <c r="AK64" s="752">
        <f>V64-AJ64</f>
        <v>5099014.799999997</v>
      </c>
      <c r="AL64" s="760">
        <f>AK64/V64*100</f>
        <v>13.608617219367074</v>
      </c>
    </row>
    <row r="65" spans="2:38" x14ac:dyDescent="0.45">
      <c r="B65" s="813"/>
      <c r="C65" s="256"/>
      <c r="D65" s="279" t="s">
        <v>107</v>
      </c>
      <c r="E65" s="299">
        <v>1.65</v>
      </c>
      <c r="F65" s="267" t="s">
        <v>108</v>
      </c>
      <c r="G65" s="339" t="s">
        <v>51</v>
      </c>
      <c r="H65" s="209"/>
      <c r="I65" s="966"/>
      <c r="J65" s="475"/>
      <c r="K65" s="602"/>
      <c r="L65" s="433">
        <f>E65*J64/K64</f>
        <v>18.48</v>
      </c>
      <c r="M65" s="433"/>
      <c r="N65" s="433"/>
      <c r="O65" s="597">
        <v>18</v>
      </c>
      <c r="P65" s="596" t="str">
        <f>F65</f>
        <v>OH</v>
      </c>
      <c r="Q65" s="608">
        <f>'Analisa Upah RAP'!G5</f>
        <v>75000</v>
      </c>
      <c r="R65" s="453">
        <f>O65*Q65*K64</f>
        <v>4050000</v>
      </c>
      <c r="S65" s="453"/>
      <c r="T65" s="453"/>
      <c r="U65" s="753"/>
      <c r="V65" s="753"/>
      <c r="W65" s="753"/>
      <c r="X65" s="761"/>
      <c r="Y65" s="756"/>
      <c r="Z65" s="759"/>
      <c r="AA65" s="759"/>
      <c r="AB65" s="759"/>
      <c r="AC65" s="753"/>
      <c r="AD65" s="753"/>
      <c r="AE65" s="761"/>
      <c r="AF65" s="756"/>
      <c r="AG65" s="759"/>
      <c r="AH65" s="759"/>
      <c r="AI65" s="759"/>
      <c r="AJ65" s="753"/>
      <c r="AK65" s="753"/>
      <c r="AL65" s="761"/>
    </row>
    <row r="66" spans="2:38" x14ac:dyDescent="0.45">
      <c r="B66" s="813"/>
      <c r="C66" s="256"/>
      <c r="D66" s="279" t="s">
        <v>121</v>
      </c>
      <c r="E66" s="299">
        <v>0.27500000000000002</v>
      </c>
      <c r="F66" s="267" t="s">
        <v>108</v>
      </c>
      <c r="G66" s="339" t="s">
        <v>134</v>
      </c>
      <c r="H66" s="209"/>
      <c r="I66" s="966"/>
      <c r="J66" s="475"/>
      <c r="K66" s="602"/>
      <c r="L66" s="433">
        <f>E66*J64/K64</f>
        <v>3.0800000000000005</v>
      </c>
      <c r="M66" s="433"/>
      <c r="N66" s="433"/>
      <c r="O66" s="597">
        <v>3</v>
      </c>
      <c r="P66" s="596" t="str">
        <f>F66</f>
        <v>OH</v>
      </c>
      <c r="Q66" s="608">
        <f>'Analisa Upah RAP'!G7</f>
        <v>85000</v>
      </c>
      <c r="R66" s="453">
        <f>O66*Q66*K64</f>
        <v>765000</v>
      </c>
      <c r="S66" s="453"/>
      <c r="T66" s="453"/>
      <c r="U66" s="753"/>
      <c r="V66" s="753"/>
      <c r="W66" s="753"/>
      <c r="X66" s="761"/>
      <c r="Y66" s="756"/>
      <c r="Z66" s="759"/>
      <c r="AA66" s="759"/>
      <c r="AB66" s="759"/>
      <c r="AC66" s="753"/>
      <c r="AD66" s="753"/>
      <c r="AE66" s="761"/>
      <c r="AF66" s="756"/>
      <c r="AG66" s="759"/>
      <c r="AH66" s="759"/>
      <c r="AI66" s="759"/>
      <c r="AJ66" s="753"/>
      <c r="AK66" s="753"/>
      <c r="AL66" s="761"/>
    </row>
    <row r="67" spans="2:38" x14ac:dyDescent="0.45">
      <c r="B67" s="813"/>
      <c r="C67" s="256"/>
      <c r="D67" s="279" t="s">
        <v>122</v>
      </c>
      <c r="E67" s="299">
        <v>2.8000000000000001E-2</v>
      </c>
      <c r="F67" s="267" t="s">
        <v>108</v>
      </c>
      <c r="G67" s="339" t="s">
        <v>123</v>
      </c>
      <c r="H67" s="209"/>
      <c r="I67" s="966"/>
      <c r="J67" s="475"/>
      <c r="K67" s="602"/>
      <c r="L67" s="433">
        <f>E67*J64/K64</f>
        <v>0.31360000000000005</v>
      </c>
      <c r="M67" s="433"/>
      <c r="N67" s="433"/>
      <c r="O67" s="597">
        <v>0</v>
      </c>
      <c r="P67" s="596" t="str">
        <f>F67</f>
        <v>OH</v>
      </c>
      <c r="Q67" s="608">
        <f>'Analisa Upah RAP'!G11</f>
        <v>90000</v>
      </c>
      <c r="R67" s="453">
        <f>O67*Q67*K64</f>
        <v>0</v>
      </c>
      <c r="S67" s="453"/>
      <c r="T67" s="453"/>
      <c r="U67" s="753"/>
      <c r="V67" s="753"/>
      <c r="W67" s="753"/>
      <c r="X67" s="761"/>
      <c r="Y67" s="756"/>
      <c r="Z67" s="759"/>
      <c r="AA67" s="759"/>
      <c r="AB67" s="759"/>
      <c r="AC67" s="753"/>
      <c r="AD67" s="753"/>
      <c r="AE67" s="761"/>
      <c r="AF67" s="756"/>
      <c r="AG67" s="759"/>
      <c r="AH67" s="759"/>
      <c r="AI67" s="759"/>
      <c r="AJ67" s="753"/>
      <c r="AK67" s="753"/>
      <c r="AL67" s="761"/>
    </row>
    <row r="68" spans="2:38" x14ac:dyDescent="0.45">
      <c r="B68" s="813"/>
      <c r="C68" s="256"/>
      <c r="D68" s="343" t="s">
        <v>109</v>
      </c>
      <c r="E68" s="300">
        <v>8.3000000000000004E-2</v>
      </c>
      <c r="F68" s="275" t="s">
        <v>108</v>
      </c>
      <c r="G68" s="351" t="s">
        <v>52</v>
      </c>
      <c r="H68" s="229"/>
      <c r="I68" s="967"/>
      <c r="J68" s="475"/>
      <c r="K68" s="602"/>
      <c r="L68" s="433">
        <f>E68*J64/K64</f>
        <v>0.92960000000000009</v>
      </c>
      <c r="M68" s="433"/>
      <c r="N68" s="433"/>
      <c r="O68" s="597">
        <v>1</v>
      </c>
      <c r="P68" s="596" t="str">
        <f>F68</f>
        <v>OH</v>
      </c>
      <c r="Q68" s="608">
        <f>'Analisa Upah RAP'!G12</f>
        <v>100000</v>
      </c>
      <c r="R68" s="453">
        <f>O68*Q68*K64</f>
        <v>300000</v>
      </c>
      <c r="S68" s="453"/>
      <c r="T68" s="453"/>
      <c r="U68" s="753"/>
      <c r="V68" s="753"/>
      <c r="W68" s="753"/>
      <c r="X68" s="761"/>
      <c r="Y68" s="756"/>
      <c r="Z68" s="759"/>
      <c r="AA68" s="759"/>
      <c r="AB68" s="759"/>
      <c r="AC68" s="753"/>
      <c r="AD68" s="753"/>
      <c r="AE68" s="761"/>
      <c r="AF68" s="756"/>
      <c r="AG68" s="759"/>
      <c r="AH68" s="759"/>
      <c r="AI68" s="759"/>
      <c r="AJ68" s="753"/>
      <c r="AK68" s="753"/>
      <c r="AL68" s="761"/>
    </row>
    <row r="69" spans="2:38" x14ac:dyDescent="0.45">
      <c r="B69" s="813"/>
      <c r="C69" s="256"/>
      <c r="D69" s="344"/>
      <c r="E69" s="352"/>
      <c r="F69" s="285" t="s">
        <v>5</v>
      </c>
      <c r="G69" s="353" t="s">
        <v>124</v>
      </c>
      <c r="H69" s="209"/>
      <c r="I69" s="966"/>
      <c r="J69" s="475"/>
      <c r="K69" s="602"/>
      <c r="L69" s="433"/>
      <c r="M69" s="433"/>
      <c r="N69" s="433"/>
      <c r="O69" s="597"/>
      <c r="P69" s="596"/>
      <c r="Q69" s="608"/>
      <c r="R69" s="453"/>
      <c r="S69" s="453"/>
      <c r="T69" s="453"/>
      <c r="U69" s="753"/>
      <c r="V69" s="753"/>
      <c r="W69" s="753"/>
      <c r="X69" s="761"/>
      <c r="Y69" s="756"/>
      <c r="Z69" s="759"/>
      <c r="AA69" s="759"/>
      <c r="AB69" s="759"/>
      <c r="AC69" s="753"/>
      <c r="AD69" s="753"/>
      <c r="AE69" s="761"/>
      <c r="AF69" s="756"/>
      <c r="AG69" s="759"/>
      <c r="AH69" s="759"/>
      <c r="AI69" s="759"/>
      <c r="AJ69" s="753"/>
      <c r="AK69" s="753"/>
      <c r="AL69" s="761"/>
    </row>
    <row r="70" spans="2:38" x14ac:dyDescent="0.45">
      <c r="B70" s="813"/>
      <c r="C70" s="256"/>
      <c r="D70" s="836"/>
      <c r="E70" s="818">
        <f>384/40</f>
        <v>9.6</v>
      </c>
      <c r="F70" s="819" t="s">
        <v>347</v>
      </c>
      <c r="G70" s="842" t="s">
        <v>129</v>
      </c>
      <c r="H70" s="821"/>
      <c r="I70" s="977"/>
      <c r="J70" s="475"/>
      <c r="K70" s="602"/>
      <c r="L70" s="433"/>
      <c r="M70" s="433">
        <f>E70*J64</f>
        <v>322.56</v>
      </c>
      <c r="N70" s="433"/>
      <c r="O70" s="597">
        <v>323</v>
      </c>
      <c r="P70" s="596" t="str">
        <f>F70</f>
        <v>Zak</v>
      </c>
      <c r="Q70" s="608">
        <f>'Harga Bahan RAP'!G11</f>
        <v>45000</v>
      </c>
      <c r="R70" s="453"/>
      <c r="S70" s="453">
        <f t="shared" ref="S70:S73" si="2">O70*Q70</f>
        <v>14535000</v>
      </c>
      <c r="T70" s="453"/>
      <c r="U70" s="753"/>
      <c r="V70" s="753"/>
      <c r="W70" s="753"/>
      <c r="X70" s="761"/>
      <c r="Y70" s="756"/>
      <c r="Z70" s="759"/>
      <c r="AA70" s="759"/>
      <c r="AB70" s="759"/>
      <c r="AC70" s="753"/>
      <c r="AD70" s="753"/>
      <c r="AE70" s="761"/>
      <c r="AF70" s="756"/>
      <c r="AG70" s="759"/>
      <c r="AH70" s="759"/>
      <c r="AI70" s="759"/>
      <c r="AJ70" s="753"/>
      <c r="AK70" s="753"/>
      <c r="AL70" s="761"/>
    </row>
    <row r="71" spans="2:38" x14ac:dyDescent="0.45">
      <c r="B71" s="813"/>
      <c r="C71" s="256"/>
      <c r="D71" s="344"/>
      <c r="E71" s="222">
        <v>0.43</v>
      </c>
      <c r="F71" s="211" t="s">
        <v>12</v>
      </c>
      <c r="G71" s="339" t="s">
        <v>135</v>
      </c>
      <c r="H71" s="209"/>
      <c r="I71" s="966"/>
      <c r="J71" s="475"/>
      <c r="K71" s="602"/>
      <c r="L71" s="433"/>
      <c r="M71" s="433">
        <f>E71*J64</f>
        <v>14.448</v>
      </c>
      <c r="N71" s="433"/>
      <c r="O71" s="597">
        <v>14.5</v>
      </c>
      <c r="P71" s="596" t="str">
        <f>F71</f>
        <v>M3</v>
      </c>
      <c r="Q71" s="607">
        <f>'Harga Bahan RAP'!G9</f>
        <v>325000</v>
      </c>
      <c r="R71" s="433"/>
      <c r="S71" s="453">
        <f t="shared" si="2"/>
        <v>4712500</v>
      </c>
      <c r="T71" s="433"/>
      <c r="U71" s="753"/>
      <c r="V71" s="753"/>
      <c r="W71" s="753"/>
      <c r="X71" s="761"/>
      <c r="Y71" s="756"/>
      <c r="Z71" s="759"/>
      <c r="AA71" s="759"/>
      <c r="AB71" s="759"/>
      <c r="AC71" s="753"/>
      <c r="AD71" s="753"/>
      <c r="AE71" s="761"/>
      <c r="AF71" s="756"/>
      <c r="AG71" s="759"/>
      <c r="AH71" s="759"/>
      <c r="AI71" s="759"/>
      <c r="AJ71" s="753"/>
      <c r="AK71" s="753"/>
      <c r="AL71" s="761"/>
    </row>
    <row r="72" spans="2:38" x14ac:dyDescent="0.45">
      <c r="B72" s="813"/>
      <c r="C72" s="256"/>
      <c r="D72" s="344"/>
      <c r="E72" s="222">
        <v>0.72</v>
      </c>
      <c r="F72" s="253" t="s">
        <v>12</v>
      </c>
      <c r="G72" s="339" t="s">
        <v>136</v>
      </c>
      <c r="H72" s="209"/>
      <c r="I72" s="966"/>
      <c r="J72" s="475"/>
      <c r="K72" s="602"/>
      <c r="L72" s="433"/>
      <c r="M72" s="433">
        <f>E72*J64</f>
        <v>24.192</v>
      </c>
      <c r="N72" s="433"/>
      <c r="O72" s="597">
        <v>24.5</v>
      </c>
      <c r="P72" s="596" t="str">
        <f>F72</f>
        <v>M3</v>
      </c>
      <c r="Q72" s="607">
        <f>'Harga Bahan RAP'!G7</f>
        <v>325000</v>
      </c>
      <c r="R72" s="433"/>
      <c r="S72" s="453">
        <f t="shared" si="2"/>
        <v>7962500</v>
      </c>
      <c r="T72" s="433"/>
      <c r="U72" s="753"/>
      <c r="V72" s="753"/>
      <c r="W72" s="753"/>
      <c r="X72" s="761"/>
      <c r="Y72" s="756"/>
      <c r="Z72" s="759"/>
      <c r="AA72" s="759"/>
      <c r="AB72" s="759"/>
      <c r="AC72" s="753"/>
      <c r="AD72" s="753"/>
      <c r="AE72" s="761"/>
      <c r="AF72" s="756"/>
      <c r="AG72" s="759"/>
      <c r="AH72" s="759"/>
      <c r="AI72" s="759"/>
      <c r="AJ72" s="753"/>
      <c r="AK72" s="753"/>
      <c r="AL72" s="761"/>
    </row>
    <row r="73" spans="2:38" x14ac:dyDescent="0.45">
      <c r="B73" s="813"/>
      <c r="C73" s="256"/>
      <c r="D73" s="345"/>
      <c r="E73" s="354">
        <v>215</v>
      </c>
      <c r="F73" s="275" t="s">
        <v>81</v>
      </c>
      <c r="G73" s="351" t="s">
        <v>88</v>
      </c>
      <c r="H73" s="229"/>
      <c r="I73" s="967"/>
      <c r="J73" s="475"/>
      <c r="K73" s="602"/>
      <c r="L73" s="433"/>
      <c r="M73" s="433">
        <f>E73*J64</f>
        <v>7224</v>
      </c>
      <c r="N73" s="433"/>
      <c r="O73" s="597">
        <v>7224</v>
      </c>
      <c r="P73" s="596" t="str">
        <f>F73</f>
        <v>ltr</v>
      </c>
      <c r="Q73" s="607">
        <f>'Harga Bahan RAP'!H139</f>
        <v>17</v>
      </c>
      <c r="R73" s="433"/>
      <c r="S73" s="453">
        <f t="shared" si="2"/>
        <v>122808</v>
      </c>
      <c r="T73" s="433"/>
      <c r="U73" s="753"/>
      <c r="V73" s="753"/>
      <c r="W73" s="753"/>
      <c r="X73" s="761"/>
      <c r="Y73" s="756"/>
      <c r="Z73" s="759"/>
      <c r="AA73" s="759"/>
      <c r="AB73" s="759"/>
      <c r="AC73" s="753"/>
      <c r="AD73" s="753"/>
      <c r="AE73" s="761"/>
      <c r="AF73" s="756"/>
      <c r="AG73" s="759"/>
      <c r="AH73" s="759"/>
      <c r="AI73" s="759"/>
      <c r="AJ73" s="753"/>
      <c r="AK73" s="753"/>
      <c r="AL73" s="761"/>
    </row>
    <row r="74" spans="2:38" x14ac:dyDescent="0.45">
      <c r="B74" s="813"/>
      <c r="C74" s="277"/>
      <c r="D74" s="230"/>
      <c r="E74" s="230"/>
      <c r="F74" s="207" t="s">
        <v>6</v>
      </c>
      <c r="G74" s="213" t="s">
        <v>111</v>
      </c>
      <c r="H74" s="244"/>
      <c r="I74" s="969"/>
      <c r="J74" s="475"/>
      <c r="K74" s="602"/>
      <c r="L74" s="433"/>
      <c r="M74" s="433"/>
      <c r="N74" s="433"/>
      <c r="O74" s="597"/>
      <c r="P74" s="596"/>
      <c r="Q74" s="608"/>
      <c r="R74" s="433"/>
      <c r="S74" s="433"/>
      <c r="T74" s="433"/>
      <c r="U74" s="433"/>
      <c r="V74" s="433"/>
      <c r="W74" s="433"/>
      <c r="X74" s="659"/>
      <c r="Y74" s="661"/>
      <c r="Z74" s="433"/>
      <c r="AA74" s="433"/>
      <c r="AB74" s="433"/>
      <c r="AC74" s="433"/>
      <c r="AD74" s="433"/>
      <c r="AE74" s="644"/>
      <c r="AF74" s="661"/>
      <c r="AG74" s="433"/>
      <c r="AH74" s="433"/>
      <c r="AI74" s="433"/>
      <c r="AJ74" s="433"/>
      <c r="AK74" s="433"/>
      <c r="AL74" s="644"/>
    </row>
    <row r="75" spans="2:38" x14ac:dyDescent="0.45">
      <c r="B75" s="813"/>
      <c r="C75" s="277"/>
      <c r="D75" s="843"/>
      <c r="E75" s="848"/>
      <c r="F75" s="844"/>
      <c r="G75" s="845" t="s">
        <v>619</v>
      </c>
      <c r="H75" s="846"/>
      <c r="I75" s="979"/>
      <c r="J75" s="475"/>
      <c r="K75" s="602"/>
      <c r="L75" s="433"/>
      <c r="M75" s="433"/>
      <c r="N75" s="433">
        <f>E75*J64</f>
        <v>0</v>
      </c>
      <c r="O75" s="597">
        <v>3</v>
      </c>
      <c r="P75" s="596" t="s">
        <v>318</v>
      </c>
      <c r="Q75" s="608">
        <f>'Harga Alat RAP'!G35</f>
        <v>150000</v>
      </c>
      <c r="R75" s="433"/>
      <c r="S75" s="433"/>
      <c r="T75" s="453">
        <f>O75*Q75</f>
        <v>450000</v>
      </c>
      <c r="U75" s="433"/>
      <c r="V75" s="433"/>
      <c r="W75" s="433"/>
      <c r="X75" s="659"/>
      <c r="Y75" s="661"/>
      <c r="Z75" s="433"/>
      <c r="AA75" s="433"/>
      <c r="AB75" s="433"/>
      <c r="AC75" s="433"/>
      <c r="AD75" s="433"/>
      <c r="AE75" s="644"/>
      <c r="AF75" s="661"/>
      <c r="AG75" s="433"/>
      <c r="AH75" s="433"/>
      <c r="AI75" s="433"/>
      <c r="AJ75" s="433"/>
      <c r="AK75" s="433"/>
      <c r="AL75" s="644"/>
    </row>
    <row r="76" spans="2:38" x14ac:dyDescent="0.45">
      <c r="B76" s="813"/>
      <c r="C76" s="277"/>
      <c r="D76" s="279"/>
      <c r="E76" s="346"/>
      <c r="F76" s="207" t="s">
        <v>112</v>
      </c>
      <c r="G76" s="208" t="s">
        <v>113</v>
      </c>
      <c r="H76" s="209"/>
      <c r="I76" s="966"/>
      <c r="J76" s="475"/>
      <c r="K76" s="602"/>
      <c r="L76" s="433"/>
      <c r="M76" s="433"/>
      <c r="N76" s="433"/>
      <c r="O76" s="433"/>
      <c r="P76" s="433"/>
      <c r="Q76" s="595"/>
      <c r="R76" s="433"/>
      <c r="S76" s="433"/>
      <c r="T76" s="433"/>
      <c r="U76" s="433"/>
      <c r="V76" s="433"/>
      <c r="W76" s="433"/>
      <c r="X76" s="659"/>
      <c r="Y76" s="661"/>
      <c r="Z76" s="433"/>
      <c r="AA76" s="433"/>
      <c r="AB76" s="433"/>
      <c r="AC76" s="433"/>
      <c r="AD76" s="433"/>
      <c r="AE76" s="644"/>
      <c r="AF76" s="661"/>
      <c r="AG76" s="433"/>
      <c r="AH76" s="433"/>
      <c r="AI76" s="433"/>
      <c r="AJ76" s="433"/>
      <c r="AK76" s="433"/>
      <c r="AL76" s="644"/>
    </row>
    <row r="77" spans="2:38" x14ac:dyDescent="0.45">
      <c r="B77" s="813"/>
      <c r="C77" s="277"/>
      <c r="D77" s="343"/>
      <c r="E77" s="347"/>
      <c r="F77" s="239" t="s">
        <v>114</v>
      </c>
      <c r="G77" s="257" t="s">
        <v>166</v>
      </c>
      <c r="H77" s="229"/>
      <c r="I77" s="980">
        <v>0.15</v>
      </c>
      <c r="J77" s="475"/>
      <c r="K77" s="602"/>
      <c r="L77" s="433"/>
      <c r="M77" s="433"/>
      <c r="N77" s="433"/>
      <c r="O77" s="433"/>
      <c r="P77" s="433"/>
      <c r="Q77" s="595"/>
      <c r="R77" s="433"/>
      <c r="S77" s="433"/>
      <c r="T77" s="433"/>
      <c r="U77" s="433"/>
      <c r="V77" s="433"/>
      <c r="W77" s="433"/>
      <c r="X77" s="659"/>
      <c r="Y77" s="661"/>
      <c r="Z77" s="433"/>
      <c r="AA77" s="433"/>
      <c r="AB77" s="433"/>
      <c r="AC77" s="433"/>
      <c r="AD77" s="433"/>
      <c r="AE77" s="644"/>
      <c r="AF77" s="661"/>
      <c r="AG77" s="433"/>
      <c r="AH77" s="433"/>
      <c r="AI77" s="433"/>
      <c r="AJ77" s="433"/>
      <c r="AK77" s="433"/>
      <c r="AL77" s="644"/>
    </row>
    <row r="78" spans="2:38" ht="17" thickBot="1" x14ac:dyDescent="0.5">
      <c r="B78" s="830"/>
      <c r="C78" s="831"/>
      <c r="D78" s="832"/>
      <c r="E78" s="833"/>
      <c r="F78" s="834" t="s">
        <v>115</v>
      </c>
      <c r="G78" s="816" t="s">
        <v>127</v>
      </c>
      <c r="H78" s="835"/>
      <c r="I78" s="981"/>
      <c r="J78" s="793"/>
      <c r="K78" s="763"/>
      <c r="L78" s="655"/>
      <c r="M78" s="655"/>
      <c r="N78" s="655"/>
      <c r="O78" s="655"/>
      <c r="P78" s="655"/>
      <c r="Q78" s="654"/>
      <c r="R78" s="655"/>
      <c r="S78" s="655"/>
      <c r="T78" s="655"/>
      <c r="U78" s="655"/>
      <c r="V78" s="655"/>
      <c r="W78" s="655"/>
      <c r="X78" s="660"/>
      <c r="Y78" s="662"/>
      <c r="Z78" s="655"/>
      <c r="AA78" s="655"/>
      <c r="AB78" s="655"/>
      <c r="AC78" s="655"/>
      <c r="AD78" s="655"/>
      <c r="AE78" s="656"/>
      <c r="AF78" s="662"/>
      <c r="AG78" s="655"/>
      <c r="AH78" s="655"/>
      <c r="AI78" s="655"/>
      <c r="AJ78" s="655"/>
      <c r="AK78" s="655"/>
      <c r="AL78" s="656"/>
    </row>
    <row r="79" spans="2:38" x14ac:dyDescent="0.45">
      <c r="D79" s="112"/>
      <c r="E79" s="195"/>
      <c r="G79" s="111"/>
      <c r="H79" s="111"/>
      <c r="I79" s="111"/>
      <c r="Z79" s="657"/>
      <c r="AA79" s="657"/>
      <c r="AB79" s="657"/>
      <c r="AC79" s="657"/>
      <c r="AD79" s="657"/>
      <c r="AE79" s="657"/>
      <c r="AG79" s="657"/>
      <c r="AH79" s="657"/>
      <c r="AI79" s="657"/>
      <c r="AJ79" s="657"/>
      <c r="AK79" s="657"/>
      <c r="AL79" s="657"/>
    </row>
    <row r="80" spans="2:38" ht="17" thickBot="1" x14ac:dyDescent="0.5">
      <c r="B80" s="749" t="s">
        <v>623</v>
      </c>
      <c r="C80" s="750" t="s">
        <v>624</v>
      </c>
      <c r="D80" s="241"/>
      <c r="E80" s="241"/>
      <c r="F80" s="276"/>
      <c r="G80" s="240"/>
      <c r="H80" s="241"/>
      <c r="I80" s="241"/>
      <c r="J80" s="604"/>
      <c r="K80" s="603"/>
      <c r="L80" s="604"/>
      <c r="M80" s="604"/>
      <c r="N80" s="604"/>
      <c r="O80" s="604"/>
      <c r="P80" s="604"/>
      <c r="Q80" s="604"/>
      <c r="R80" s="609"/>
      <c r="S80" s="609"/>
      <c r="T80" s="609"/>
      <c r="U80" s="609"/>
      <c r="V80" s="609"/>
      <c r="W80" s="609"/>
      <c r="X80" s="609"/>
      <c r="Y80" s="609"/>
      <c r="Z80" s="609"/>
      <c r="AA80" s="609"/>
      <c r="AB80" s="609"/>
      <c r="AC80" s="609"/>
      <c r="AD80" s="609"/>
      <c r="AE80" s="609"/>
      <c r="AF80" s="609"/>
      <c r="AG80" s="609"/>
      <c r="AH80" s="609"/>
      <c r="AI80" s="609"/>
      <c r="AJ80" s="609"/>
      <c r="AK80" s="609"/>
      <c r="AL80" s="609"/>
    </row>
    <row r="81" spans="2:38" ht="19.5" customHeight="1" x14ac:dyDescent="0.45">
      <c r="B81" s="1168" t="s">
        <v>99</v>
      </c>
      <c r="C81" s="1171" t="s">
        <v>100</v>
      </c>
      <c r="D81" s="1171" t="s">
        <v>89</v>
      </c>
      <c r="E81" s="1171" t="s">
        <v>101</v>
      </c>
      <c r="F81" s="1171" t="s">
        <v>102</v>
      </c>
      <c r="G81" s="1109" t="s">
        <v>103</v>
      </c>
      <c r="H81" s="1110"/>
      <c r="I81" s="1175"/>
      <c r="J81" s="1152" t="s">
        <v>539</v>
      </c>
      <c r="K81" s="1152"/>
      <c r="L81" s="1152"/>
      <c r="M81" s="1152"/>
      <c r="N81" s="1152"/>
      <c r="O81" s="1152"/>
      <c r="P81" s="1152"/>
      <c r="Q81" s="1152"/>
      <c r="R81" s="1152"/>
      <c r="S81" s="1152"/>
      <c r="T81" s="1152"/>
      <c r="U81" s="1152"/>
      <c r="V81" s="1152"/>
      <c r="W81" s="1152"/>
      <c r="X81" s="1152"/>
      <c r="Y81" s="1153" t="s">
        <v>540</v>
      </c>
      <c r="Z81" s="1154"/>
      <c r="AA81" s="1154"/>
      <c r="AB81" s="1154"/>
      <c r="AC81" s="1154"/>
      <c r="AD81" s="1154"/>
      <c r="AE81" s="1155"/>
      <c r="AF81" s="1156" t="s">
        <v>541</v>
      </c>
      <c r="AG81" s="1157"/>
      <c r="AH81" s="1157"/>
      <c r="AI81" s="1157"/>
      <c r="AJ81" s="1157"/>
      <c r="AK81" s="1157"/>
      <c r="AL81" s="1158"/>
    </row>
    <row r="82" spans="2:38" ht="45" x14ac:dyDescent="0.45">
      <c r="B82" s="1169"/>
      <c r="C82" s="1089"/>
      <c r="D82" s="1089"/>
      <c r="E82" s="1089"/>
      <c r="F82" s="1089"/>
      <c r="G82" s="1026"/>
      <c r="H82" s="1027"/>
      <c r="I82" s="1176"/>
      <c r="J82" s="1173" t="s">
        <v>15</v>
      </c>
      <c r="K82" s="673" t="s">
        <v>493</v>
      </c>
      <c r="L82" s="1161" t="s">
        <v>491</v>
      </c>
      <c r="M82" s="1162"/>
      <c r="N82" s="1162"/>
      <c r="O82" s="1162"/>
      <c r="P82" s="1163"/>
      <c r="Q82" s="674" t="s">
        <v>533</v>
      </c>
      <c r="R82" s="1161" t="s">
        <v>501</v>
      </c>
      <c r="S82" s="1162"/>
      <c r="T82" s="1163"/>
      <c r="U82" s="674" t="s">
        <v>530</v>
      </c>
      <c r="V82" s="674" t="s">
        <v>531</v>
      </c>
      <c r="W82" s="674" t="s">
        <v>578</v>
      </c>
      <c r="X82" s="681" t="s">
        <v>579</v>
      </c>
      <c r="Y82" s="1164" t="s">
        <v>534</v>
      </c>
      <c r="Z82" s="1165"/>
      <c r="AA82" s="663" t="s">
        <v>537</v>
      </c>
      <c r="AB82" s="664" t="s">
        <v>538</v>
      </c>
      <c r="AC82" s="665" t="s">
        <v>530</v>
      </c>
      <c r="AD82" s="665" t="s">
        <v>578</v>
      </c>
      <c r="AE82" s="682" t="s">
        <v>579</v>
      </c>
      <c r="AF82" s="1166" t="s">
        <v>542</v>
      </c>
      <c r="AG82" s="1167"/>
      <c r="AH82" s="737" t="s">
        <v>543</v>
      </c>
      <c r="AI82" s="738" t="s">
        <v>544</v>
      </c>
      <c r="AJ82" s="739" t="s">
        <v>530</v>
      </c>
      <c r="AK82" s="739" t="s">
        <v>578</v>
      </c>
      <c r="AL82" s="740" t="s">
        <v>579</v>
      </c>
    </row>
    <row r="83" spans="2:38" ht="30" x14ac:dyDescent="0.45">
      <c r="B83" s="1170"/>
      <c r="C83" s="1090"/>
      <c r="D83" s="1090"/>
      <c r="E83" s="1090"/>
      <c r="F83" s="1090"/>
      <c r="G83" s="1085"/>
      <c r="H83" s="1086"/>
      <c r="I83" s="1177"/>
      <c r="J83" s="1174"/>
      <c r="K83" s="675" t="s">
        <v>495</v>
      </c>
      <c r="L83" s="676" t="s">
        <v>524</v>
      </c>
      <c r="M83" s="676" t="s">
        <v>525</v>
      </c>
      <c r="N83" s="676" t="s">
        <v>526</v>
      </c>
      <c r="O83" s="675" t="s">
        <v>517</v>
      </c>
      <c r="P83" s="675" t="s">
        <v>290</v>
      </c>
      <c r="Q83" s="675" t="s">
        <v>532</v>
      </c>
      <c r="R83" s="676" t="s">
        <v>527</v>
      </c>
      <c r="S83" s="676" t="s">
        <v>528</v>
      </c>
      <c r="T83" s="677" t="s">
        <v>529</v>
      </c>
      <c r="U83" s="675" t="s">
        <v>502</v>
      </c>
      <c r="V83" s="675" t="s">
        <v>502</v>
      </c>
      <c r="W83" s="675" t="s">
        <v>502</v>
      </c>
      <c r="X83" s="678" t="s">
        <v>504</v>
      </c>
      <c r="Y83" s="666" t="s">
        <v>535</v>
      </c>
      <c r="Z83" s="667" t="s">
        <v>536</v>
      </c>
      <c r="AA83" s="668" t="s">
        <v>532</v>
      </c>
      <c r="AB83" s="668" t="s">
        <v>532</v>
      </c>
      <c r="AC83" s="668" t="s">
        <v>532</v>
      </c>
      <c r="AD83" s="668" t="s">
        <v>532</v>
      </c>
      <c r="AE83" s="669" t="s">
        <v>532</v>
      </c>
      <c r="AF83" s="741" t="s">
        <v>535</v>
      </c>
      <c r="AG83" s="742" t="s">
        <v>536</v>
      </c>
      <c r="AH83" s="743" t="s">
        <v>532</v>
      </c>
      <c r="AI83" s="743" t="s">
        <v>532</v>
      </c>
      <c r="AJ83" s="743" t="s">
        <v>532</v>
      </c>
      <c r="AK83" s="743" t="s">
        <v>532</v>
      </c>
      <c r="AL83" s="744" t="s">
        <v>532</v>
      </c>
    </row>
    <row r="84" spans="2:38" ht="30" x14ac:dyDescent="0.45">
      <c r="B84" s="639" t="s">
        <v>4</v>
      </c>
      <c r="C84" s="600" t="s">
        <v>5</v>
      </c>
      <c r="D84" s="570" t="s">
        <v>6</v>
      </c>
      <c r="E84" s="570" t="s">
        <v>112</v>
      </c>
      <c r="F84" s="570" t="s">
        <v>114</v>
      </c>
      <c r="G84" s="1014" t="s">
        <v>115</v>
      </c>
      <c r="H84" s="1014"/>
      <c r="I84" s="1172"/>
      <c r="J84" s="791" t="s">
        <v>21</v>
      </c>
      <c r="K84" s="675" t="s">
        <v>496</v>
      </c>
      <c r="L84" s="675" t="s">
        <v>497</v>
      </c>
      <c r="M84" s="675" t="s">
        <v>498</v>
      </c>
      <c r="N84" s="675" t="s">
        <v>499</v>
      </c>
      <c r="O84" s="676" t="s">
        <v>552</v>
      </c>
      <c r="P84" s="675" t="s">
        <v>512</v>
      </c>
      <c r="Q84" s="675" t="s">
        <v>503</v>
      </c>
      <c r="R84" s="675" t="s">
        <v>553</v>
      </c>
      <c r="S84" s="675" t="s">
        <v>513</v>
      </c>
      <c r="T84" s="675" t="s">
        <v>514</v>
      </c>
      <c r="U84" s="675" t="s">
        <v>554</v>
      </c>
      <c r="V84" s="675" t="s">
        <v>515</v>
      </c>
      <c r="W84" s="675" t="s">
        <v>555</v>
      </c>
      <c r="X84" s="678" t="s">
        <v>516</v>
      </c>
      <c r="Y84" s="670" t="s">
        <v>556</v>
      </c>
      <c r="Z84" s="671" t="s">
        <v>557</v>
      </c>
      <c r="AA84" s="671" t="s">
        <v>558</v>
      </c>
      <c r="AB84" s="671" t="s">
        <v>559</v>
      </c>
      <c r="AC84" s="671" t="s">
        <v>560</v>
      </c>
      <c r="AD84" s="671" t="s">
        <v>561</v>
      </c>
      <c r="AE84" s="672" t="s">
        <v>562</v>
      </c>
      <c r="AF84" s="745" t="s">
        <v>563</v>
      </c>
      <c r="AG84" s="746" t="s">
        <v>564</v>
      </c>
      <c r="AH84" s="746" t="s">
        <v>565</v>
      </c>
      <c r="AI84" s="746" t="s">
        <v>566</v>
      </c>
      <c r="AJ84" s="746" t="s">
        <v>567</v>
      </c>
      <c r="AK84" s="746" t="s">
        <v>568</v>
      </c>
      <c r="AL84" s="747" t="s">
        <v>569</v>
      </c>
    </row>
    <row r="85" spans="2:38" ht="15.5" x14ac:dyDescent="0.45">
      <c r="B85" s="800">
        <v>4</v>
      </c>
      <c r="C85" s="583" t="s">
        <v>43</v>
      </c>
      <c r="D85" s="583"/>
      <c r="E85" s="798">
        <v>1</v>
      </c>
      <c r="F85" s="584" t="s">
        <v>12</v>
      </c>
      <c r="G85" s="561" t="s">
        <v>244</v>
      </c>
      <c r="H85" s="562"/>
      <c r="I85" s="975"/>
      <c r="J85" s="828"/>
      <c r="K85" s="828"/>
      <c r="L85" s="828"/>
      <c r="M85" s="828"/>
      <c r="N85" s="828"/>
      <c r="O85" s="828"/>
      <c r="P85" s="828"/>
      <c r="Q85" s="828"/>
      <c r="R85" s="828"/>
      <c r="S85" s="828"/>
      <c r="T85" s="828"/>
      <c r="U85" s="828"/>
      <c r="V85" s="828"/>
      <c r="W85" s="828"/>
      <c r="X85" s="828"/>
      <c r="Y85" s="828"/>
      <c r="Z85" s="828"/>
      <c r="AA85" s="828"/>
      <c r="AB85" s="828"/>
      <c r="AC85" s="828"/>
      <c r="AD85" s="828"/>
      <c r="AE85" s="828"/>
      <c r="AF85" s="828"/>
      <c r="AG85" s="828"/>
      <c r="AH85" s="828"/>
      <c r="AI85" s="828"/>
      <c r="AJ85" s="828"/>
      <c r="AK85" s="828"/>
      <c r="AL85" s="829"/>
    </row>
    <row r="86" spans="2:38" ht="15.5" x14ac:dyDescent="0.45">
      <c r="B86" s="764"/>
      <c r="C86" s="520"/>
      <c r="D86" s="508"/>
      <c r="E86" s="521"/>
      <c r="F86" s="508"/>
      <c r="G86" s="510" t="s">
        <v>243</v>
      </c>
      <c r="H86" s="494"/>
      <c r="I86" s="978"/>
      <c r="J86" s="789"/>
      <c r="K86" s="789"/>
      <c r="L86" s="789"/>
      <c r="M86" s="789"/>
      <c r="N86" s="789"/>
      <c r="O86" s="789"/>
      <c r="P86" s="789"/>
      <c r="Q86" s="789"/>
      <c r="R86" s="789"/>
      <c r="S86" s="789"/>
      <c r="T86" s="789"/>
      <c r="U86" s="789"/>
      <c r="V86" s="789"/>
      <c r="W86" s="789"/>
      <c r="X86" s="789"/>
      <c r="Y86" s="789"/>
      <c r="Z86" s="789"/>
      <c r="AA86" s="789"/>
      <c r="AB86" s="789"/>
      <c r="AC86" s="789"/>
      <c r="AD86" s="789"/>
      <c r="AE86" s="789"/>
      <c r="AF86" s="789"/>
      <c r="AG86" s="789"/>
      <c r="AH86" s="789"/>
      <c r="AI86" s="789"/>
      <c r="AJ86" s="789"/>
      <c r="AK86" s="789"/>
      <c r="AL86" s="790"/>
    </row>
    <row r="87" spans="2:38" x14ac:dyDescent="0.45">
      <c r="B87" s="813"/>
      <c r="C87" s="256"/>
      <c r="D87" s="341"/>
      <c r="E87" s="350"/>
      <c r="F87" s="206" t="s">
        <v>4</v>
      </c>
      <c r="G87" s="274" t="s">
        <v>120</v>
      </c>
      <c r="H87" s="226"/>
      <c r="I87" s="974"/>
      <c r="J87" s="792">
        <f>RAP!E41</f>
        <v>13.54</v>
      </c>
      <c r="K87" s="601">
        <v>2</v>
      </c>
      <c r="L87" s="319"/>
      <c r="M87" s="319"/>
      <c r="N87" s="319"/>
      <c r="O87" s="598"/>
      <c r="P87" s="598"/>
      <c r="Q87" s="605"/>
      <c r="R87" s="485"/>
      <c r="S87" s="485"/>
      <c r="T87" s="485"/>
      <c r="U87" s="752">
        <f>SUM(R87:R101)+(SUM(S87:S101)+SUM(T87:T101))</f>
        <v>13589504</v>
      </c>
      <c r="V87" s="754">
        <f>RAP!H41</f>
        <v>15099120.85</v>
      </c>
      <c r="W87" s="752">
        <f>V87-U87</f>
        <v>1509616.8499999996</v>
      </c>
      <c r="X87" s="760">
        <f>W87/V87*100</f>
        <v>9.9980446874825812</v>
      </c>
      <c r="Y87" s="755">
        <f>SUM(R87:R101)/J87</f>
        <v>161742.98375184639</v>
      </c>
      <c r="Z87" s="757">
        <v>150000</v>
      </c>
      <c r="AA87" s="758">
        <f>J87*Z87</f>
        <v>2030999.9999999998</v>
      </c>
      <c r="AB87" s="758">
        <f>SUM(S87:S101)+SUM(T87:T101)</f>
        <v>11399504</v>
      </c>
      <c r="AC87" s="752">
        <f>AA87+AB87</f>
        <v>13430504</v>
      </c>
      <c r="AD87" s="752">
        <f>V87-AC87</f>
        <v>1668616.8499999996</v>
      </c>
      <c r="AE87" s="760">
        <f>AD87/V87*100</f>
        <v>11.051086129958353</v>
      </c>
      <c r="AF87" s="755">
        <f>(SUM(R87:R101)+SUM(S87:S101))/J87</f>
        <v>981499.55686853768</v>
      </c>
      <c r="AG87" s="757">
        <v>950000</v>
      </c>
      <c r="AH87" s="758">
        <f>AG87*J87</f>
        <v>12863000</v>
      </c>
      <c r="AI87" s="758">
        <f>SUM(T87:T101)</f>
        <v>300000</v>
      </c>
      <c r="AJ87" s="752">
        <f>AH87+AI87</f>
        <v>13163000</v>
      </c>
      <c r="AK87" s="752">
        <f>V87-AJ87</f>
        <v>1936120.8499999996</v>
      </c>
      <c r="AL87" s="760">
        <f>AK87/V87*100</f>
        <v>12.82273894774476</v>
      </c>
    </row>
    <row r="88" spans="2:38" x14ac:dyDescent="0.45">
      <c r="B88" s="813"/>
      <c r="C88" s="256"/>
      <c r="D88" s="279" t="s">
        <v>107</v>
      </c>
      <c r="E88" s="299">
        <v>1.65</v>
      </c>
      <c r="F88" s="267" t="s">
        <v>108</v>
      </c>
      <c r="G88" s="339" t="s">
        <v>51</v>
      </c>
      <c r="H88" s="209"/>
      <c r="I88" s="966"/>
      <c r="J88" s="475"/>
      <c r="K88" s="602"/>
      <c r="L88" s="433">
        <f>E88*J87/K87</f>
        <v>11.170499999999999</v>
      </c>
      <c r="M88" s="433"/>
      <c r="N88" s="433"/>
      <c r="O88" s="597">
        <v>11</v>
      </c>
      <c r="P88" s="596" t="str">
        <f>F88</f>
        <v>OH</v>
      </c>
      <c r="Q88" s="608">
        <f>Q65</f>
        <v>75000</v>
      </c>
      <c r="R88" s="453">
        <f>O88*Q88*K87</f>
        <v>1650000</v>
      </c>
      <c r="S88" s="453"/>
      <c r="T88" s="453"/>
      <c r="U88" s="753"/>
      <c r="V88" s="753"/>
      <c r="W88" s="753"/>
      <c r="X88" s="761"/>
      <c r="Y88" s="756"/>
      <c r="Z88" s="759"/>
      <c r="AA88" s="759"/>
      <c r="AB88" s="759"/>
      <c r="AC88" s="753"/>
      <c r="AD88" s="753"/>
      <c r="AE88" s="761"/>
      <c r="AF88" s="756"/>
      <c r="AG88" s="759"/>
      <c r="AH88" s="759"/>
      <c r="AI88" s="759"/>
      <c r="AJ88" s="753"/>
      <c r="AK88" s="753"/>
      <c r="AL88" s="761"/>
    </row>
    <row r="89" spans="2:38" x14ac:dyDescent="0.45">
      <c r="B89" s="813"/>
      <c r="C89" s="256"/>
      <c r="D89" s="279" t="s">
        <v>121</v>
      </c>
      <c r="E89" s="299">
        <v>0.27500000000000002</v>
      </c>
      <c r="F89" s="267" t="s">
        <v>108</v>
      </c>
      <c r="G89" s="339" t="s">
        <v>134</v>
      </c>
      <c r="H89" s="209"/>
      <c r="I89" s="966"/>
      <c r="J89" s="475"/>
      <c r="K89" s="602"/>
      <c r="L89" s="433">
        <f>E89*J87/K87</f>
        <v>1.86175</v>
      </c>
      <c r="M89" s="433"/>
      <c r="N89" s="433"/>
      <c r="O89" s="597">
        <v>2</v>
      </c>
      <c r="P89" s="596" t="str">
        <f>F89</f>
        <v>OH</v>
      </c>
      <c r="Q89" s="608">
        <f t="shared" ref="Q89:Q98" si="3">Q66</f>
        <v>85000</v>
      </c>
      <c r="R89" s="453">
        <f>O89*Q89*K87</f>
        <v>340000</v>
      </c>
      <c r="S89" s="453"/>
      <c r="T89" s="453"/>
      <c r="U89" s="753"/>
      <c r="V89" s="753"/>
      <c r="W89" s="753"/>
      <c r="X89" s="761"/>
      <c r="Y89" s="756"/>
      <c r="Z89" s="759"/>
      <c r="AA89" s="759"/>
      <c r="AB89" s="759"/>
      <c r="AC89" s="753"/>
      <c r="AD89" s="753"/>
      <c r="AE89" s="761"/>
      <c r="AF89" s="756"/>
      <c r="AG89" s="759"/>
      <c r="AH89" s="759"/>
      <c r="AI89" s="759"/>
      <c r="AJ89" s="753"/>
      <c r="AK89" s="753"/>
      <c r="AL89" s="761"/>
    </row>
    <row r="90" spans="2:38" x14ac:dyDescent="0.45">
      <c r="B90" s="813"/>
      <c r="C90" s="256"/>
      <c r="D90" s="279" t="s">
        <v>122</v>
      </c>
      <c r="E90" s="299">
        <v>2.8000000000000001E-2</v>
      </c>
      <c r="F90" s="267" t="s">
        <v>108</v>
      </c>
      <c r="G90" s="339" t="s">
        <v>123</v>
      </c>
      <c r="H90" s="209"/>
      <c r="I90" s="966"/>
      <c r="J90" s="475"/>
      <c r="K90" s="602"/>
      <c r="L90" s="433">
        <f>E90*J87/K87</f>
        <v>0.18955999999999998</v>
      </c>
      <c r="M90" s="433"/>
      <c r="N90" s="433"/>
      <c r="O90" s="597">
        <v>0</v>
      </c>
      <c r="P90" s="596" t="str">
        <f>F90</f>
        <v>OH</v>
      </c>
      <c r="Q90" s="608">
        <f t="shared" si="3"/>
        <v>90000</v>
      </c>
      <c r="R90" s="453">
        <f>O90*Q90*K87</f>
        <v>0</v>
      </c>
      <c r="S90" s="453"/>
      <c r="T90" s="453"/>
      <c r="U90" s="753"/>
      <c r="V90" s="753"/>
      <c r="W90" s="753"/>
      <c r="X90" s="761"/>
      <c r="Y90" s="756"/>
      <c r="Z90" s="759"/>
      <c r="AA90" s="759"/>
      <c r="AB90" s="759"/>
      <c r="AC90" s="753"/>
      <c r="AD90" s="753"/>
      <c r="AE90" s="761"/>
      <c r="AF90" s="756"/>
      <c r="AG90" s="759"/>
      <c r="AH90" s="759"/>
      <c r="AI90" s="759"/>
      <c r="AJ90" s="753"/>
      <c r="AK90" s="753"/>
      <c r="AL90" s="761"/>
    </row>
    <row r="91" spans="2:38" x14ac:dyDescent="0.45">
      <c r="B91" s="813"/>
      <c r="C91" s="256"/>
      <c r="D91" s="343" t="s">
        <v>109</v>
      </c>
      <c r="E91" s="300">
        <v>8.3000000000000004E-2</v>
      </c>
      <c r="F91" s="275" t="s">
        <v>108</v>
      </c>
      <c r="G91" s="351" t="s">
        <v>52</v>
      </c>
      <c r="H91" s="229"/>
      <c r="I91" s="967"/>
      <c r="J91" s="475"/>
      <c r="K91" s="602"/>
      <c r="L91" s="433">
        <f>E91*J87/K87</f>
        <v>0.56191000000000002</v>
      </c>
      <c r="M91" s="433"/>
      <c r="N91" s="433"/>
      <c r="O91" s="597">
        <v>1</v>
      </c>
      <c r="P91" s="596" t="str">
        <f>F91</f>
        <v>OH</v>
      </c>
      <c r="Q91" s="608">
        <f t="shared" si="3"/>
        <v>100000</v>
      </c>
      <c r="R91" s="453">
        <f>O91*Q91*K87</f>
        <v>200000</v>
      </c>
      <c r="S91" s="453"/>
      <c r="T91" s="453"/>
      <c r="U91" s="753"/>
      <c r="V91" s="753"/>
      <c r="W91" s="753"/>
      <c r="X91" s="761"/>
      <c r="Y91" s="756"/>
      <c r="Z91" s="759"/>
      <c r="AA91" s="759"/>
      <c r="AB91" s="759"/>
      <c r="AC91" s="753"/>
      <c r="AD91" s="753"/>
      <c r="AE91" s="761"/>
      <c r="AF91" s="756"/>
      <c r="AG91" s="759"/>
      <c r="AH91" s="759"/>
      <c r="AI91" s="759"/>
      <c r="AJ91" s="753"/>
      <c r="AK91" s="753"/>
      <c r="AL91" s="761"/>
    </row>
    <row r="92" spans="2:38" x14ac:dyDescent="0.45">
      <c r="B92" s="813"/>
      <c r="C92" s="256"/>
      <c r="D92" s="344"/>
      <c r="E92" s="352"/>
      <c r="F92" s="285" t="s">
        <v>5</v>
      </c>
      <c r="G92" s="353" t="s">
        <v>124</v>
      </c>
      <c r="H92" s="209"/>
      <c r="I92" s="966"/>
      <c r="J92" s="475"/>
      <c r="K92" s="602"/>
      <c r="L92" s="433"/>
      <c r="M92" s="433"/>
      <c r="N92" s="433"/>
      <c r="O92" s="597"/>
      <c r="P92" s="596"/>
      <c r="Q92" s="608">
        <f t="shared" si="3"/>
        <v>0</v>
      </c>
      <c r="R92" s="453"/>
      <c r="S92" s="453"/>
      <c r="T92" s="453"/>
      <c r="U92" s="753"/>
      <c r="V92" s="753"/>
      <c r="W92" s="753"/>
      <c r="X92" s="761"/>
      <c r="Y92" s="756"/>
      <c r="Z92" s="759"/>
      <c r="AA92" s="759"/>
      <c r="AB92" s="759"/>
      <c r="AC92" s="753"/>
      <c r="AD92" s="753"/>
      <c r="AE92" s="761"/>
      <c r="AF92" s="756"/>
      <c r="AG92" s="759"/>
      <c r="AH92" s="759"/>
      <c r="AI92" s="759"/>
      <c r="AJ92" s="753"/>
      <c r="AK92" s="753"/>
      <c r="AL92" s="761"/>
    </row>
    <row r="93" spans="2:38" x14ac:dyDescent="0.45">
      <c r="B93" s="813"/>
      <c r="C93" s="256"/>
      <c r="D93" s="836"/>
      <c r="E93" s="818">
        <f>384/40</f>
        <v>9.6</v>
      </c>
      <c r="F93" s="819" t="s">
        <v>347</v>
      </c>
      <c r="G93" s="842" t="s">
        <v>129</v>
      </c>
      <c r="H93" s="821"/>
      <c r="I93" s="977"/>
      <c r="J93" s="475"/>
      <c r="K93" s="602"/>
      <c r="L93" s="433"/>
      <c r="M93" s="433">
        <f>E93*J87</f>
        <v>129.98399999999998</v>
      </c>
      <c r="N93" s="433"/>
      <c r="O93" s="597">
        <v>130</v>
      </c>
      <c r="P93" s="596" t="str">
        <f>F93</f>
        <v>Zak</v>
      </c>
      <c r="Q93" s="608">
        <f t="shared" si="3"/>
        <v>45000</v>
      </c>
      <c r="R93" s="453"/>
      <c r="S93" s="453">
        <f t="shared" ref="S93:S96" si="4">O93*Q93</f>
        <v>5850000</v>
      </c>
      <c r="T93" s="453"/>
      <c r="U93" s="753"/>
      <c r="V93" s="753"/>
      <c r="W93" s="753"/>
      <c r="X93" s="761"/>
      <c r="Y93" s="756"/>
      <c r="Z93" s="759"/>
      <c r="AA93" s="759"/>
      <c r="AB93" s="759"/>
      <c r="AC93" s="753"/>
      <c r="AD93" s="753"/>
      <c r="AE93" s="761"/>
      <c r="AF93" s="756"/>
      <c r="AG93" s="759"/>
      <c r="AH93" s="759"/>
      <c r="AI93" s="759"/>
      <c r="AJ93" s="753"/>
      <c r="AK93" s="753"/>
      <c r="AL93" s="761"/>
    </row>
    <row r="94" spans="2:38" x14ac:dyDescent="0.45">
      <c r="B94" s="813"/>
      <c r="C94" s="256"/>
      <c r="D94" s="344"/>
      <c r="E94" s="222">
        <v>0.43</v>
      </c>
      <c r="F94" s="211" t="s">
        <v>12</v>
      </c>
      <c r="G94" s="339" t="s">
        <v>135</v>
      </c>
      <c r="H94" s="209"/>
      <c r="I94" s="966"/>
      <c r="J94" s="475"/>
      <c r="K94" s="602"/>
      <c r="L94" s="433"/>
      <c r="M94" s="433">
        <f>E94*J87</f>
        <v>5.8221999999999996</v>
      </c>
      <c r="N94" s="433"/>
      <c r="O94" s="597">
        <v>6</v>
      </c>
      <c r="P94" s="596" t="str">
        <f>F94</f>
        <v>M3</v>
      </c>
      <c r="Q94" s="608">
        <f t="shared" si="3"/>
        <v>325000</v>
      </c>
      <c r="R94" s="433"/>
      <c r="S94" s="453">
        <f t="shared" si="4"/>
        <v>1950000</v>
      </c>
      <c r="T94" s="433"/>
      <c r="U94" s="753"/>
      <c r="V94" s="753"/>
      <c r="W94" s="753"/>
      <c r="X94" s="761"/>
      <c r="Y94" s="756"/>
      <c r="Z94" s="759"/>
      <c r="AA94" s="759"/>
      <c r="AB94" s="759"/>
      <c r="AC94" s="753"/>
      <c r="AD94" s="753"/>
      <c r="AE94" s="761"/>
      <c r="AF94" s="756"/>
      <c r="AG94" s="759"/>
      <c r="AH94" s="759"/>
      <c r="AI94" s="759"/>
      <c r="AJ94" s="753"/>
      <c r="AK94" s="753"/>
      <c r="AL94" s="761"/>
    </row>
    <row r="95" spans="2:38" x14ac:dyDescent="0.45">
      <c r="B95" s="813"/>
      <c r="C95" s="256"/>
      <c r="D95" s="344"/>
      <c r="E95" s="222">
        <v>0.72</v>
      </c>
      <c r="F95" s="253" t="s">
        <v>12</v>
      </c>
      <c r="G95" s="339" t="s">
        <v>136</v>
      </c>
      <c r="H95" s="209"/>
      <c r="I95" s="966"/>
      <c r="J95" s="475"/>
      <c r="K95" s="602"/>
      <c r="L95" s="433"/>
      <c r="M95" s="433">
        <f>E95*J87</f>
        <v>9.7487999999999992</v>
      </c>
      <c r="N95" s="433"/>
      <c r="O95" s="597">
        <v>10</v>
      </c>
      <c r="P95" s="596" t="str">
        <f>F95</f>
        <v>M3</v>
      </c>
      <c r="Q95" s="608">
        <f t="shared" si="3"/>
        <v>325000</v>
      </c>
      <c r="R95" s="433"/>
      <c r="S95" s="453">
        <f t="shared" si="4"/>
        <v>3250000</v>
      </c>
      <c r="T95" s="433"/>
      <c r="U95" s="753"/>
      <c r="V95" s="753"/>
      <c r="W95" s="753"/>
      <c r="X95" s="761"/>
      <c r="Y95" s="756"/>
      <c r="Z95" s="759"/>
      <c r="AA95" s="759"/>
      <c r="AB95" s="759"/>
      <c r="AC95" s="753"/>
      <c r="AD95" s="753"/>
      <c r="AE95" s="761"/>
      <c r="AF95" s="756"/>
      <c r="AG95" s="759"/>
      <c r="AH95" s="759"/>
      <c r="AI95" s="759"/>
      <c r="AJ95" s="753"/>
      <c r="AK95" s="753"/>
      <c r="AL95" s="761"/>
    </row>
    <row r="96" spans="2:38" x14ac:dyDescent="0.45">
      <c r="B96" s="813"/>
      <c r="C96" s="256"/>
      <c r="D96" s="345"/>
      <c r="E96" s="354">
        <v>215</v>
      </c>
      <c r="F96" s="275" t="s">
        <v>81</v>
      </c>
      <c r="G96" s="351" t="s">
        <v>88</v>
      </c>
      <c r="H96" s="229"/>
      <c r="I96" s="967"/>
      <c r="J96" s="475"/>
      <c r="K96" s="602"/>
      <c r="L96" s="433"/>
      <c r="M96" s="433">
        <f>E96*J87</f>
        <v>2911.1</v>
      </c>
      <c r="N96" s="433"/>
      <c r="O96" s="597">
        <v>2912</v>
      </c>
      <c r="P96" s="596" t="str">
        <f>F96</f>
        <v>ltr</v>
      </c>
      <c r="Q96" s="608">
        <f t="shared" si="3"/>
        <v>17</v>
      </c>
      <c r="R96" s="433"/>
      <c r="S96" s="453">
        <f t="shared" si="4"/>
        <v>49504</v>
      </c>
      <c r="T96" s="433"/>
      <c r="U96" s="753"/>
      <c r="V96" s="753"/>
      <c r="W96" s="753"/>
      <c r="X96" s="761"/>
      <c r="Y96" s="756"/>
      <c r="Z96" s="759"/>
      <c r="AA96" s="759"/>
      <c r="AB96" s="759"/>
      <c r="AC96" s="753"/>
      <c r="AD96" s="753"/>
      <c r="AE96" s="761"/>
      <c r="AF96" s="756"/>
      <c r="AG96" s="759"/>
      <c r="AH96" s="759"/>
      <c r="AI96" s="759"/>
      <c r="AJ96" s="753"/>
      <c r="AK96" s="753"/>
      <c r="AL96" s="761"/>
    </row>
    <row r="97" spans="2:38" x14ac:dyDescent="0.45">
      <c r="B97" s="813"/>
      <c r="C97" s="277"/>
      <c r="D97" s="230"/>
      <c r="E97" s="230"/>
      <c r="F97" s="207" t="s">
        <v>6</v>
      </c>
      <c r="G97" s="213" t="s">
        <v>111</v>
      </c>
      <c r="H97" s="244"/>
      <c r="I97" s="969"/>
      <c r="J97" s="475"/>
      <c r="K97" s="602"/>
      <c r="L97" s="433"/>
      <c r="M97" s="433"/>
      <c r="N97" s="433"/>
      <c r="O97" s="597"/>
      <c r="P97" s="596"/>
      <c r="Q97" s="608">
        <f t="shared" si="3"/>
        <v>0</v>
      </c>
      <c r="R97" s="433"/>
      <c r="S97" s="433"/>
      <c r="T97" s="433"/>
      <c r="U97" s="433"/>
      <c r="V97" s="433"/>
      <c r="W97" s="433"/>
      <c r="X97" s="659"/>
      <c r="Y97" s="661"/>
      <c r="Z97" s="433"/>
      <c r="AA97" s="433"/>
      <c r="AB97" s="433"/>
      <c r="AC97" s="433"/>
      <c r="AD97" s="433"/>
      <c r="AE97" s="644"/>
      <c r="AF97" s="661"/>
      <c r="AG97" s="433"/>
      <c r="AH97" s="433"/>
      <c r="AI97" s="433"/>
      <c r="AJ97" s="433"/>
      <c r="AK97" s="433"/>
      <c r="AL97" s="644"/>
    </row>
    <row r="98" spans="2:38" x14ac:dyDescent="0.45">
      <c r="B98" s="813"/>
      <c r="C98" s="277"/>
      <c r="D98" s="843"/>
      <c r="E98" s="848"/>
      <c r="F98" s="844"/>
      <c r="G98" s="845" t="s">
        <v>619</v>
      </c>
      <c r="H98" s="846"/>
      <c r="I98" s="979"/>
      <c r="J98" s="475"/>
      <c r="K98" s="602"/>
      <c r="L98" s="433"/>
      <c r="M98" s="433"/>
      <c r="N98" s="433">
        <f>E98*J87</f>
        <v>0</v>
      </c>
      <c r="O98" s="597">
        <v>2</v>
      </c>
      <c r="P98" s="596" t="s">
        <v>318</v>
      </c>
      <c r="Q98" s="608">
        <f t="shared" si="3"/>
        <v>150000</v>
      </c>
      <c r="R98" s="433"/>
      <c r="S98" s="433"/>
      <c r="T98" s="453">
        <f>O98*Q98</f>
        <v>300000</v>
      </c>
      <c r="U98" s="433"/>
      <c r="V98" s="433"/>
      <c r="W98" s="433"/>
      <c r="X98" s="659"/>
      <c r="Y98" s="661"/>
      <c r="Z98" s="433"/>
      <c r="AA98" s="433"/>
      <c r="AB98" s="433"/>
      <c r="AC98" s="433"/>
      <c r="AD98" s="433"/>
      <c r="AE98" s="644"/>
      <c r="AF98" s="661"/>
      <c r="AG98" s="433"/>
      <c r="AH98" s="433"/>
      <c r="AI98" s="433"/>
      <c r="AJ98" s="433"/>
      <c r="AK98" s="433"/>
      <c r="AL98" s="644"/>
    </row>
    <row r="99" spans="2:38" x14ac:dyDescent="0.45">
      <c r="B99" s="813"/>
      <c r="C99" s="277"/>
      <c r="D99" s="279"/>
      <c r="E99" s="346"/>
      <c r="F99" s="207" t="s">
        <v>112</v>
      </c>
      <c r="G99" s="208" t="s">
        <v>113</v>
      </c>
      <c r="H99" s="209"/>
      <c r="I99" s="966"/>
      <c r="J99" s="475"/>
      <c r="K99" s="602"/>
      <c r="L99" s="433"/>
      <c r="M99" s="433"/>
      <c r="N99" s="433"/>
      <c r="O99" s="433"/>
      <c r="P99" s="433"/>
      <c r="Q99" s="595"/>
      <c r="R99" s="433"/>
      <c r="S99" s="433"/>
      <c r="T99" s="433"/>
      <c r="U99" s="433"/>
      <c r="V99" s="433"/>
      <c r="W99" s="433"/>
      <c r="X99" s="659"/>
      <c r="Y99" s="661"/>
      <c r="Z99" s="433"/>
      <c r="AA99" s="433"/>
      <c r="AB99" s="433"/>
      <c r="AC99" s="433"/>
      <c r="AD99" s="433"/>
      <c r="AE99" s="644"/>
      <c r="AF99" s="661"/>
      <c r="AG99" s="433"/>
      <c r="AH99" s="433"/>
      <c r="AI99" s="433"/>
      <c r="AJ99" s="433"/>
      <c r="AK99" s="433"/>
      <c r="AL99" s="644"/>
    </row>
    <row r="100" spans="2:38" x14ac:dyDescent="0.45">
      <c r="B100" s="813"/>
      <c r="C100" s="277"/>
      <c r="D100" s="343"/>
      <c r="E100" s="347"/>
      <c r="F100" s="239" t="s">
        <v>114</v>
      </c>
      <c r="G100" s="257" t="s">
        <v>166</v>
      </c>
      <c r="H100" s="229"/>
      <c r="I100" s="980">
        <v>0.15</v>
      </c>
      <c r="J100" s="475"/>
      <c r="K100" s="602"/>
      <c r="L100" s="433"/>
      <c r="M100" s="433"/>
      <c r="N100" s="433"/>
      <c r="O100" s="433"/>
      <c r="P100" s="433"/>
      <c r="Q100" s="595"/>
      <c r="R100" s="433"/>
      <c r="S100" s="433"/>
      <c r="T100" s="433"/>
      <c r="U100" s="433"/>
      <c r="V100" s="433"/>
      <c r="W100" s="433"/>
      <c r="X100" s="659"/>
      <c r="Y100" s="661"/>
      <c r="Z100" s="433"/>
      <c r="AA100" s="433"/>
      <c r="AB100" s="433"/>
      <c r="AC100" s="433"/>
      <c r="AD100" s="433"/>
      <c r="AE100" s="644"/>
      <c r="AF100" s="661"/>
      <c r="AG100" s="433"/>
      <c r="AH100" s="433"/>
      <c r="AI100" s="433"/>
      <c r="AJ100" s="433"/>
      <c r="AK100" s="433"/>
      <c r="AL100" s="644"/>
    </row>
    <row r="101" spans="2:38" ht="17" thickBot="1" x14ac:dyDescent="0.5">
      <c r="B101" s="830"/>
      <c r="C101" s="831"/>
      <c r="D101" s="832"/>
      <c r="E101" s="833"/>
      <c r="F101" s="834" t="s">
        <v>115</v>
      </c>
      <c r="G101" s="816" t="s">
        <v>127</v>
      </c>
      <c r="H101" s="835"/>
      <c r="I101" s="981"/>
      <c r="J101" s="793"/>
      <c r="K101" s="763"/>
      <c r="L101" s="655"/>
      <c r="M101" s="655"/>
      <c r="N101" s="655"/>
      <c r="O101" s="655"/>
      <c r="P101" s="655"/>
      <c r="Q101" s="654"/>
      <c r="R101" s="655"/>
      <c r="S101" s="655"/>
      <c r="T101" s="655"/>
      <c r="U101" s="655"/>
      <c r="V101" s="655"/>
      <c r="W101" s="655"/>
      <c r="X101" s="660"/>
      <c r="Y101" s="662"/>
      <c r="Z101" s="655"/>
      <c r="AA101" s="655"/>
      <c r="AB101" s="655"/>
      <c r="AC101" s="655"/>
      <c r="AD101" s="655"/>
      <c r="AE101" s="656"/>
      <c r="AF101" s="662"/>
      <c r="AG101" s="655"/>
      <c r="AH101" s="655"/>
      <c r="AI101" s="655"/>
      <c r="AJ101" s="655"/>
      <c r="AK101" s="655"/>
      <c r="AL101" s="656"/>
    </row>
    <row r="102" spans="2:38" x14ac:dyDescent="0.45">
      <c r="D102" s="112"/>
      <c r="E102" s="195"/>
      <c r="G102" s="111"/>
      <c r="H102" s="111"/>
      <c r="I102" s="111"/>
      <c r="Z102" s="657"/>
      <c r="AA102" s="657"/>
      <c r="AB102" s="657"/>
      <c r="AC102" s="657"/>
      <c r="AD102" s="657"/>
      <c r="AE102" s="657"/>
      <c r="AG102" s="657"/>
      <c r="AH102" s="657"/>
      <c r="AI102" s="657"/>
      <c r="AJ102" s="657"/>
      <c r="AK102" s="657"/>
      <c r="AL102" s="657"/>
    </row>
    <row r="103" spans="2:38" ht="17" thickBot="1" x14ac:dyDescent="0.5">
      <c r="B103" s="749" t="s">
        <v>625</v>
      </c>
      <c r="C103" s="750" t="s">
        <v>626</v>
      </c>
      <c r="D103" s="241"/>
      <c r="E103" s="241"/>
      <c r="F103" s="276"/>
      <c r="G103" s="240"/>
      <c r="H103" s="241"/>
      <c r="I103" s="241"/>
      <c r="J103" s="604"/>
      <c r="K103" s="603"/>
      <c r="L103" s="604"/>
      <c r="M103" s="604"/>
      <c r="N103" s="604"/>
      <c r="O103" s="604"/>
      <c r="P103" s="604"/>
      <c r="Q103" s="604"/>
      <c r="R103" s="609"/>
      <c r="S103" s="609"/>
      <c r="T103" s="609"/>
      <c r="U103" s="609"/>
      <c r="V103" s="609"/>
      <c r="W103" s="609"/>
      <c r="X103" s="609"/>
      <c r="Y103" s="609"/>
      <c r="Z103" s="609"/>
      <c r="AA103" s="609"/>
      <c r="AB103" s="609"/>
      <c r="AC103" s="609"/>
      <c r="AD103" s="609"/>
      <c r="AE103" s="609"/>
      <c r="AF103" s="609"/>
      <c r="AG103" s="609"/>
      <c r="AH103" s="609"/>
      <c r="AI103" s="609"/>
      <c r="AJ103" s="609"/>
      <c r="AK103" s="609"/>
      <c r="AL103" s="609"/>
    </row>
    <row r="104" spans="2:38" ht="19.5" customHeight="1" x14ac:dyDescent="0.45">
      <c r="B104" s="1168" t="s">
        <v>99</v>
      </c>
      <c r="C104" s="1171" t="s">
        <v>100</v>
      </c>
      <c r="D104" s="1171" t="s">
        <v>89</v>
      </c>
      <c r="E104" s="1171" t="s">
        <v>101</v>
      </c>
      <c r="F104" s="1171" t="s">
        <v>102</v>
      </c>
      <c r="G104" s="1109" t="s">
        <v>103</v>
      </c>
      <c r="H104" s="1110"/>
      <c r="I104" s="1175"/>
      <c r="J104" s="1152" t="s">
        <v>539</v>
      </c>
      <c r="K104" s="1152"/>
      <c r="L104" s="1152"/>
      <c r="M104" s="1152"/>
      <c r="N104" s="1152"/>
      <c r="O104" s="1152"/>
      <c r="P104" s="1152"/>
      <c r="Q104" s="1152"/>
      <c r="R104" s="1152"/>
      <c r="S104" s="1152"/>
      <c r="T104" s="1152"/>
      <c r="U104" s="1152"/>
      <c r="V104" s="1152"/>
      <c r="W104" s="1152"/>
      <c r="X104" s="1152"/>
      <c r="Y104" s="1153" t="s">
        <v>540</v>
      </c>
      <c r="Z104" s="1154"/>
      <c r="AA104" s="1154"/>
      <c r="AB104" s="1154"/>
      <c r="AC104" s="1154"/>
      <c r="AD104" s="1154"/>
      <c r="AE104" s="1155"/>
      <c r="AF104" s="1156" t="s">
        <v>541</v>
      </c>
      <c r="AG104" s="1157"/>
      <c r="AH104" s="1157"/>
      <c r="AI104" s="1157"/>
      <c r="AJ104" s="1157"/>
      <c r="AK104" s="1157"/>
      <c r="AL104" s="1158"/>
    </row>
    <row r="105" spans="2:38" ht="45" x14ac:dyDescent="0.45">
      <c r="B105" s="1169"/>
      <c r="C105" s="1089"/>
      <c r="D105" s="1089"/>
      <c r="E105" s="1089"/>
      <c r="F105" s="1089"/>
      <c r="G105" s="1026"/>
      <c r="H105" s="1027"/>
      <c r="I105" s="1176"/>
      <c r="J105" s="1173" t="s">
        <v>15</v>
      </c>
      <c r="K105" s="673" t="s">
        <v>493</v>
      </c>
      <c r="L105" s="1161" t="s">
        <v>491</v>
      </c>
      <c r="M105" s="1162"/>
      <c r="N105" s="1162"/>
      <c r="O105" s="1162"/>
      <c r="P105" s="1163"/>
      <c r="Q105" s="674" t="s">
        <v>533</v>
      </c>
      <c r="R105" s="1161" t="s">
        <v>501</v>
      </c>
      <c r="S105" s="1162"/>
      <c r="T105" s="1163"/>
      <c r="U105" s="674" t="s">
        <v>530</v>
      </c>
      <c r="V105" s="674" t="s">
        <v>531</v>
      </c>
      <c r="W105" s="674" t="s">
        <v>578</v>
      </c>
      <c r="X105" s="681" t="s">
        <v>579</v>
      </c>
      <c r="Y105" s="1164" t="s">
        <v>534</v>
      </c>
      <c r="Z105" s="1165"/>
      <c r="AA105" s="663" t="s">
        <v>537</v>
      </c>
      <c r="AB105" s="664" t="s">
        <v>538</v>
      </c>
      <c r="AC105" s="665" t="s">
        <v>530</v>
      </c>
      <c r="AD105" s="665" t="s">
        <v>578</v>
      </c>
      <c r="AE105" s="682" t="s">
        <v>579</v>
      </c>
      <c r="AF105" s="1166" t="s">
        <v>542</v>
      </c>
      <c r="AG105" s="1167"/>
      <c r="AH105" s="737" t="s">
        <v>543</v>
      </c>
      <c r="AI105" s="738" t="s">
        <v>544</v>
      </c>
      <c r="AJ105" s="739" t="s">
        <v>530</v>
      </c>
      <c r="AK105" s="739" t="s">
        <v>578</v>
      </c>
      <c r="AL105" s="740" t="s">
        <v>579</v>
      </c>
    </row>
    <row r="106" spans="2:38" ht="30" x14ac:dyDescent="0.45">
      <c r="B106" s="1170"/>
      <c r="C106" s="1090"/>
      <c r="D106" s="1090"/>
      <c r="E106" s="1090"/>
      <c r="F106" s="1090"/>
      <c r="G106" s="1085"/>
      <c r="H106" s="1086"/>
      <c r="I106" s="1177"/>
      <c r="J106" s="1174"/>
      <c r="K106" s="675" t="s">
        <v>495</v>
      </c>
      <c r="L106" s="676" t="s">
        <v>524</v>
      </c>
      <c r="M106" s="676" t="s">
        <v>525</v>
      </c>
      <c r="N106" s="676" t="s">
        <v>526</v>
      </c>
      <c r="O106" s="675" t="s">
        <v>517</v>
      </c>
      <c r="P106" s="675" t="s">
        <v>290</v>
      </c>
      <c r="Q106" s="675" t="s">
        <v>532</v>
      </c>
      <c r="R106" s="676" t="s">
        <v>527</v>
      </c>
      <c r="S106" s="676" t="s">
        <v>528</v>
      </c>
      <c r="T106" s="677" t="s">
        <v>529</v>
      </c>
      <c r="U106" s="675" t="s">
        <v>502</v>
      </c>
      <c r="V106" s="675" t="s">
        <v>502</v>
      </c>
      <c r="W106" s="675" t="s">
        <v>502</v>
      </c>
      <c r="X106" s="678" t="s">
        <v>504</v>
      </c>
      <c r="Y106" s="666" t="s">
        <v>535</v>
      </c>
      <c r="Z106" s="667" t="s">
        <v>536</v>
      </c>
      <c r="AA106" s="668" t="s">
        <v>532</v>
      </c>
      <c r="AB106" s="668" t="s">
        <v>532</v>
      </c>
      <c r="AC106" s="668" t="s">
        <v>532</v>
      </c>
      <c r="AD106" s="668" t="s">
        <v>532</v>
      </c>
      <c r="AE106" s="669" t="s">
        <v>532</v>
      </c>
      <c r="AF106" s="741" t="s">
        <v>535</v>
      </c>
      <c r="AG106" s="742" t="s">
        <v>536</v>
      </c>
      <c r="AH106" s="743" t="s">
        <v>532</v>
      </c>
      <c r="AI106" s="743" t="s">
        <v>532</v>
      </c>
      <c r="AJ106" s="743" t="s">
        <v>532</v>
      </c>
      <c r="AK106" s="743" t="s">
        <v>532</v>
      </c>
      <c r="AL106" s="744" t="s">
        <v>532</v>
      </c>
    </row>
    <row r="107" spans="2:38" ht="30" x14ac:dyDescent="0.45">
      <c r="B107" s="639" t="s">
        <v>4</v>
      </c>
      <c r="C107" s="600" t="s">
        <v>5</v>
      </c>
      <c r="D107" s="570" t="s">
        <v>6</v>
      </c>
      <c r="E107" s="570" t="s">
        <v>112</v>
      </c>
      <c r="F107" s="570" t="s">
        <v>114</v>
      </c>
      <c r="G107" s="1014" t="s">
        <v>115</v>
      </c>
      <c r="H107" s="1014"/>
      <c r="I107" s="1172"/>
      <c r="J107" s="791" t="s">
        <v>21</v>
      </c>
      <c r="K107" s="675" t="s">
        <v>496</v>
      </c>
      <c r="L107" s="675" t="s">
        <v>497</v>
      </c>
      <c r="M107" s="675" t="s">
        <v>498</v>
      </c>
      <c r="N107" s="675" t="s">
        <v>499</v>
      </c>
      <c r="O107" s="676" t="s">
        <v>552</v>
      </c>
      <c r="P107" s="675" t="s">
        <v>512</v>
      </c>
      <c r="Q107" s="675" t="s">
        <v>503</v>
      </c>
      <c r="R107" s="675" t="s">
        <v>553</v>
      </c>
      <c r="S107" s="675" t="s">
        <v>513</v>
      </c>
      <c r="T107" s="675" t="s">
        <v>514</v>
      </c>
      <c r="U107" s="675" t="s">
        <v>554</v>
      </c>
      <c r="V107" s="675" t="s">
        <v>515</v>
      </c>
      <c r="W107" s="675" t="s">
        <v>555</v>
      </c>
      <c r="X107" s="678" t="s">
        <v>516</v>
      </c>
      <c r="Y107" s="670" t="s">
        <v>556</v>
      </c>
      <c r="Z107" s="671" t="s">
        <v>557</v>
      </c>
      <c r="AA107" s="671" t="s">
        <v>558</v>
      </c>
      <c r="AB107" s="671" t="s">
        <v>559</v>
      </c>
      <c r="AC107" s="671" t="s">
        <v>560</v>
      </c>
      <c r="AD107" s="671" t="s">
        <v>561</v>
      </c>
      <c r="AE107" s="672" t="s">
        <v>562</v>
      </c>
      <c r="AF107" s="745" t="s">
        <v>563</v>
      </c>
      <c r="AG107" s="746" t="s">
        <v>564</v>
      </c>
      <c r="AH107" s="746" t="s">
        <v>565</v>
      </c>
      <c r="AI107" s="746" t="s">
        <v>566</v>
      </c>
      <c r="AJ107" s="746" t="s">
        <v>567</v>
      </c>
      <c r="AK107" s="746" t="s">
        <v>568</v>
      </c>
      <c r="AL107" s="747" t="s">
        <v>569</v>
      </c>
    </row>
    <row r="108" spans="2:38" ht="15.5" x14ac:dyDescent="0.45">
      <c r="B108" s="800">
        <v>5</v>
      </c>
      <c r="C108" s="583" t="s">
        <v>43</v>
      </c>
      <c r="D108" s="583"/>
      <c r="E108" s="798">
        <v>1</v>
      </c>
      <c r="F108" s="584" t="s">
        <v>12</v>
      </c>
      <c r="G108" s="561" t="s">
        <v>244</v>
      </c>
      <c r="H108" s="562"/>
      <c r="I108" s="975"/>
      <c r="J108" s="828"/>
      <c r="K108" s="828"/>
      <c r="L108" s="828"/>
      <c r="M108" s="828"/>
      <c r="N108" s="828"/>
      <c r="O108" s="828"/>
      <c r="P108" s="828"/>
      <c r="Q108" s="828"/>
      <c r="R108" s="828"/>
      <c r="S108" s="828"/>
      <c r="T108" s="828"/>
      <c r="U108" s="828"/>
      <c r="V108" s="828"/>
      <c r="W108" s="828"/>
      <c r="X108" s="828"/>
      <c r="Y108" s="828"/>
      <c r="Z108" s="828"/>
      <c r="AA108" s="828"/>
      <c r="AB108" s="828"/>
      <c r="AC108" s="828"/>
      <c r="AD108" s="828"/>
      <c r="AE108" s="828"/>
      <c r="AF108" s="828"/>
      <c r="AG108" s="828"/>
      <c r="AH108" s="828"/>
      <c r="AI108" s="828"/>
      <c r="AJ108" s="828"/>
      <c r="AK108" s="828"/>
      <c r="AL108" s="829"/>
    </row>
    <row r="109" spans="2:38" ht="15.5" x14ac:dyDescent="0.45">
      <c r="B109" s="764"/>
      <c r="C109" s="520"/>
      <c r="D109" s="508"/>
      <c r="E109" s="521"/>
      <c r="F109" s="508"/>
      <c r="G109" s="510" t="s">
        <v>243</v>
      </c>
      <c r="H109" s="494"/>
      <c r="I109" s="978"/>
      <c r="J109" s="789"/>
      <c r="K109" s="789"/>
      <c r="L109" s="789"/>
      <c r="M109" s="789"/>
      <c r="N109" s="789"/>
      <c r="O109" s="789"/>
      <c r="P109" s="789"/>
      <c r="Q109" s="789"/>
      <c r="R109" s="789"/>
      <c r="S109" s="789"/>
      <c r="T109" s="789"/>
      <c r="U109" s="789"/>
      <c r="V109" s="789"/>
      <c r="W109" s="789"/>
      <c r="X109" s="789"/>
      <c r="Y109" s="789"/>
      <c r="Z109" s="789"/>
      <c r="AA109" s="789"/>
      <c r="AB109" s="789"/>
      <c r="AC109" s="789"/>
      <c r="AD109" s="789"/>
      <c r="AE109" s="789"/>
      <c r="AF109" s="789"/>
      <c r="AG109" s="789"/>
      <c r="AH109" s="789"/>
      <c r="AI109" s="789"/>
      <c r="AJ109" s="789"/>
      <c r="AK109" s="789"/>
      <c r="AL109" s="790"/>
    </row>
    <row r="110" spans="2:38" x14ac:dyDescent="0.45">
      <c r="B110" s="813"/>
      <c r="C110" s="256"/>
      <c r="D110" s="341"/>
      <c r="E110" s="350"/>
      <c r="F110" s="206" t="s">
        <v>4</v>
      </c>
      <c r="G110" s="274" t="s">
        <v>120</v>
      </c>
      <c r="H110" s="226"/>
      <c r="I110" s="974"/>
      <c r="J110" s="792">
        <f>RAP!E45</f>
        <v>16.53</v>
      </c>
      <c r="K110" s="601">
        <v>2</v>
      </c>
      <c r="L110" s="319"/>
      <c r="M110" s="319"/>
      <c r="N110" s="319"/>
      <c r="O110" s="598"/>
      <c r="P110" s="598"/>
      <c r="Q110" s="605"/>
      <c r="R110" s="485"/>
      <c r="S110" s="485"/>
      <c r="T110" s="485"/>
      <c r="U110" s="752">
        <f>SUM(R110:R124)+(SUM(S110:S124)+SUM(T110:T124))</f>
        <v>16662918</v>
      </c>
      <c r="V110" s="754">
        <f>RAP!H45</f>
        <v>18433417.100000001</v>
      </c>
      <c r="W110" s="752">
        <f>V110-U110</f>
        <v>1770499.1000000015</v>
      </c>
      <c r="X110" s="760">
        <f>W110/V110*100</f>
        <v>9.6048339295702334</v>
      </c>
      <c r="Y110" s="755">
        <f>SUM(R110:R124)/J110</f>
        <v>169993.95039322443</v>
      </c>
      <c r="Z110" s="757">
        <v>150000</v>
      </c>
      <c r="AA110" s="758">
        <f>J110*Z110</f>
        <v>2479500</v>
      </c>
      <c r="AB110" s="758">
        <f>SUM(S110:S124)+SUM(T110:T124)</f>
        <v>13852918</v>
      </c>
      <c r="AC110" s="752">
        <f>AA110+AB110</f>
        <v>16332418</v>
      </c>
      <c r="AD110" s="752">
        <f>V110-AC110</f>
        <v>2100999.1000000015</v>
      </c>
      <c r="AE110" s="760">
        <f>AD110/V110*100</f>
        <v>11.397773340679203</v>
      </c>
      <c r="AF110" s="755">
        <f>(SUM(R110:R124)+SUM(S110:S124))/J110</f>
        <v>989892.19600725942</v>
      </c>
      <c r="AG110" s="757">
        <v>950000</v>
      </c>
      <c r="AH110" s="758">
        <f>AG110*J110</f>
        <v>15703500.000000002</v>
      </c>
      <c r="AI110" s="758">
        <f>SUM(T110:T124)</f>
        <v>300000</v>
      </c>
      <c r="AJ110" s="752">
        <f>AH110+AI110</f>
        <v>16003500.000000002</v>
      </c>
      <c r="AK110" s="752">
        <f>V110-AJ110</f>
        <v>2429917.0999999996</v>
      </c>
      <c r="AL110" s="760">
        <f>AK110/V110*100</f>
        <v>13.182130512307452</v>
      </c>
    </row>
    <row r="111" spans="2:38" x14ac:dyDescent="0.45">
      <c r="B111" s="813"/>
      <c r="C111" s="256"/>
      <c r="D111" s="279" t="s">
        <v>107</v>
      </c>
      <c r="E111" s="299">
        <v>1.65</v>
      </c>
      <c r="F111" s="267" t="s">
        <v>108</v>
      </c>
      <c r="G111" s="339" t="s">
        <v>51</v>
      </c>
      <c r="H111" s="209"/>
      <c r="I111" s="966"/>
      <c r="J111" s="475"/>
      <c r="K111" s="602"/>
      <c r="L111" s="433">
        <f>E111*J110/K110</f>
        <v>13.63725</v>
      </c>
      <c r="M111" s="433"/>
      <c r="N111" s="433"/>
      <c r="O111" s="597">
        <v>14</v>
      </c>
      <c r="P111" s="596" t="str">
        <f>F111</f>
        <v>OH</v>
      </c>
      <c r="Q111" s="608">
        <f>Q88</f>
        <v>75000</v>
      </c>
      <c r="R111" s="453">
        <f>O111*Q111*K110</f>
        <v>2100000</v>
      </c>
      <c r="S111" s="453"/>
      <c r="T111" s="453"/>
      <c r="U111" s="753"/>
      <c r="V111" s="753"/>
      <c r="W111" s="753"/>
      <c r="X111" s="761"/>
      <c r="Y111" s="756"/>
      <c r="Z111" s="759"/>
      <c r="AA111" s="759"/>
      <c r="AB111" s="759"/>
      <c r="AC111" s="753"/>
      <c r="AD111" s="753"/>
      <c r="AE111" s="761"/>
      <c r="AF111" s="756"/>
      <c r="AG111" s="759"/>
      <c r="AH111" s="759"/>
      <c r="AI111" s="759"/>
      <c r="AJ111" s="753"/>
      <c r="AK111" s="753"/>
      <c r="AL111" s="761"/>
    </row>
    <row r="112" spans="2:38" x14ac:dyDescent="0.45">
      <c r="B112" s="813"/>
      <c r="C112" s="256"/>
      <c r="D112" s="279" t="s">
        <v>121</v>
      </c>
      <c r="E112" s="299">
        <v>0.27500000000000002</v>
      </c>
      <c r="F112" s="267" t="s">
        <v>108</v>
      </c>
      <c r="G112" s="339" t="s">
        <v>134</v>
      </c>
      <c r="H112" s="209"/>
      <c r="I112" s="966"/>
      <c r="J112" s="475"/>
      <c r="K112" s="602"/>
      <c r="L112" s="433">
        <f>E112*J110/K110</f>
        <v>2.2728750000000004</v>
      </c>
      <c r="M112" s="433"/>
      <c r="N112" s="433"/>
      <c r="O112" s="597">
        <v>3</v>
      </c>
      <c r="P112" s="596" t="str">
        <f>F112</f>
        <v>OH</v>
      </c>
      <c r="Q112" s="608">
        <f t="shared" ref="Q112:Q121" si="5">Q89</f>
        <v>85000</v>
      </c>
      <c r="R112" s="453">
        <f>O112*Q112*K110</f>
        <v>510000</v>
      </c>
      <c r="S112" s="453"/>
      <c r="T112" s="453"/>
      <c r="U112" s="753"/>
      <c r="V112" s="753"/>
      <c r="W112" s="753"/>
      <c r="X112" s="761"/>
      <c r="Y112" s="756"/>
      <c r="Z112" s="759"/>
      <c r="AA112" s="759"/>
      <c r="AB112" s="759"/>
      <c r="AC112" s="753"/>
      <c r="AD112" s="753"/>
      <c r="AE112" s="761"/>
      <c r="AF112" s="756"/>
      <c r="AG112" s="759"/>
      <c r="AH112" s="759"/>
      <c r="AI112" s="759"/>
      <c r="AJ112" s="753"/>
      <c r="AK112" s="753"/>
      <c r="AL112" s="761"/>
    </row>
    <row r="113" spans="2:38" x14ac:dyDescent="0.45">
      <c r="B113" s="813"/>
      <c r="C113" s="256"/>
      <c r="D113" s="279" t="s">
        <v>122</v>
      </c>
      <c r="E113" s="299">
        <v>2.8000000000000001E-2</v>
      </c>
      <c r="F113" s="267" t="s">
        <v>108</v>
      </c>
      <c r="G113" s="339" t="s">
        <v>123</v>
      </c>
      <c r="H113" s="209"/>
      <c r="I113" s="966"/>
      <c r="J113" s="475"/>
      <c r="K113" s="602"/>
      <c r="L113" s="433">
        <f>E113*J110/K110</f>
        <v>0.23142000000000001</v>
      </c>
      <c r="M113" s="433"/>
      <c r="N113" s="433"/>
      <c r="O113" s="597">
        <v>0</v>
      </c>
      <c r="P113" s="596" t="str">
        <f>F113</f>
        <v>OH</v>
      </c>
      <c r="Q113" s="608">
        <f t="shared" si="5"/>
        <v>90000</v>
      </c>
      <c r="R113" s="453">
        <f>O113*Q113*K110</f>
        <v>0</v>
      </c>
      <c r="S113" s="453"/>
      <c r="T113" s="453"/>
      <c r="U113" s="753"/>
      <c r="V113" s="753"/>
      <c r="W113" s="753"/>
      <c r="X113" s="761"/>
      <c r="Y113" s="756"/>
      <c r="Z113" s="759"/>
      <c r="AA113" s="759"/>
      <c r="AB113" s="759"/>
      <c r="AC113" s="753"/>
      <c r="AD113" s="753"/>
      <c r="AE113" s="761"/>
      <c r="AF113" s="756"/>
      <c r="AG113" s="759"/>
      <c r="AH113" s="759"/>
      <c r="AI113" s="759"/>
      <c r="AJ113" s="753"/>
      <c r="AK113" s="753"/>
      <c r="AL113" s="761"/>
    </row>
    <row r="114" spans="2:38" x14ac:dyDescent="0.45">
      <c r="B114" s="813"/>
      <c r="C114" s="256"/>
      <c r="D114" s="343" t="s">
        <v>109</v>
      </c>
      <c r="E114" s="300">
        <v>8.3000000000000004E-2</v>
      </c>
      <c r="F114" s="275" t="s">
        <v>108</v>
      </c>
      <c r="G114" s="351" t="s">
        <v>52</v>
      </c>
      <c r="H114" s="229"/>
      <c r="I114" s="967"/>
      <c r="J114" s="475"/>
      <c r="K114" s="602"/>
      <c r="L114" s="433">
        <f>E114*J110/K110</f>
        <v>0.68599500000000013</v>
      </c>
      <c r="M114" s="433"/>
      <c r="N114" s="433"/>
      <c r="O114" s="597">
        <v>1</v>
      </c>
      <c r="P114" s="596" t="str">
        <f>F114</f>
        <v>OH</v>
      </c>
      <c r="Q114" s="608">
        <f t="shared" si="5"/>
        <v>100000</v>
      </c>
      <c r="R114" s="453">
        <f>O114*Q114*K110</f>
        <v>200000</v>
      </c>
      <c r="S114" s="453"/>
      <c r="T114" s="453"/>
      <c r="U114" s="753"/>
      <c r="V114" s="753"/>
      <c r="W114" s="753"/>
      <c r="X114" s="761"/>
      <c r="Y114" s="756"/>
      <c r="Z114" s="759"/>
      <c r="AA114" s="759"/>
      <c r="AB114" s="759"/>
      <c r="AC114" s="753"/>
      <c r="AD114" s="753"/>
      <c r="AE114" s="761"/>
      <c r="AF114" s="756"/>
      <c r="AG114" s="759"/>
      <c r="AH114" s="759"/>
      <c r="AI114" s="759"/>
      <c r="AJ114" s="753"/>
      <c r="AK114" s="753"/>
      <c r="AL114" s="761"/>
    </row>
    <row r="115" spans="2:38" x14ac:dyDescent="0.45">
      <c r="B115" s="813"/>
      <c r="C115" s="256"/>
      <c r="D115" s="344"/>
      <c r="E115" s="352"/>
      <c r="F115" s="285" t="s">
        <v>5</v>
      </c>
      <c r="G115" s="353" t="s">
        <v>124</v>
      </c>
      <c r="H115" s="209"/>
      <c r="I115" s="966"/>
      <c r="J115" s="475"/>
      <c r="K115" s="602"/>
      <c r="L115" s="433"/>
      <c r="M115" s="433"/>
      <c r="N115" s="433"/>
      <c r="O115" s="597"/>
      <c r="P115" s="596"/>
      <c r="Q115" s="608">
        <f t="shared" si="5"/>
        <v>0</v>
      </c>
      <c r="R115" s="453"/>
      <c r="S115" s="453"/>
      <c r="T115" s="453"/>
      <c r="U115" s="753"/>
      <c r="V115" s="753"/>
      <c r="W115" s="753"/>
      <c r="X115" s="761"/>
      <c r="Y115" s="756"/>
      <c r="Z115" s="759"/>
      <c r="AA115" s="759"/>
      <c r="AB115" s="759"/>
      <c r="AC115" s="753"/>
      <c r="AD115" s="753"/>
      <c r="AE115" s="761"/>
      <c r="AF115" s="756"/>
      <c r="AG115" s="759"/>
      <c r="AH115" s="759"/>
      <c r="AI115" s="759"/>
      <c r="AJ115" s="753"/>
      <c r="AK115" s="753"/>
      <c r="AL115" s="761"/>
    </row>
    <row r="116" spans="2:38" x14ac:dyDescent="0.45">
      <c r="B116" s="813"/>
      <c r="C116" s="256"/>
      <c r="D116" s="836"/>
      <c r="E116" s="818">
        <f>384/40</f>
        <v>9.6</v>
      </c>
      <c r="F116" s="819" t="s">
        <v>347</v>
      </c>
      <c r="G116" s="842" t="s">
        <v>129</v>
      </c>
      <c r="H116" s="821"/>
      <c r="I116" s="977"/>
      <c r="J116" s="475"/>
      <c r="K116" s="602"/>
      <c r="L116" s="433"/>
      <c r="M116" s="433">
        <f>E116*J110</f>
        <v>158.68800000000002</v>
      </c>
      <c r="N116" s="433"/>
      <c r="O116" s="597">
        <v>159</v>
      </c>
      <c r="P116" s="596" t="str">
        <f>F116</f>
        <v>Zak</v>
      </c>
      <c r="Q116" s="608">
        <f t="shared" si="5"/>
        <v>45000</v>
      </c>
      <c r="R116" s="453"/>
      <c r="S116" s="453">
        <f t="shared" ref="S116:S119" si="6">O116*Q116</f>
        <v>7155000</v>
      </c>
      <c r="T116" s="453"/>
      <c r="U116" s="753"/>
      <c r="V116" s="753"/>
      <c r="W116" s="753"/>
      <c r="X116" s="761"/>
      <c r="Y116" s="756"/>
      <c r="Z116" s="759"/>
      <c r="AA116" s="759"/>
      <c r="AB116" s="759"/>
      <c r="AC116" s="753"/>
      <c r="AD116" s="753"/>
      <c r="AE116" s="761"/>
      <c r="AF116" s="756"/>
      <c r="AG116" s="759"/>
      <c r="AH116" s="759"/>
      <c r="AI116" s="759"/>
      <c r="AJ116" s="753"/>
      <c r="AK116" s="753"/>
      <c r="AL116" s="761"/>
    </row>
    <row r="117" spans="2:38" x14ac:dyDescent="0.45">
      <c r="B117" s="813"/>
      <c r="C117" s="256"/>
      <c r="D117" s="344"/>
      <c r="E117" s="222">
        <v>0.43</v>
      </c>
      <c r="F117" s="211" t="s">
        <v>12</v>
      </c>
      <c r="G117" s="339" t="s">
        <v>135</v>
      </c>
      <c r="H117" s="209"/>
      <c r="I117" s="966"/>
      <c r="J117" s="475"/>
      <c r="K117" s="602"/>
      <c r="L117" s="433"/>
      <c r="M117" s="433">
        <f>E117*J110</f>
        <v>7.1079000000000008</v>
      </c>
      <c r="N117" s="433"/>
      <c r="O117" s="597">
        <v>7.5</v>
      </c>
      <c r="P117" s="596" t="str">
        <f>F117</f>
        <v>M3</v>
      </c>
      <c r="Q117" s="608">
        <f t="shared" si="5"/>
        <v>325000</v>
      </c>
      <c r="R117" s="433"/>
      <c r="S117" s="453">
        <f t="shared" si="6"/>
        <v>2437500</v>
      </c>
      <c r="T117" s="433"/>
      <c r="U117" s="753"/>
      <c r="V117" s="753"/>
      <c r="W117" s="753"/>
      <c r="X117" s="761"/>
      <c r="Y117" s="756"/>
      <c r="Z117" s="759"/>
      <c r="AA117" s="759"/>
      <c r="AB117" s="759"/>
      <c r="AC117" s="753"/>
      <c r="AD117" s="753"/>
      <c r="AE117" s="761"/>
      <c r="AF117" s="756"/>
      <c r="AG117" s="759"/>
      <c r="AH117" s="759"/>
      <c r="AI117" s="759"/>
      <c r="AJ117" s="753"/>
      <c r="AK117" s="753"/>
      <c r="AL117" s="761"/>
    </row>
    <row r="118" spans="2:38" x14ac:dyDescent="0.45">
      <c r="B118" s="813"/>
      <c r="C118" s="256"/>
      <c r="D118" s="344"/>
      <c r="E118" s="222">
        <v>0.72</v>
      </c>
      <c r="F118" s="253" t="s">
        <v>12</v>
      </c>
      <c r="G118" s="339" t="s">
        <v>136</v>
      </c>
      <c r="H118" s="209"/>
      <c r="I118" s="966"/>
      <c r="J118" s="475"/>
      <c r="K118" s="602"/>
      <c r="L118" s="433"/>
      <c r="M118" s="433">
        <f>E118*J110</f>
        <v>11.9016</v>
      </c>
      <c r="N118" s="433"/>
      <c r="O118" s="597">
        <v>12</v>
      </c>
      <c r="P118" s="596" t="str">
        <f>F118</f>
        <v>M3</v>
      </c>
      <c r="Q118" s="608">
        <f t="shared" si="5"/>
        <v>325000</v>
      </c>
      <c r="R118" s="433"/>
      <c r="S118" s="453">
        <f t="shared" si="6"/>
        <v>3900000</v>
      </c>
      <c r="T118" s="433"/>
      <c r="U118" s="753"/>
      <c r="V118" s="753"/>
      <c r="W118" s="753"/>
      <c r="X118" s="761"/>
      <c r="Y118" s="756"/>
      <c r="Z118" s="759"/>
      <c r="AA118" s="759"/>
      <c r="AB118" s="759"/>
      <c r="AC118" s="753"/>
      <c r="AD118" s="753"/>
      <c r="AE118" s="761"/>
      <c r="AF118" s="756"/>
      <c r="AG118" s="759"/>
      <c r="AH118" s="759"/>
      <c r="AI118" s="759"/>
      <c r="AJ118" s="753"/>
      <c r="AK118" s="753"/>
      <c r="AL118" s="761"/>
    </row>
    <row r="119" spans="2:38" x14ac:dyDescent="0.45">
      <c r="B119" s="813"/>
      <c r="C119" s="256"/>
      <c r="D119" s="345"/>
      <c r="E119" s="354">
        <v>215</v>
      </c>
      <c r="F119" s="275" t="s">
        <v>81</v>
      </c>
      <c r="G119" s="351" t="s">
        <v>88</v>
      </c>
      <c r="H119" s="229"/>
      <c r="I119" s="967"/>
      <c r="J119" s="475"/>
      <c r="K119" s="602"/>
      <c r="L119" s="433"/>
      <c r="M119" s="433">
        <f>E119*J110</f>
        <v>3553.9500000000003</v>
      </c>
      <c r="N119" s="433"/>
      <c r="O119" s="597">
        <v>3554</v>
      </c>
      <c r="P119" s="596" t="str">
        <f>F119</f>
        <v>ltr</v>
      </c>
      <c r="Q119" s="608">
        <f t="shared" si="5"/>
        <v>17</v>
      </c>
      <c r="R119" s="433"/>
      <c r="S119" s="453">
        <f t="shared" si="6"/>
        <v>60418</v>
      </c>
      <c r="T119" s="433"/>
      <c r="U119" s="753"/>
      <c r="V119" s="753"/>
      <c r="W119" s="753"/>
      <c r="X119" s="761"/>
      <c r="Y119" s="756"/>
      <c r="Z119" s="759"/>
      <c r="AA119" s="759"/>
      <c r="AB119" s="759"/>
      <c r="AC119" s="753"/>
      <c r="AD119" s="753"/>
      <c r="AE119" s="761"/>
      <c r="AF119" s="756"/>
      <c r="AG119" s="759"/>
      <c r="AH119" s="759"/>
      <c r="AI119" s="759"/>
      <c r="AJ119" s="753"/>
      <c r="AK119" s="753"/>
      <c r="AL119" s="761"/>
    </row>
    <row r="120" spans="2:38" x14ac:dyDescent="0.45">
      <c r="B120" s="813"/>
      <c r="C120" s="277"/>
      <c r="D120" s="230"/>
      <c r="E120" s="230"/>
      <c r="F120" s="207" t="s">
        <v>6</v>
      </c>
      <c r="G120" s="213" t="s">
        <v>111</v>
      </c>
      <c r="H120" s="244"/>
      <c r="I120" s="969"/>
      <c r="J120" s="475"/>
      <c r="K120" s="602"/>
      <c r="L120" s="433"/>
      <c r="M120" s="433"/>
      <c r="N120" s="433"/>
      <c r="O120" s="597"/>
      <c r="P120" s="596"/>
      <c r="Q120" s="608">
        <f t="shared" si="5"/>
        <v>0</v>
      </c>
      <c r="R120" s="433"/>
      <c r="S120" s="433"/>
      <c r="T120" s="433"/>
      <c r="U120" s="433"/>
      <c r="V120" s="433"/>
      <c r="W120" s="433"/>
      <c r="X120" s="659"/>
      <c r="Y120" s="661"/>
      <c r="Z120" s="433"/>
      <c r="AA120" s="433"/>
      <c r="AB120" s="433"/>
      <c r="AC120" s="433"/>
      <c r="AD120" s="433"/>
      <c r="AE120" s="644"/>
      <c r="AF120" s="661"/>
      <c r="AG120" s="433"/>
      <c r="AH120" s="433"/>
      <c r="AI120" s="433"/>
      <c r="AJ120" s="433"/>
      <c r="AK120" s="433"/>
      <c r="AL120" s="644"/>
    </row>
    <row r="121" spans="2:38" x14ac:dyDescent="0.45">
      <c r="B121" s="813"/>
      <c r="C121" s="277"/>
      <c r="D121" s="843"/>
      <c r="E121" s="848"/>
      <c r="F121" s="844"/>
      <c r="G121" s="845" t="s">
        <v>619</v>
      </c>
      <c r="H121" s="846"/>
      <c r="I121" s="979"/>
      <c r="J121" s="475"/>
      <c r="K121" s="602"/>
      <c r="L121" s="433"/>
      <c r="M121" s="433"/>
      <c r="N121" s="433">
        <f>E121*J110</f>
        <v>0</v>
      </c>
      <c r="O121" s="597">
        <v>2</v>
      </c>
      <c r="P121" s="596" t="s">
        <v>318</v>
      </c>
      <c r="Q121" s="608">
        <f t="shared" si="5"/>
        <v>150000</v>
      </c>
      <c r="R121" s="433"/>
      <c r="S121" s="433"/>
      <c r="T121" s="453">
        <f>O121*Q121</f>
        <v>300000</v>
      </c>
      <c r="U121" s="433"/>
      <c r="V121" s="433"/>
      <c r="W121" s="433"/>
      <c r="X121" s="659"/>
      <c r="Y121" s="661"/>
      <c r="Z121" s="433"/>
      <c r="AA121" s="433"/>
      <c r="AB121" s="433"/>
      <c r="AC121" s="433"/>
      <c r="AD121" s="433"/>
      <c r="AE121" s="644"/>
      <c r="AF121" s="661"/>
      <c r="AG121" s="433"/>
      <c r="AH121" s="433"/>
      <c r="AI121" s="433"/>
      <c r="AJ121" s="433"/>
      <c r="AK121" s="433"/>
      <c r="AL121" s="644"/>
    </row>
    <row r="122" spans="2:38" x14ac:dyDescent="0.45">
      <c r="B122" s="813"/>
      <c r="C122" s="277"/>
      <c r="D122" s="279"/>
      <c r="E122" s="346"/>
      <c r="F122" s="207" t="s">
        <v>112</v>
      </c>
      <c r="G122" s="208" t="s">
        <v>113</v>
      </c>
      <c r="H122" s="209"/>
      <c r="I122" s="966"/>
      <c r="J122" s="475"/>
      <c r="K122" s="602"/>
      <c r="L122" s="433"/>
      <c r="M122" s="433"/>
      <c r="N122" s="433"/>
      <c r="O122" s="433"/>
      <c r="P122" s="433"/>
      <c r="Q122" s="595"/>
      <c r="R122" s="433"/>
      <c r="S122" s="433"/>
      <c r="T122" s="433"/>
      <c r="U122" s="433"/>
      <c r="V122" s="433"/>
      <c r="W122" s="433"/>
      <c r="X122" s="659"/>
      <c r="Y122" s="661"/>
      <c r="Z122" s="433"/>
      <c r="AA122" s="433"/>
      <c r="AB122" s="433"/>
      <c r="AC122" s="433"/>
      <c r="AD122" s="433"/>
      <c r="AE122" s="644"/>
      <c r="AF122" s="661"/>
      <c r="AG122" s="433"/>
      <c r="AH122" s="433"/>
      <c r="AI122" s="433"/>
      <c r="AJ122" s="433"/>
      <c r="AK122" s="433"/>
      <c r="AL122" s="644"/>
    </row>
    <row r="123" spans="2:38" x14ac:dyDescent="0.45">
      <c r="B123" s="813"/>
      <c r="C123" s="277"/>
      <c r="D123" s="343"/>
      <c r="E123" s="347"/>
      <c r="F123" s="239" t="s">
        <v>114</v>
      </c>
      <c r="G123" s="257" t="s">
        <v>166</v>
      </c>
      <c r="H123" s="229"/>
      <c r="I123" s="980">
        <v>0.15</v>
      </c>
      <c r="J123" s="475"/>
      <c r="K123" s="602"/>
      <c r="L123" s="433"/>
      <c r="M123" s="433"/>
      <c r="N123" s="433"/>
      <c r="O123" s="433"/>
      <c r="P123" s="433"/>
      <c r="Q123" s="595"/>
      <c r="R123" s="433"/>
      <c r="S123" s="433"/>
      <c r="T123" s="433"/>
      <c r="U123" s="433"/>
      <c r="V123" s="433"/>
      <c r="W123" s="433"/>
      <c r="X123" s="659"/>
      <c r="Y123" s="661"/>
      <c r="Z123" s="433"/>
      <c r="AA123" s="433"/>
      <c r="AB123" s="433"/>
      <c r="AC123" s="433"/>
      <c r="AD123" s="433"/>
      <c r="AE123" s="644"/>
      <c r="AF123" s="661"/>
      <c r="AG123" s="433"/>
      <c r="AH123" s="433"/>
      <c r="AI123" s="433"/>
      <c r="AJ123" s="433"/>
      <c r="AK123" s="433"/>
      <c r="AL123" s="644"/>
    </row>
    <row r="124" spans="2:38" ht="17" thickBot="1" x14ac:dyDescent="0.5">
      <c r="B124" s="830"/>
      <c r="C124" s="831"/>
      <c r="D124" s="832"/>
      <c r="E124" s="833"/>
      <c r="F124" s="834" t="s">
        <v>115</v>
      </c>
      <c r="G124" s="816" t="s">
        <v>127</v>
      </c>
      <c r="H124" s="835"/>
      <c r="I124" s="981"/>
      <c r="J124" s="793"/>
      <c r="K124" s="763"/>
      <c r="L124" s="655"/>
      <c r="M124" s="655"/>
      <c r="N124" s="655"/>
      <c r="O124" s="655"/>
      <c r="P124" s="655"/>
      <c r="Q124" s="654"/>
      <c r="R124" s="655"/>
      <c r="S124" s="655"/>
      <c r="T124" s="655"/>
      <c r="U124" s="655"/>
      <c r="V124" s="655"/>
      <c r="W124" s="655"/>
      <c r="X124" s="660"/>
      <c r="Y124" s="662"/>
      <c r="Z124" s="655"/>
      <c r="AA124" s="655"/>
      <c r="AB124" s="655"/>
      <c r="AC124" s="655"/>
      <c r="AD124" s="655"/>
      <c r="AE124" s="656"/>
      <c r="AF124" s="662"/>
      <c r="AG124" s="655"/>
      <c r="AH124" s="655"/>
      <c r="AI124" s="655"/>
      <c r="AJ124" s="655"/>
      <c r="AK124" s="655"/>
      <c r="AL124" s="656"/>
    </row>
    <row r="125" spans="2:38" x14ac:dyDescent="0.45">
      <c r="D125" s="112"/>
      <c r="E125" s="195"/>
      <c r="G125" s="111"/>
      <c r="H125" s="111"/>
      <c r="I125" s="111"/>
      <c r="Z125" s="657"/>
      <c r="AA125" s="657"/>
      <c r="AB125" s="657"/>
      <c r="AC125" s="657"/>
      <c r="AD125" s="657"/>
      <c r="AE125" s="657"/>
      <c r="AG125" s="657"/>
      <c r="AH125" s="657"/>
      <c r="AI125" s="657"/>
      <c r="AJ125" s="657"/>
      <c r="AK125" s="657"/>
      <c r="AL125" s="657"/>
    </row>
    <row r="126" spans="2:38" ht="17" thickBot="1" x14ac:dyDescent="0.5">
      <c r="B126" s="749" t="s">
        <v>628</v>
      </c>
      <c r="C126" s="750" t="s">
        <v>627</v>
      </c>
      <c r="D126" s="241"/>
      <c r="E126" s="241"/>
      <c r="F126" s="276"/>
      <c r="G126" s="240"/>
      <c r="H126" s="241"/>
      <c r="I126" s="241"/>
      <c r="J126" s="604"/>
      <c r="K126" s="603"/>
      <c r="L126" s="604"/>
      <c r="M126" s="604"/>
      <c r="N126" s="604"/>
      <c r="O126" s="604"/>
      <c r="P126" s="604"/>
      <c r="Q126" s="604"/>
      <c r="R126" s="609"/>
      <c r="S126" s="609"/>
      <c r="T126" s="609"/>
      <c r="U126" s="609"/>
      <c r="V126" s="609"/>
      <c r="W126" s="609"/>
      <c r="X126" s="609"/>
      <c r="Y126" s="609"/>
      <c r="Z126" s="609"/>
      <c r="AA126" s="609"/>
      <c r="AB126" s="609"/>
      <c r="AC126" s="609"/>
      <c r="AD126" s="609"/>
      <c r="AE126" s="609"/>
      <c r="AF126" s="609"/>
      <c r="AG126" s="609"/>
      <c r="AH126" s="609"/>
      <c r="AI126" s="609"/>
      <c r="AJ126" s="609"/>
      <c r="AK126" s="609"/>
      <c r="AL126" s="609"/>
    </row>
    <row r="127" spans="2:38" ht="19.5" customHeight="1" x14ac:dyDescent="0.45">
      <c r="B127" s="1168" t="s">
        <v>99</v>
      </c>
      <c r="C127" s="1171" t="s">
        <v>100</v>
      </c>
      <c r="D127" s="1171" t="s">
        <v>89</v>
      </c>
      <c r="E127" s="1171" t="s">
        <v>101</v>
      </c>
      <c r="F127" s="1171" t="s">
        <v>102</v>
      </c>
      <c r="G127" s="1109" t="s">
        <v>103</v>
      </c>
      <c r="H127" s="1110"/>
      <c r="I127" s="1175"/>
      <c r="J127" s="1152" t="s">
        <v>539</v>
      </c>
      <c r="K127" s="1152"/>
      <c r="L127" s="1152"/>
      <c r="M127" s="1152"/>
      <c r="N127" s="1152"/>
      <c r="O127" s="1152"/>
      <c r="P127" s="1152"/>
      <c r="Q127" s="1152"/>
      <c r="R127" s="1152"/>
      <c r="S127" s="1152"/>
      <c r="T127" s="1152"/>
      <c r="U127" s="1152"/>
      <c r="V127" s="1152"/>
      <c r="W127" s="1152"/>
      <c r="X127" s="1152"/>
      <c r="Y127" s="1153" t="s">
        <v>540</v>
      </c>
      <c r="Z127" s="1154"/>
      <c r="AA127" s="1154"/>
      <c r="AB127" s="1154"/>
      <c r="AC127" s="1154"/>
      <c r="AD127" s="1154"/>
      <c r="AE127" s="1155"/>
      <c r="AF127" s="1156" t="s">
        <v>541</v>
      </c>
      <c r="AG127" s="1157"/>
      <c r="AH127" s="1157"/>
      <c r="AI127" s="1157"/>
      <c r="AJ127" s="1157"/>
      <c r="AK127" s="1157"/>
      <c r="AL127" s="1158"/>
    </row>
    <row r="128" spans="2:38" ht="45" x14ac:dyDescent="0.45">
      <c r="B128" s="1169"/>
      <c r="C128" s="1089"/>
      <c r="D128" s="1089"/>
      <c r="E128" s="1089"/>
      <c r="F128" s="1089"/>
      <c r="G128" s="1026"/>
      <c r="H128" s="1027"/>
      <c r="I128" s="1176"/>
      <c r="J128" s="1173" t="s">
        <v>15</v>
      </c>
      <c r="K128" s="673" t="s">
        <v>493</v>
      </c>
      <c r="L128" s="1161" t="s">
        <v>491</v>
      </c>
      <c r="M128" s="1162"/>
      <c r="N128" s="1162"/>
      <c r="O128" s="1162"/>
      <c r="P128" s="1163"/>
      <c r="Q128" s="674" t="s">
        <v>533</v>
      </c>
      <c r="R128" s="1161" t="s">
        <v>501</v>
      </c>
      <c r="S128" s="1162"/>
      <c r="T128" s="1163"/>
      <c r="U128" s="674" t="s">
        <v>530</v>
      </c>
      <c r="V128" s="674" t="s">
        <v>531</v>
      </c>
      <c r="W128" s="674" t="s">
        <v>578</v>
      </c>
      <c r="X128" s="681" t="s">
        <v>579</v>
      </c>
      <c r="Y128" s="1164" t="s">
        <v>534</v>
      </c>
      <c r="Z128" s="1165"/>
      <c r="AA128" s="663" t="s">
        <v>537</v>
      </c>
      <c r="AB128" s="664" t="s">
        <v>538</v>
      </c>
      <c r="AC128" s="665" t="s">
        <v>530</v>
      </c>
      <c r="AD128" s="665" t="s">
        <v>578</v>
      </c>
      <c r="AE128" s="682" t="s">
        <v>579</v>
      </c>
      <c r="AF128" s="1166" t="s">
        <v>542</v>
      </c>
      <c r="AG128" s="1167"/>
      <c r="AH128" s="737" t="s">
        <v>543</v>
      </c>
      <c r="AI128" s="738" t="s">
        <v>544</v>
      </c>
      <c r="AJ128" s="739" t="s">
        <v>530</v>
      </c>
      <c r="AK128" s="739" t="s">
        <v>578</v>
      </c>
      <c r="AL128" s="740" t="s">
        <v>579</v>
      </c>
    </row>
    <row r="129" spans="2:38" ht="30" x14ac:dyDescent="0.45">
      <c r="B129" s="1170"/>
      <c r="C129" s="1090"/>
      <c r="D129" s="1090"/>
      <c r="E129" s="1090"/>
      <c r="F129" s="1090"/>
      <c r="G129" s="1085"/>
      <c r="H129" s="1086"/>
      <c r="I129" s="1177"/>
      <c r="J129" s="1174"/>
      <c r="K129" s="675" t="s">
        <v>495</v>
      </c>
      <c r="L129" s="676" t="s">
        <v>524</v>
      </c>
      <c r="M129" s="676" t="s">
        <v>525</v>
      </c>
      <c r="N129" s="676" t="s">
        <v>526</v>
      </c>
      <c r="O129" s="675" t="s">
        <v>517</v>
      </c>
      <c r="P129" s="675" t="s">
        <v>290</v>
      </c>
      <c r="Q129" s="675" t="s">
        <v>532</v>
      </c>
      <c r="R129" s="676" t="s">
        <v>527</v>
      </c>
      <c r="S129" s="676" t="s">
        <v>528</v>
      </c>
      <c r="T129" s="677" t="s">
        <v>529</v>
      </c>
      <c r="U129" s="675" t="s">
        <v>502</v>
      </c>
      <c r="V129" s="675" t="s">
        <v>502</v>
      </c>
      <c r="W129" s="675" t="s">
        <v>502</v>
      </c>
      <c r="X129" s="678" t="s">
        <v>504</v>
      </c>
      <c r="Y129" s="666" t="s">
        <v>535</v>
      </c>
      <c r="Z129" s="667" t="s">
        <v>536</v>
      </c>
      <c r="AA129" s="668" t="s">
        <v>532</v>
      </c>
      <c r="AB129" s="668" t="s">
        <v>532</v>
      </c>
      <c r="AC129" s="668" t="s">
        <v>532</v>
      </c>
      <c r="AD129" s="668" t="s">
        <v>532</v>
      </c>
      <c r="AE129" s="669" t="s">
        <v>532</v>
      </c>
      <c r="AF129" s="741" t="s">
        <v>535</v>
      </c>
      <c r="AG129" s="742" t="s">
        <v>536</v>
      </c>
      <c r="AH129" s="743" t="s">
        <v>532</v>
      </c>
      <c r="AI129" s="743" t="s">
        <v>532</v>
      </c>
      <c r="AJ129" s="743" t="s">
        <v>532</v>
      </c>
      <c r="AK129" s="743" t="s">
        <v>532</v>
      </c>
      <c r="AL129" s="744" t="s">
        <v>532</v>
      </c>
    </row>
    <row r="130" spans="2:38" ht="30" x14ac:dyDescent="0.45">
      <c r="B130" s="639" t="s">
        <v>4</v>
      </c>
      <c r="C130" s="600" t="s">
        <v>5</v>
      </c>
      <c r="D130" s="570" t="s">
        <v>6</v>
      </c>
      <c r="E130" s="570" t="s">
        <v>112</v>
      </c>
      <c r="F130" s="570" t="s">
        <v>114</v>
      </c>
      <c r="G130" s="1014" t="s">
        <v>115</v>
      </c>
      <c r="H130" s="1014"/>
      <c r="I130" s="1172"/>
      <c r="J130" s="791" t="s">
        <v>21</v>
      </c>
      <c r="K130" s="675" t="s">
        <v>496</v>
      </c>
      <c r="L130" s="675" t="s">
        <v>497</v>
      </c>
      <c r="M130" s="675" t="s">
        <v>498</v>
      </c>
      <c r="N130" s="675" t="s">
        <v>499</v>
      </c>
      <c r="O130" s="676" t="s">
        <v>552</v>
      </c>
      <c r="P130" s="675" t="s">
        <v>512</v>
      </c>
      <c r="Q130" s="675" t="s">
        <v>503</v>
      </c>
      <c r="R130" s="675" t="s">
        <v>553</v>
      </c>
      <c r="S130" s="675" t="s">
        <v>513</v>
      </c>
      <c r="T130" s="675" t="s">
        <v>514</v>
      </c>
      <c r="U130" s="675" t="s">
        <v>554</v>
      </c>
      <c r="V130" s="675" t="s">
        <v>515</v>
      </c>
      <c r="W130" s="675" t="s">
        <v>555</v>
      </c>
      <c r="X130" s="678" t="s">
        <v>516</v>
      </c>
      <c r="Y130" s="670" t="s">
        <v>556</v>
      </c>
      <c r="Z130" s="671" t="s">
        <v>557</v>
      </c>
      <c r="AA130" s="671" t="s">
        <v>558</v>
      </c>
      <c r="AB130" s="671" t="s">
        <v>559</v>
      </c>
      <c r="AC130" s="671" t="s">
        <v>560</v>
      </c>
      <c r="AD130" s="671" t="s">
        <v>561</v>
      </c>
      <c r="AE130" s="672" t="s">
        <v>562</v>
      </c>
      <c r="AF130" s="745" t="s">
        <v>563</v>
      </c>
      <c r="AG130" s="746" t="s">
        <v>564</v>
      </c>
      <c r="AH130" s="746" t="s">
        <v>565</v>
      </c>
      <c r="AI130" s="746" t="s">
        <v>566</v>
      </c>
      <c r="AJ130" s="746" t="s">
        <v>567</v>
      </c>
      <c r="AK130" s="746" t="s">
        <v>568</v>
      </c>
      <c r="AL130" s="747" t="s">
        <v>569</v>
      </c>
    </row>
    <row r="131" spans="2:38" ht="15.5" x14ac:dyDescent="0.45">
      <c r="B131" s="800">
        <v>6</v>
      </c>
      <c r="C131" s="583" t="s">
        <v>43</v>
      </c>
      <c r="D131" s="583"/>
      <c r="E131" s="798">
        <v>1</v>
      </c>
      <c r="F131" s="584" t="s">
        <v>12</v>
      </c>
      <c r="G131" s="561" t="s">
        <v>244</v>
      </c>
      <c r="H131" s="562"/>
      <c r="I131" s="975"/>
      <c r="J131" s="828"/>
      <c r="K131" s="828"/>
      <c r="L131" s="828"/>
      <c r="M131" s="828"/>
      <c r="N131" s="828"/>
      <c r="O131" s="828"/>
      <c r="P131" s="828"/>
      <c r="Q131" s="828"/>
      <c r="R131" s="828"/>
      <c r="S131" s="828"/>
      <c r="T131" s="828"/>
      <c r="U131" s="828"/>
      <c r="V131" s="828"/>
      <c r="W131" s="828"/>
      <c r="X131" s="828"/>
      <c r="Y131" s="828"/>
      <c r="Z131" s="828"/>
      <c r="AA131" s="828"/>
      <c r="AB131" s="828"/>
      <c r="AC131" s="828"/>
      <c r="AD131" s="828"/>
      <c r="AE131" s="828"/>
      <c r="AF131" s="828"/>
      <c r="AG131" s="828"/>
      <c r="AH131" s="828"/>
      <c r="AI131" s="828"/>
      <c r="AJ131" s="828"/>
      <c r="AK131" s="828"/>
      <c r="AL131" s="829"/>
    </row>
    <row r="132" spans="2:38" ht="15.5" x14ac:dyDescent="0.45">
      <c r="B132" s="764"/>
      <c r="C132" s="520"/>
      <c r="D132" s="508"/>
      <c r="E132" s="521"/>
      <c r="F132" s="508"/>
      <c r="G132" s="510" t="s">
        <v>243</v>
      </c>
      <c r="H132" s="494"/>
      <c r="I132" s="978"/>
      <c r="J132" s="789"/>
      <c r="K132" s="789"/>
      <c r="L132" s="789"/>
      <c r="M132" s="789"/>
      <c r="N132" s="789"/>
      <c r="O132" s="789"/>
      <c r="P132" s="789"/>
      <c r="Q132" s="789"/>
      <c r="R132" s="789"/>
      <c r="S132" s="789"/>
      <c r="T132" s="789"/>
      <c r="U132" s="789"/>
      <c r="V132" s="789"/>
      <c r="W132" s="789"/>
      <c r="X132" s="789"/>
      <c r="Y132" s="789"/>
      <c r="Z132" s="789"/>
      <c r="AA132" s="789"/>
      <c r="AB132" s="789"/>
      <c r="AC132" s="789"/>
      <c r="AD132" s="789"/>
      <c r="AE132" s="789"/>
      <c r="AF132" s="789"/>
      <c r="AG132" s="789"/>
      <c r="AH132" s="789"/>
      <c r="AI132" s="789"/>
      <c r="AJ132" s="789"/>
      <c r="AK132" s="789"/>
      <c r="AL132" s="790"/>
    </row>
    <row r="133" spans="2:38" x14ac:dyDescent="0.45">
      <c r="B133" s="813"/>
      <c r="C133" s="256"/>
      <c r="D133" s="341"/>
      <c r="E133" s="350"/>
      <c r="F133" s="206" t="s">
        <v>4</v>
      </c>
      <c r="G133" s="274" t="s">
        <v>120</v>
      </c>
      <c r="H133" s="226"/>
      <c r="I133" s="974"/>
      <c r="J133" s="792">
        <f>RAP!E49</f>
        <v>17.913</v>
      </c>
      <c r="K133" s="601">
        <v>2</v>
      </c>
      <c r="L133" s="319"/>
      <c r="M133" s="319"/>
      <c r="N133" s="319"/>
      <c r="O133" s="598"/>
      <c r="P133" s="598"/>
      <c r="Q133" s="605"/>
      <c r="R133" s="485"/>
      <c r="S133" s="485"/>
      <c r="T133" s="485"/>
      <c r="U133" s="752">
        <f>SUM(R133:R147)+(SUM(S133:S147)+SUM(T133:T147))</f>
        <v>17890484</v>
      </c>
      <c r="V133" s="754">
        <f>RAP!H49</f>
        <v>19975668.52</v>
      </c>
      <c r="W133" s="752">
        <f>V133-U133</f>
        <v>2085184.5199999996</v>
      </c>
      <c r="X133" s="760">
        <f>W133/V133*100</f>
        <v>10.438621956067578</v>
      </c>
      <c r="Y133" s="755">
        <f>SUM(R133:R147)/J133</f>
        <v>165243.11952213477</v>
      </c>
      <c r="Z133" s="757">
        <v>150000</v>
      </c>
      <c r="AA133" s="758">
        <f>J133*Z133</f>
        <v>2686950</v>
      </c>
      <c r="AB133" s="758">
        <f>SUM(S133:S147)+SUM(T133:T147)</f>
        <v>14930484</v>
      </c>
      <c r="AC133" s="752">
        <f>AA133+AB133</f>
        <v>17617434</v>
      </c>
      <c r="AD133" s="752">
        <f>V133-AC133</f>
        <v>2358234.5199999996</v>
      </c>
      <c r="AE133" s="760">
        <f>AD133/V133*100</f>
        <v>11.805534906823732</v>
      </c>
      <c r="AF133" s="755">
        <f>(SUM(R133:R147)+SUM(S133:S147))/J133</f>
        <v>981995.42231898615</v>
      </c>
      <c r="AG133" s="757">
        <v>950000</v>
      </c>
      <c r="AH133" s="758">
        <f>AG133*J133</f>
        <v>17017350</v>
      </c>
      <c r="AI133" s="758">
        <f>SUM(T133:T147)</f>
        <v>300000</v>
      </c>
      <c r="AJ133" s="752">
        <f>AH133+AI133</f>
        <v>17317350</v>
      </c>
      <c r="AK133" s="752">
        <f>V133-AJ133</f>
        <v>2658318.5199999996</v>
      </c>
      <c r="AL133" s="760">
        <f>AK133/V133*100</f>
        <v>13.307782502189816</v>
      </c>
    </row>
    <row r="134" spans="2:38" x14ac:dyDescent="0.45">
      <c r="B134" s="813"/>
      <c r="C134" s="256"/>
      <c r="D134" s="279" t="s">
        <v>107</v>
      </c>
      <c r="E134" s="299">
        <v>1.65</v>
      </c>
      <c r="F134" s="267" t="s">
        <v>108</v>
      </c>
      <c r="G134" s="339" t="s">
        <v>51</v>
      </c>
      <c r="H134" s="209"/>
      <c r="I134" s="966"/>
      <c r="J134" s="475"/>
      <c r="K134" s="602"/>
      <c r="L134" s="433">
        <f>E134*J133/K133</f>
        <v>14.778224999999999</v>
      </c>
      <c r="M134" s="433"/>
      <c r="N134" s="433"/>
      <c r="O134" s="597">
        <v>15</v>
      </c>
      <c r="P134" s="596" t="str">
        <f>F134</f>
        <v>OH</v>
      </c>
      <c r="Q134" s="608">
        <f>Q111</f>
        <v>75000</v>
      </c>
      <c r="R134" s="453">
        <f>O134*Q134*K133</f>
        <v>2250000</v>
      </c>
      <c r="S134" s="453"/>
      <c r="T134" s="453"/>
      <c r="U134" s="753"/>
      <c r="V134" s="753"/>
      <c r="W134" s="753"/>
      <c r="X134" s="761"/>
      <c r="Y134" s="756"/>
      <c r="Z134" s="759"/>
      <c r="AA134" s="759"/>
      <c r="AB134" s="759"/>
      <c r="AC134" s="753"/>
      <c r="AD134" s="753"/>
      <c r="AE134" s="761"/>
      <c r="AF134" s="756"/>
      <c r="AG134" s="759"/>
      <c r="AH134" s="759"/>
      <c r="AI134" s="759"/>
      <c r="AJ134" s="753"/>
      <c r="AK134" s="753"/>
      <c r="AL134" s="761"/>
    </row>
    <row r="135" spans="2:38" x14ac:dyDescent="0.45">
      <c r="B135" s="813"/>
      <c r="C135" s="256"/>
      <c r="D135" s="279" t="s">
        <v>121</v>
      </c>
      <c r="E135" s="299">
        <v>0.27500000000000002</v>
      </c>
      <c r="F135" s="267" t="s">
        <v>108</v>
      </c>
      <c r="G135" s="339" t="s">
        <v>134</v>
      </c>
      <c r="H135" s="209"/>
      <c r="I135" s="966"/>
      <c r="J135" s="475"/>
      <c r="K135" s="602"/>
      <c r="L135" s="433">
        <f>E135*J133/K133</f>
        <v>2.4630375000000004</v>
      </c>
      <c r="M135" s="433"/>
      <c r="N135" s="433"/>
      <c r="O135" s="597">
        <v>3</v>
      </c>
      <c r="P135" s="596" t="str">
        <f>F135</f>
        <v>OH</v>
      </c>
      <c r="Q135" s="608">
        <f t="shared" ref="Q135:Q144" si="7">Q112</f>
        <v>85000</v>
      </c>
      <c r="R135" s="453">
        <f>O135*Q135*K133</f>
        <v>510000</v>
      </c>
      <c r="S135" s="453"/>
      <c r="T135" s="453"/>
      <c r="U135" s="753"/>
      <c r="V135" s="753"/>
      <c r="W135" s="753"/>
      <c r="X135" s="761"/>
      <c r="Y135" s="756"/>
      <c r="Z135" s="759"/>
      <c r="AA135" s="759"/>
      <c r="AB135" s="759"/>
      <c r="AC135" s="753"/>
      <c r="AD135" s="753"/>
      <c r="AE135" s="761"/>
      <c r="AF135" s="756"/>
      <c r="AG135" s="759"/>
      <c r="AH135" s="759"/>
      <c r="AI135" s="759"/>
      <c r="AJ135" s="753"/>
      <c r="AK135" s="753"/>
      <c r="AL135" s="761"/>
    </row>
    <row r="136" spans="2:38" x14ac:dyDescent="0.45">
      <c r="B136" s="813"/>
      <c r="C136" s="256"/>
      <c r="D136" s="279" t="s">
        <v>122</v>
      </c>
      <c r="E136" s="299">
        <v>2.8000000000000001E-2</v>
      </c>
      <c r="F136" s="267" t="s">
        <v>108</v>
      </c>
      <c r="G136" s="339" t="s">
        <v>123</v>
      </c>
      <c r="H136" s="209"/>
      <c r="I136" s="966"/>
      <c r="J136" s="475"/>
      <c r="K136" s="602"/>
      <c r="L136" s="433">
        <f>E136*J133/K133</f>
        <v>0.250782</v>
      </c>
      <c r="M136" s="433"/>
      <c r="N136" s="433"/>
      <c r="O136" s="597">
        <v>0</v>
      </c>
      <c r="P136" s="596" t="str">
        <f>F136</f>
        <v>OH</v>
      </c>
      <c r="Q136" s="608">
        <f t="shared" si="7"/>
        <v>90000</v>
      </c>
      <c r="R136" s="453">
        <f>O136*Q136*K133</f>
        <v>0</v>
      </c>
      <c r="S136" s="453"/>
      <c r="T136" s="453"/>
      <c r="U136" s="753"/>
      <c r="V136" s="753"/>
      <c r="W136" s="753"/>
      <c r="X136" s="761"/>
      <c r="Y136" s="756"/>
      <c r="Z136" s="759"/>
      <c r="AA136" s="759"/>
      <c r="AB136" s="759"/>
      <c r="AC136" s="753"/>
      <c r="AD136" s="753"/>
      <c r="AE136" s="761"/>
      <c r="AF136" s="756"/>
      <c r="AG136" s="759"/>
      <c r="AH136" s="759"/>
      <c r="AI136" s="759"/>
      <c r="AJ136" s="753"/>
      <c r="AK136" s="753"/>
      <c r="AL136" s="761"/>
    </row>
    <row r="137" spans="2:38" x14ac:dyDescent="0.45">
      <c r="B137" s="813"/>
      <c r="C137" s="256"/>
      <c r="D137" s="343" t="s">
        <v>109</v>
      </c>
      <c r="E137" s="300">
        <v>8.3000000000000004E-2</v>
      </c>
      <c r="F137" s="275" t="s">
        <v>108</v>
      </c>
      <c r="G137" s="351" t="s">
        <v>52</v>
      </c>
      <c r="H137" s="229"/>
      <c r="I137" s="967"/>
      <c r="J137" s="475"/>
      <c r="K137" s="602"/>
      <c r="L137" s="433">
        <f>E137*J133/K133</f>
        <v>0.74338950000000004</v>
      </c>
      <c r="M137" s="433"/>
      <c r="N137" s="433"/>
      <c r="O137" s="597">
        <v>1</v>
      </c>
      <c r="P137" s="596" t="str">
        <f>F137</f>
        <v>OH</v>
      </c>
      <c r="Q137" s="608">
        <f t="shared" si="7"/>
        <v>100000</v>
      </c>
      <c r="R137" s="453">
        <f>O137*Q137*K133</f>
        <v>200000</v>
      </c>
      <c r="S137" s="453"/>
      <c r="T137" s="453"/>
      <c r="U137" s="753"/>
      <c r="V137" s="753"/>
      <c r="W137" s="753"/>
      <c r="X137" s="761"/>
      <c r="Y137" s="756"/>
      <c r="Z137" s="759"/>
      <c r="AA137" s="759"/>
      <c r="AB137" s="759"/>
      <c r="AC137" s="753"/>
      <c r="AD137" s="753"/>
      <c r="AE137" s="761"/>
      <c r="AF137" s="756"/>
      <c r="AG137" s="759"/>
      <c r="AH137" s="759"/>
      <c r="AI137" s="759"/>
      <c r="AJ137" s="753"/>
      <c r="AK137" s="753"/>
      <c r="AL137" s="761"/>
    </row>
    <row r="138" spans="2:38" x14ac:dyDescent="0.45">
      <c r="B138" s="813"/>
      <c r="C138" s="256"/>
      <c r="D138" s="344"/>
      <c r="E138" s="352"/>
      <c r="F138" s="285" t="s">
        <v>5</v>
      </c>
      <c r="G138" s="353" t="s">
        <v>124</v>
      </c>
      <c r="H138" s="209"/>
      <c r="I138" s="966"/>
      <c r="J138" s="475"/>
      <c r="K138" s="602"/>
      <c r="L138" s="433"/>
      <c r="M138" s="433"/>
      <c r="N138" s="433"/>
      <c r="O138" s="597"/>
      <c r="P138" s="596"/>
      <c r="Q138" s="608">
        <f t="shared" si="7"/>
        <v>0</v>
      </c>
      <c r="R138" s="453"/>
      <c r="S138" s="453"/>
      <c r="T138" s="453"/>
      <c r="U138" s="753"/>
      <c r="V138" s="753"/>
      <c r="W138" s="753"/>
      <c r="X138" s="761"/>
      <c r="Y138" s="756"/>
      <c r="Z138" s="759"/>
      <c r="AA138" s="759"/>
      <c r="AB138" s="759"/>
      <c r="AC138" s="753"/>
      <c r="AD138" s="753"/>
      <c r="AE138" s="761"/>
      <c r="AF138" s="756"/>
      <c r="AG138" s="759"/>
      <c r="AH138" s="759"/>
      <c r="AI138" s="759"/>
      <c r="AJ138" s="753"/>
      <c r="AK138" s="753"/>
      <c r="AL138" s="761"/>
    </row>
    <row r="139" spans="2:38" x14ac:dyDescent="0.45">
      <c r="B139" s="813"/>
      <c r="C139" s="256"/>
      <c r="D139" s="836"/>
      <c r="E139" s="818">
        <f>384/40</f>
        <v>9.6</v>
      </c>
      <c r="F139" s="819" t="s">
        <v>347</v>
      </c>
      <c r="G139" s="842" t="s">
        <v>129</v>
      </c>
      <c r="H139" s="821"/>
      <c r="I139" s="977"/>
      <c r="J139" s="475"/>
      <c r="K139" s="602"/>
      <c r="L139" s="433"/>
      <c r="M139" s="433">
        <f>E139*J133</f>
        <v>171.9648</v>
      </c>
      <c r="N139" s="433"/>
      <c r="O139" s="597">
        <v>172</v>
      </c>
      <c r="P139" s="596" t="str">
        <f>F139</f>
        <v>Zak</v>
      </c>
      <c r="Q139" s="608">
        <f t="shared" si="7"/>
        <v>45000</v>
      </c>
      <c r="R139" s="453"/>
      <c r="S139" s="453">
        <f t="shared" ref="S139:S142" si="8">O139*Q139</f>
        <v>7740000</v>
      </c>
      <c r="T139" s="453"/>
      <c r="U139" s="753"/>
      <c r="V139" s="753"/>
      <c r="W139" s="753"/>
      <c r="X139" s="761"/>
      <c r="Y139" s="756"/>
      <c r="Z139" s="759"/>
      <c r="AA139" s="759"/>
      <c r="AB139" s="759"/>
      <c r="AC139" s="753"/>
      <c r="AD139" s="753"/>
      <c r="AE139" s="761"/>
      <c r="AF139" s="756"/>
      <c r="AG139" s="759"/>
      <c r="AH139" s="759"/>
      <c r="AI139" s="759"/>
      <c r="AJ139" s="753"/>
      <c r="AK139" s="753"/>
      <c r="AL139" s="761"/>
    </row>
    <row r="140" spans="2:38" x14ac:dyDescent="0.45">
      <c r="B140" s="813"/>
      <c r="C140" s="256"/>
      <c r="D140" s="344"/>
      <c r="E140" s="222">
        <v>0.43</v>
      </c>
      <c r="F140" s="211" t="s">
        <v>12</v>
      </c>
      <c r="G140" s="339" t="s">
        <v>135</v>
      </c>
      <c r="H140" s="209"/>
      <c r="I140" s="966"/>
      <c r="J140" s="475"/>
      <c r="K140" s="602"/>
      <c r="L140" s="433"/>
      <c r="M140" s="433">
        <f>E140*J133</f>
        <v>7.7025899999999998</v>
      </c>
      <c r="N140" s="433"/>
      <c r="O140" s="597">
        <v>8</v>
      </c>
      <c r="P140" s="596" t="str">
        <f>F140</f>
        <v>M3</v>
      </c>
      <c r="Q140" s="608">
        <f t="shared" si="7"/>
        <v>325000</v>
      </c>
      <c r="R140" s="433"/>
      <c r="S140" s="453">
        <f t="shared" si="8"/>
        <v>2600000</v>
      </c>
      <c r="T140" s="433"/>
      <c r="U140" s="753"/>
      <c r="V140" s="753"/>
      <c r="W140" s="753"/>
      <c r="X140" s="761"/>
      <c r="Y140" s="756"/>
      <c r="Z140" s="759"/>
      <c r="AA140" s="759"/>
      <c r="AB140" s="759"/>
      <c r="AC140" s="753"/>
      <c r="AD140" s="753"/>
      <c r="AE140" s="761"/>
      <c r="AF140" s="756"/>
      <c r="AG140" s="759"/>
      <c r="AH140" s="759"/>
      <c r="AI140" s="759"/>
      <c r="AJ140" s="753"/>
      <c r="AK140" s="753"/>
      <c r="AL140" s="761"/>
    </row>
    <row r="141" spans="2:38" x14ac:dyDescent="0.45">
      <c r="B141" s="813"/>
      <c r="C141" s="256"/>
      <c r="D141" s="344"/>
      <c r="E141" s="222">
        <v>0.72</v>
      </c>
      <c r="F141" s="253" t="s">
        <v>12</v>
      </c>
      <c r="G141" s="339" t="s">
        <v>136</v>
      </c>
      <c r="H141" s="209"/>
      <c r="I141" s="966"/>
      <c r="J141" s="475"/>
      <c r="K141" s="602"/>
      <c r="L141" s="433"/>
      <c r="M141" s="433">
        <f>E141*J133</f>
        <v>12.897359999999999</v>
      </c>
      <c r="N141" s="433"/>
      <c r="O141" s="597">
        <v>13</v>
      </c>
      <c r="P141" s="596" t="str">
        <f>F141</f>
        <v>M3</v>
      </c>
      <c r="Q141" s="608">
        <f t="shared" si="7"/>
        <v>325000</v>
      </c>
      <c r="R141" s="433"/>
      <c r="S141" s="453">
        <f t="shared" si="8"/>
        <v>4225000</v>
      </c>
      <c r="T141" s="433"/>
      <c r="U141" s="753"/>
      <c r="V141" s="753"/>
      <c r="W141" s="753"/>
      <c r="X141" s="761"/>
      <c r="Y141" s="756"/>
      <c r="Z141" s="759"/>
      <c r="AA141" s="759"/>
      <c r="AB141" s="759"/>
      <c r="AC141" s="753"/>
      <c r="AD141" s="753"/>
      <c r="AE141" s="761"/>
      <c r="AF141" s="756"/>
      <c r="AG141" s="759"/>
      <c r="AH141" s="759"/>
      <c r="AI141" s="759"/>
      <c r="AJ141" s="753"/>
      <c r="AK141" s="753"/>
      <c r="AL141" s="761"/>
    </row>
    <row r="142" spans="2:38" x14ac:dyDescent="0.45">
      <c r="B142" s="813"/>
      <c r="C142" s="256"/>
      <c r="D142" s="345"/>
      <c r="E142" s="354">
        <v>215</v>
      </c>
      <c r="F142" s="275" t="s">
        <v>81</v>
      </c>
      <c r="G142" s="351" t="s">
        <v>88</v>
      </c>
      <c r="H142" s="229"/>
      <c r="I142" s="967"/>
      <c r="J142" s="475"/>
      <c r="K142" s="602"/>
      <c r="L142" s="433"/>
      <c r="M142" s="433">
        <f>E142*J133</f>
        <v>3851.2950000000001</v>
      </c>
      <c r="N142" s="433"/>
      <c r="O142" s="597">
        <v>3852</v>
      </c>
      <c r="P142" s="596" t="str">
        <f>F142</f>
        <v>ltr</v>
      </c>
      <c r="Q142" s="608">
        <f t="shared" si="7"/>
        <v>17</v>
      </c>
      <c r="R142" s="433"/>
      <c r="S142" s="453">
        <f t="shared" si="8"/>
        <v>65484</v>
      </c>
      <c r="T142" s="433"/>
      <c r="U142" s="753"/>
      <c r="V142" s="753"/>
      <c r="W142" s="753"/>
      <c r="X142" s="761"/>
      <c r="Y142" s="756"/>
      <c r="Z142" s="759"/>
      <c r="AA142" s="759"/>
      <c r="AB142" s="759"/>
      <c r="AC142" s="753"/>
      <c r="AD142" s="753"/>
      <c r="AE142" s="761"/>
      <c r="AF142" s="756"/>
      <c r="AG142" s="759"/>
      <c r="AH142" s="759"/>
      <c r="AI142" s="759"/>
      <c r="AJ142" s="753"/>
      <c r="AK142" s="753"/>
      <c r="AL142" s="761"/>
    </row>
    <row r="143" spans="2:38" x14ac:dyDescent="0.45">
      <c r="B143" s="813"/>
      <c r="C143" s="277"/>
      <c r="D143" s="230"/>
      <c r="E143" s="230"/>
      <c r="F143" s="207" t="s">
        <v>6</v>
      </c>
      <c r="G143" s="213" t="s">
        <v>111</v>
      </c>
      <c r="H143" s="244"/>
      <c r="I143" s="969"/>
      <c r="J143" s="475"/>
      <c r="K143" s="602"/>
      <c r="L143" s="433"/>
      <c r="M143" s="433"/>
      <c r="N143" s="433"/>
      <c r="O143" s="597"/>
      <c r="P143" s="596"/>
      <c r="Q143" s="608">
        <f t="shared" si="7"/>
        <v>0</v>
      </c>
      <c r="R143" s="433"/>
      <c r="S143" s="433"/>
      <c r="T143" s="433"/>
      <c r="U143" s="433"/>
      <c r="V143" s="433"/>
      <c r="W143" s="433"/>
      <c r="X143" s="659"/>
      <c r="Y143" s="661"/>
      <c r="Z143" s="433"/>
      <c r="AA143" s="433"/>
      <c r="AB143" s="433"/>
      <c r="AC143" s="433"/>
      <c r="AD143" s="433"/>
      <c r="AE143" s="644"/>
      <c r="AF143" s="661"/>
      <c r="AG143" s="433"/>
      <c r="AH143" s="433"/>
      <c r="AI143" s="433"/>
      <c r="AJ143" s="433"/>
      <c r="AK143" s="433"/>
      <c r="AL143" s="644"/>
    </row>
    <row r="144" spans="2:38" x14ac:dyDescent="0.45">
      <c r="B144" s="813"/>
      <c r="C144" s="277"/>
      <c r="D144" s="843"/>
      <c r="E144" s="848"/>
      <c r="F144" s="844"/>
      <c r="G144" s="845" t="s">
        <v>619</v>
      </c>
      <c r="H144" s="846"/>
      <c r="I144" s="979"/>
      <c r="J144" s="475"/>
      <c r="K144" s="602"/>
      <c r="L144" s="433"/>
      <c r="M144" s="433"/>
      <c r="N144" s="433">
        <f>E144*J133</f>
        <v>0</v>
      </c>
      <c r="O144" s="597">
        <v>2</v>
      </c>
      <c r="P144" s="596" t="s">
        <v>318</v>
      </c>
      <c r="Q144" s="608">
        <f t="shared" si="7"/>
        <v>150000</v>
      </c>
      <c r="R144" s="433"/>
      <c r="S144" s="433"/>
      <c r="T144" s="453">
        <f>O144*Q144</f>
        <v>300000</v>
      </c>
      <c r="U144" s="433"/>
      <c r="V144" s="433"/>
      <c r="W144" s="433"/>
      <c r="X144" s="659"/>
      <c r="Y144" s="661"/>
      <c r="Z144" s="433"/>
      <c r="AA144" s="433"/>
      <c r="AB144" s="433"/>
      <c r="AC144" s="433"/>
      <c r="AD144" s="433"/>
      <c r="AE144" s="644"/>
      <c r="AF144" s="661"/>
      <c r="AG144" s="433"/>
      <c r="AH144" s="433"/>
      <c r="AI144" s="433"/>
      <c r="AJ144" s="433"/>
      <c r="AK144" s="433"/>
      <c r="AL144" s="644"/>
    </row>
    <row r="145" spans="2:38" x14ac:dyDescent="0.45">
      <c r="B145" s="813"/>
      <c r="C145" s="277"/>
      <c r="D145" s="279"/>
      <c r="E145" s="346"/>
      <c r="F145" s="207" t="s">
        <v>112</v>
      </c>
      <c r="G145" s="208" t="s">
        <v>113</v>
      </c>
      <c r="H145" s="209"/>
      <c r="I145" s="966"/>
      <c r="J145" s="475"/>
      <c r="K145" s="602"/>
      <c r="L145" s="433"/>
      <c r="M145" s="433"/>
      <c r="N145" s="433"/>
      <c r="O145" s="433"/>
      <c r="P145" s="433"/>
      <c r="Q145" s="595"/>
      <c r="R145" s="433"/>
      <c r="S145" s="433"/>
      <c r="T145" s="433"/>
      <c r="U145" s="433"/>
      <c r="V145" s="433"/>
      <c r="W145" s="433"/>
      <c r="X145" s="659"/>
      <c r="Y145" s="661"/>
      <c r="Z145" s="433"/>
      <c r="AA145" s="433"/>
      <c r="AB145" s="433"/>
      <c r="AC145" s="433"/>
      <c r="AD145" s="433"/>
      <c r="AE145" s="644"/>
      <c r="AF145" s="661"/>
      <c r="AG145" s="433"/>
      <c r="AH145" s="433"/>
      <c r="AI145" s="433"/>
      <c r="AJ145" s="433"/>
      <c r="AK145" s="433"/>
      <c r="AL145" s="644"/>
    </row>
    <row r="146" spans="2:38" x14ac:dyDescent="0.45">
      <c r="B146" s="813"/>
      <c r="C146" s="277"/>
      <c r="D146" s="343"/>
      <c r="E146" s="347"/>
      <c r="F146" s="239" t="s">
        <v>114</v>
      </c>
      <c r="G146" s="257" t="s">
        <v>166</v>
      </c>
      <c r="H146" s="229"/>
      <c r="I146" s="980">
        <v>0.15</v>
      </c>
      <c r="J146" s="475"/>
      <c r="K146" s="602"/>
      <c r="L146" s="433"/>
      <c r="M146" s="433"/>
      <c r="N146" s="433"/>
      <c r="O146" s="433"/>
      <c r="P146" s="433"/>
      <c r="Q146" s="595"/>
      <c r="R146" s="433"/>
      <c r="S146" s="433"/>
      <c r="T146" s="433"/>
      <c r="U146" s="433"/>
      <c r="V146" s="433"/>
      <c r="W146" s="433"/>
      <c r="X146" s="659"/>
      <c r="Y146" s="661"/>
      <c r="Z146" s="433"/>
      <c r="AA146" s="433"/>
      <c r="AB146" s="433"/>
      <c r="AC146" s="433"/>
      <c r="AD146" s="433"/>
      <c r="AE146" s="644"/>
      <c r="AF146" s="661"/>
      <c r="AG146" s="433"/>
      <c r="AH146" s="433"/>
      <c r="AI146" s="433"/>
      <c r="AJ146" s="433"/>
      <c r="AK146" s="433"/>
      <c r="AL146" s="644"/>
    </row>
    <row r="147" spans="2:38" ht="17" thickBot="1" x14ac:dyDescent="0.5">
      <c r="B147" s="830"/>
      <c r="C147" s="831"/>
      <c r="D147" s="832"/>
      <c r="E147" s="833"/>
      <c r="F147" s="834" t="s">
        <v>115</v>
      </c>
      <c r="G147" s="816" t="s">
        <v>127</v>
      </c>
      <c r="H147" s="835"/>
      <c r="I147" s="981"/>
      <c r="J147" s="793"/>
      <c r="K147" s="763"/>
      <c r="L147" s="655"/>
      <c r="M147" s="655"/>
      <c r="N147" s="655"/>
      <c r="O147" s="655"/>
      <c r="P147" s="655"/>
      <c r="Q147" s="654"/>
      <c r="R147" s="655"/>
      <c r="S147" s="655"/>
      <c r="T147" s="655"/>
      <c r="U147" s="655"/>
      <c r="V147" s="655"/>
      <c r="W147" s="655"/>
      <c r="X147" s="660"/>
      <c r="Y147" s="662"/>
      <c r="Z147" s="655"/>
      <c r="AA147" s="655"/>
      <c r="AB147" s="655"/>
      <c r="AC147" s="655"/>
      <c r="AD147" s="655"/>
      <c r="AE147" s="656"/>
      <c r="AF147" s="662"/>
      <c r="AG147" s="655"/>
      <c r="AH147" s="655"/>
      <c r="AI147" s="655"/>
      <c r="AJ147" s="655"/>
      <c r="AK147" s="655"/>
      <c r="AL147" s="656"/>
    </row>
    <row r="148" spans="2:38" x14ac:dyDescent="0.45">
      <c r="D148" s="112"/>
      <c r="E148" s="195"/>
      <c r="G148" s="111"/>
      <c r="H148" s="111"/>
      <c r="I148" s="111"/>
      <c r="Z148" s="657"/>
      <c r="AA148" s="657"/>
      <c r="AB148" s="657"/>
      <c r="AC148" s="657"/>
      <c r="AD148" s="657"/>
      <c r="AE148" s="657"/>
      <c r="AG148" s="657"/>
      <c r="AH148" s="657"/>
      <c r="AI148" s="657"/>
      <c r="AJ148" s="657"/>
      <c r="AK148" s="657"/>
      <c r="AL148" s="657"/>
    </row>
    <row r="149" spans="2:38" ht="17" thickBot="1" x14ac:dyDescent="0.5">
      <c r="B149" s="749" t="s">
        <v>629</v>
      </c>
      <c r="C149" s="750" t="s">
        <v>642</v>
      </c>
      <c r="D149" s="241"/>
      <c r="E149" s="241"/>
      <c r="F149" s="276"/>
      <c r="G149" s="240"/>
      <c r="H149" s="241"/>
      <c r="I149" s="241"/>
      <c r="J149" s="604"/>
      <c r="K149" s="603"/>
      <c r="L149" s="604"/>
      <c r="M149" s="604"/>
      <c r="N149" s="604"/>
      <c r="O149" s="604"/>
      <c r="P149" s="604"/>
      <c r="Q149" s="604"/>
      <c r="R149" s="609"/>
      <c r="S149" s="609"/>
      <c r="T149" s="609"/>
      <c r="U149" s="609"/>
      <c r="V149" s="609"/>
      <c r="W149" s="609"/>
      <c r="X149" s="609"/>
      <c r="Y149" s="609"/>
      <c r="Z149" s="609"/>
      <c r="AA149" s="609"/>
      <c r="AB149" s="609"/>
      <c r="AC149" s="609"/>
      <c r="AD149" s="609"/>
      <c r="AE149" s="609"/>
      <c r="AF149" s="609"/>
      <c r="AG149" s="609"/>
      <c r="AH149" s="609"/>
      <c r="AI149" s="609"/>
      <c r="AJ149" s="609"/>
      <c r="AK149" s="609"/>
      <c r="AL149" s="609"/>
    </row>
    <row r="150" spans="2:38" ht="19.5" customHeight="1" x14ac:dyDescent="0.45">
      <c r="B150" s="1168" t="s">
        <v>99</v>
      </c>
      <c r="C150" s="1171" t="s">
        <v>100</v>
      </c>
      <c r="D150" s="1171" t="s">
        <v>89</v>
      </c>
      <c r="E150" s="1171" t="s">
        <v>101</v>
      </c>
      <c r="F150" s="1171" t="s">
        <v>102</v>
      </c>
      <c r="G150" s="1109" t="s">
        <v>103</v>
      </c>
      <c r="H150" s="1110"/>
      <c r="I150" s="1175"/>
      <c r="J150" s="1152" t="s">
        <v>539</v>
      </c>
      <c r="K150" s="1152"/>
      <c r="L150" s="1152"/>
      <c r="M150" s="1152"/>
      <c r="N150" s="1152"/>
      <c r="O150" s="1152"/>
      <c r="P150" s="1152"/>
      <c r="Q150" s="1152"/>
      <c r="R150" s="1152"/>
      <c r="S150" s="1152"/>
      <c r="T150" s="1152"/>
      <c r="U150" s="1152"/>
      <c r="V150" s="1152"/>
      <c r="W150" s="1152"/>
      <c r="X150" s="1152"/>
      <c r="Y150" s="1153" t="s">
        <v>540</v>
      </c>
      <c r="Z150" s="1154"/>
      <c r="AA150" s="1154"/>
      <c r="AB150" s="1154"/>
      <c r="AC150" s="1154"/>
      <c r="AD150" s="1154"/>
      <c r="AE150" s="1155"/>
      <c r="AF150" s="1156" t="s">
        <v>541</v>
      </c>
      <c r="AG150" s="1157"/>
      <c r="AH150" s="1157"/>
      <c r="AI150" s="1157"/>
      <c r="AJ150" s="1157"/>
      <c r="AK150" s="1157"/>
      <c r="AL150" s="1158"/>
    </row>
    <row r="151" spans="2:38" ht="45" x14ac:dyDescent="0.45">
      <c r="B151" s="1169"/>
      <c r="C151" s="1089"/>
      <c r="D151" s="1089"/>
      <c r="E151" s="1089"/>
      <c r="F151" s="1089"/>
      <c r="G151" s="1026"/>
      <c r="H151" s="1027"/>
      <c r="I151" s="1176"/>
      <c r="J151" s="1173" t="s">
        <v>15</v>
      </c>
      <c r="K151" s="673" t="s">
        <v>493</v>
      </c>
      <c r="L151" s="1161" t="s">
        <v>491</v>
      </c>
      <c r="M151" s="1162"/>
      <c r="N151" s="1162"/>
      <c r="O151" s="1162"/>
      <c r="P151" s="1163"/>
      <c r="Q151" s="674" t="s">
        <v>533</v>
      </c>
      <c r="R151" s="1161" t="s">
        <v>501</v>
      </c>
      <c r="S151" s="1162"/>
      <c r="T151" s="1163"/>
      <c r="U151" s="674" t="s">
        <v>530</v>
      </c>
      <c r="V151" s="674" t="s">
        <v>531</v>
      </c>
      <c r="W151" s="674" t="s">
        <v>578</v>
      </c>
      <c r="X151" s="681" t="s">
        <v>579</v>
      </c>
      <c r="Y151" s="1164" t="s">
        <v>534</v>
      </c>
      <c r="Z151" s="1165"/>
      <c r="AA151" s="663" t="s">
        <v>537</v>
      </c>
      <c r="AB151" s="664" t="s">
        <v>538</v>
      </c>
      <c r="AC151" s="665" t="s">
        <v>530</v>
      </c>
      <c r="AD151" s="665" t="s">
        <v>578</v>
      </c>
      <c r="AE151" s="682" t="s">
        <v>579</v>
      </c>
      <c r="AF151" s="1166" t="s">
        <v>542</v>
      </c>
      <c r="AG151" s="1167"/>
      <c r="AH151" s="737" t="s">
        <v>543</v>
      </c>
      <c r="AI151" s="738" t="s">
        <v>544</v>
      </c>
      <c r="AJ151" s="739" t="s">
        <v>530</v>
      </c>
      <c r="AK151" s="739" t="s">
        <v>578</v>
      </c>
      <c r="AL151" s="740" t="s">
        <v>579</v>
      </c>
    </row>
    <row r="152" spans="2:38" ht="30" x14ac:dyDescent="0.45">
      <c r="B152" s="1170"/>
      <c r="C152" s="1090"/>
      <c r="D152" s="1090"/>
      <c r="E152" s="1090"/>
      <c r="F152" s="1090"/>
      <c r="G152" s="1085"/>
      <c r="H152" s="1086"/>
      <c r="I152" s="1177"/>
      <c r="J152" s="1174"/>
      <c r="K152" s="675" t="s">
        <v>495</v>
      </c>
      <c r="L152" s="676" t="s">
        <v>524</v>
      </c>
      <c r="M152" s="676" t="s">
        <v>525</v>
      </c>
      <c r="N152" s="676" t="s">
        <v>526</v>
      </c>
      <c r="O152" s="675" t="s">
        <v>517</v>
      </c>
      <c r="P152" s="675" t="s">
        <v>290</v>
      </c>
      <c r="Q152" s="675" t="s">
        <v>532</v>
      </c>
      <c r="R152" s="676" t="s">
        <v>527</v>
      </c>
      <c r="S152" s="676" t="s">
        <v>528</v>
      </c>
      <c r="T152" s="677" t="s">
        <v>529</v>
      </c>
      <c r="U152" s="675" t="s">
        <v>502</v>
      </c>
      <c r="V152" s="675" t="s">
        <v>502</v>
      </c>
      <c r="W152" s="675" t="s">
        <v>502</v>
      </c>
      <c r="X152" s="678" t="s">
        <v>504</v>
      </c>
      <c r="Y152" s="666" t="s">
        <v>535</v>
      </c>
      <c r="Z152" s="667" t="s">
        <v>536</v>
      </c>
      <c r="AA152" s="668" t="s">
        <v>532</v>
      </c>
      <c r="AB152" s="668" t="s">
        <v>532</v>
      </c>
      <c r="AC152" s="668" t="s">
        <v>532</v>
      </c>
      <c r="AD152" s="668" t="s">
        <v>532</v>
      </c>
      <c r="AE152" s="669" t="s">
        <v>532</v>
      </c>
      <c r="AF152" s="741" t="s">
        <v>535</v>
      </c>
      <c r="AG152" s="742" t="s">
        <v>536</v>
      </c>
      <c r="AH152" s="743" t="s">
        <v>532</v>
      </c>
      <c r="AI152" s="743" t="s">
        <v>532</v>
      </c>
      <c r="AJ152" s="743" t="s">
        <v>532</v>
      </c>
      <c r="AK152" s="743" t="s">
        <v>532</v>
      </c>
      <c r="AL152" s="744" t="s">
        <v>532</v>
      </c>
    </row>
    <row r="153" spans="2:38" ht="30" x14ac:dyDescent="0.45">
      <c r="B153" s="639" t="s">
        <v>4</v>
      </c>
      <c r="C153" s="600" t="s">
        <v>5</v>
      </c>
      <c r="D153" s="570" t="s">
        <v>6</v>
      </c>
      <c r="E153" s="570" t="s">
        <v>112</v>
      </c>
      <c r="F153" s="570" t="s">
        <v>114</v>
      </c>
      <c r="G153" s="1014" t="s">
        <v>115</v>
      </c>
      <c r="H153" s="1014"/>
      <c r="I153" s="1172"/>
      <c r="J153" s="791" t="s">
        <v>21</v>
      </c>
      <c r="K153" s="675" t="s">
        <v>496</v>
      </c>
      <c r="L153" s="675" t="s">
        <v>497</v>
      </c>
      <c r="M153" s="675" t="s">
        <v>498</v>
      </c>
      <c r="N153" s="675" t="s">
        <v>499</v>
      </c>
      <c r="O153" s="676" t="s">
        <v>552</v>
      </c>
      <c r="P153" s="675" t="s">
        <v>512</v>
      </c>
      <c r="Q153" s="675" t="s">
        <v>503</v>
      </c>
      <c r="R153" s="675" t="s">
        <v>553</v>
      </c>
      <c r="S153" s="675" t="s">
        <v>513</v>
      </c>
      <c r="T153" s="675" t="s">
        <v>514</v>
      </c>
      <c r="U153" s="675" t="s">
        <v>554</v>
      </c>
      <c r="V153" s="675" t="s">
        <v>515</v>
      </c>
      <c r="W153" s="675" t="s">
        <v>555</v>
      </c>
      <c r="X153" s="678" t="s">
        <v>516</v>
      </c>
      <c r="Y153" s="670" t="s">
        <v>556</v>
      </c>
      <c r="Z153" s="671" t="s">
        <v>557</v>
      </c>
      <c r="AA153" s="671" t="s">
        <v>558</v>
      </c>
      <c r="AB153" s="671" t="s">
        <v>559</v>
      </c>
      <c r="AC153" s="671" t="s">
        <v>560</v>
      </c>
      <c r="AD153" s="671" t="s">
        <v>561</v>
      </c>
      <c r="AE153" s="672" t="s">
        <v>562</v>
      </c>
      <c r="AF153" s="745" t="s">
        <v>563</v>
      </c>
      <c r="AG153" s="746" t="s">
        <v>564</v>
      </c>
      <c r="AH153" s="746" t="s">
        <v>565</v>
      </c>
      <c r="AI153" s="746" t="s">
        <v>566</v>
      </c>
      <c r="AJ153" s="746" t="s">
        <v>567</v>
      </c>
      <c r="AK153" s="746" t="s">
        <v>568</v>
      </c>
      <c r="AL153" s="747" t="s">
        <v>569</v>
      </c>
    </row>
    <row r="154" spans="2:38" ht="15.5" x14ac:dyDescent="0.45">
      <c r="B154" s="799">
        <v>7</v>
      </c>
      <c r="C154" s="508" t="s">
        <v>44</v>
      </c>
      <c r="D154" s="797"/>
      <c r="E154" s="583">
        <v>10</v>
      </c>
      <c r="F154" s="584" t="s">
        <v>39</v>
      </c>
      <c r="G154" s="561" t="s">
        <v>91</v>
      </c>
      <c r="H154" s="562"/>
      <c r="I154" s="975"/>
      <c r="J154" s="789"/>
      <c r="K154" s="789"/>
      <c r="L154" s="789"/>
      <c r="M154" s="789"/>
      <c r="N154" s="789"/>
      <c r="O154" s="789"/>
      <c r="P154" s="789"/>
      <c r="Q154" s="789"/>
      <c r="R154" s="789"/>
      <c r="S154" s="789"/>
      <c r="T154" s="789"/>
      <c r="U154" s="789"/>
      <c r="V154" s="789"/>
      <c r="W154" s="789"/>
      <c r="X154" s="789"/>
      <c r="Y154" s="789"/>
      <c r="Z154" s="789"/>
      <c r="AA154" s="789"/>
      <c r="AB154" s="789"/>
      <c r="AC154" s="789"/>
      <c r="AD154" s="789"/>
      <c r="AE154" s="789"/>
      <c r="AF154" s="789"/>
      <c r="AG154" s="789"/>
      <c r="AH154" s="789"/>
      <c r="AI154" s="789"/>
      <c r="AJ154" s="789"/>
      <c r="AK154" s="789"/>
      <c r="AL154" s="790"/>
    </row>
    <row r="155" spans="2:38" x14ac:dyDescent="0.45">
      <c r="B155" s="849"/>
      <c r="C155" s="307"/>
      <c r="D155" s="344"/>
      <c r="E155" s="284"/>
      <c r="F155" s="285" t="s">
        <v>4</v>
      </c>
      <c r="G155" s="353" t="s">
        <v>120</v>
      </c>
      <c r="H155" s="209"/>
      <c r="I155" s="966"/>
      <c r="J155" s="792">
        <f>RAP!E38</f>
        <v>5563.92</v>
      </c>
      <c r="K155" s="601">
        <v>4</v>
      </c>
      <c r="L155" s="319"/>
      <c r="M155" s="319"/>
      <c r="N155" s="319"/>
      <c r="O155" s="598"/>
      <c r="P155" s="598"/>
      <c r="Q155" s="605"/>
      <c r="R155" s="485"/>
      <c r="S155" s="485"/>
      <c r="T155" s="485"/>
      <c r="U155" s="752">
        <f>SUM(R155:R169)+(SUM(S155:S169)+SUM(T155:T169))</f>
        <v>69612750</v>
      </c>
      <c r="V155" s="754">
        <f>RAP!H38</f>
        <v>80368459.730000004</v>
      </c>
      <c r="W155" s="752">
        <f>V155-U155</f>
        <v>10755709.730000004</v>
      </c>
      <c r="X155" s="760">
        <f>W155/V155*100</f>
        <v>13.382998462498968</v>
      </c>
      <c r="Y155" s="755">
        <f>SUM(R155:R169)/J155</f>
        <v>1222.1599160304245</v>
      </c>
      <c r="Z155" s="757">
        <v>1200</v>
      </c>
      <c r="AA155" s="758">
        <f>J155*Z155</f>
        <v>6676704</v>
      </c>
      <c r="AB155" s="758">
        <f>SUM(S155:S169)+SUM(T155:T169)</f>
        <v>62812750</v>
      </c>
      <c r="AC155" s="752">
        <f>AA155+AB155</f>
        <v>69489454</v>
      </c>
      <c r="AD155" s="752">
        <f>V155-AC155</f>
        <v>10879005.730000004</v>
      </c>
      <c r="AE155" s="760">
        <f>AD155/V155*100</f>
        <v>13.536411879172894</v>
      </c>
      <c r="AF155" s="755">
        <f>(SUM(R155:R169)+SUM(S155:S169))/J155</f>
        <v>12511.457749212785</v>
      </c>
      <c r="AG155" s="757">
        <v>12000</v>
      </c>
      <c r="AH155" s="758">
        <f>AG155*J155</f>
        <v>66767040</v>
      </c>
      <c r="AI155" s="758">
        <f>SUM(T155:T169)</f>
        <v>0</v>
      </c>
      <c r="AJ155" s="752">
        <f>AH155+AI155</f>
        <v>66767040</v>
      </c>
      <c r="AK155" s="752">
        <f>V155-AJ155</f>
        <v>13601419.730000004</v>
      </c>
      <c r="AL155" s="760">
        <f>AK155/V155*100</f>
        <v>16.923827799729317</v>
      </c>
    </row>
    <row r="156" spans="2:38" ht="15.5" x14ac:dyDescent="0.45">
      <c r="B156" s="850"/>
      <c r="C156" s="277"/>
      <c r="D156" s="279" t="s">
        <v>107</v>
      </c>
      <c r="E156" s="340">
        <v>7.0000000000000001E-3</v>
      </c>
      <c r="F156" s="267" t="s">
        <v>108</v>
      </c>
      <c r="G156" s="339" t="s">
        <v>51</v>
      </c>
      <c r="H156" s="209"/>
      <c r="I156" s="966"/>
      <c r="J156" s="475"/>
      <c r="K156" s="602"/>
      <c r="L156" s="433">
        <f>E156*J155/K155</f>
        <v>9.7368600000000001</v>
      </c>
      <c r="M156" s="433"/>
      <c r="N156" s="433"/>
      <c r="O156" s="597">
        <v>10</v>
      </c>
      <c r="P156" s="596" t="str">
        <f>F156</f>
        <v>OH</v>
      </c>
      <c r="Q156" s="608">
        <f>'Analisa Upah RAP'!G5</f>
        <v>75000</v>
      </c>
      <c r="R156" s="453">
        <f>O156*Q156*K155</f>
        <v>3000000</v>
      </c>
      <c r="S156" s="453"/>
      <c r="T156" s="453"/>
      <c r="U156" s="753"/>
      <c r="V156" s="753"/>
      <c r="W156" s="753"/>
      <c r="X156" s="761"/>
      <c r="Y156" s="756"/>
      <c r="Z156" s="759"/>
      <c r="AA156" s="759"/>
      <c r="AB156" s="759"/>
      <c r="AC156" s="753"/>
      <c r="AD156" s="753"/>
      <c r="AE156" s="761"/>
      <c r="AF156" s="756"/>
      <c r="AG156" s="759"/>
      <c r="AH156" s="759"/>
      <c r="AI156" s="759"/>
      <c r="AJ156" s="753"/>
      <c r="AK156" s="753"/>
      <c r="AL156" s="761"/>
    </row>
    <row r="157" spans="2:38" ht="15.5" x14ac:dyDescent="0.45">
      <c r="B157" s="850"/>
      <c r="C157" s="277"/>
      <c r="D157" s="279" t="s">
        <v>121</v>
      </c>
      <c r="E157" s="340">
        <v>7.0000000000000001E-3</v>
      </c>
      <c r="F157" s="267" t="s">
        <v>108</v>
      </c>
      <c r="G157" s="339" t="s">
        <v>58</v>
      </c>
      <c r="H157" s="209"/>
      <c r="I157" s="966"/>
      <c r="J157" s="475"/>
      <c r="K157" s="602"/>
      <c r="L157" s="433">
        <f>E157*J155/K155</f>
        <v>9.7368600000000001</v>
      </c>
      <c r="M157" s="433"/>
      <c r="N157" s="433"/>
      <c r="O157" s="597">
        <v>10</v>
      </c>
      <c r="P157" s="596" t="str">
        <f>F157</f>
        <v>OH</v>
      </c>
      <c r="Q157" s="608">
        <f>'Analisa Upah RAP'!G8</f>
        <v>85000</v>
      </c>
      <c r="R157" s="453">
        <f>O157*Q157*K155</f>
        <v>3400000</v>
      </c>
      <c r="S157" s="453"/>
      <c r="T157" s="453"/>
      <c r="U157" s="753"/>
      <c r="V157" s="753"/>
      <c r="W157" s="753"/>
      <c r="X157" s="761"/>
      <c r="Y157" s="756"/>
      <c r="Z157" s="759"/>
      <c r="AA157" s="759"/>
      <c r="AB157" s="759"/>
      <c r="AC157" s="753"/>
      <c r="AD157" s="753"/>
      <c r="AE157" s="761"/>
      <c r="AF157" s="756"/>
      <c r="AG157" s="759"/>
      <c r="AH157" s="759"/>
      <c r="AI157" s="759"/>
      <c r="AJ157" s="753"/>
      <c r="AK157" s="753"/>
      <c r="AL157" s="761"/>
    </row>
    <row r="158" spans="2:38" ht="15.5" x14ac:dyDescent="0.45">
      <c r="B158" s="850"/>
      <c r="C158" s="277"/>
      <c r="D158" s="279" t="s">
        <v>122</v>
      </c>
      <c r="E158" s="340">
        <v>6.9999999999999999E-4</v>
      </c>
      <c r="F158" s="267" t="s">
        <v>108</v>
      </c>
      <c r="G158" s="339" t="s">
        <v>123</v>
      </c>
      <c r="H158" s="209"/>
      <c r="I158" s="966"/>
      <c r="J158" s="475"/>
      <c r="K158" s="602"/>
      <c r="L158" s="433">
        <f>E158*J155/K155</f>
        <v>0.97368600000000005</v>
      </c>
      <c r="M158" s="433"/>
      <c r="N158" s="433"/>
      <c r="O158" s="597">
        <v>0</v>
      </c>
      <c r="P158" s="596" t="str">
        <f>F158</f>
        <v>OH</v>
      </c>
      <c r="Q158" s="608">
        <f>'Analisa Upah RAP'!G11</f>
        <v>90000</v>
      </c>
      <c r="R158" s="453">
        <f>O158*Q158*K155</f>
        <v>0</v>
      </c>
      <c r="S158" s="453"/>
      <c r="T158" s="453"/>
      <c r="U158" s="753"/>
      <c r="V158" s="753"/>
      <c r="W158" s="753"/>
      <c r="X158" s="761"/>
      <c r="Y158" s="756"/>
      <c r="Z158" s="759"/>
      <c r="AA158" s="759"/>
      <c r="AB158" s="759"/>
      <c r="AC158" s="753"/>
      <c r="AD158" s="753"/>
      <c r="AE158" s="761"/>
      <c r="AF158" s="756"/>
      <c r="AG158" s="759"/>
      <c r="AH158" s="759"/>
      <c r="AI158" s="759"/>
      <c r="AJ158" s="753"/>
      <c r="AK158" s="753"/>
      <c r="AL158" s="761"/>
    </row>
    <row r="159" spans="2:38" ht="15.5" x14ac:dyDescent="0.45">
      <c r="B159" s="850"/>
      <c r="C159" s="277"/>
      <c r="D159" s="343" t="s">
        <v>109</v>
      </c>
      <c r="E159" s="357">
        <v>4.0000000000000002E-4</v>
      </c>
      <c r="F159" s="275" t="s">
        <v>108</v>
      </c>
      <c r="G159" s="351" t="s">
        <v>52</v>
      </c>
      <c r="H159" s="229"/>
      <c r="I159" s="967"/>
      <c r="J159" s="475"/>
      <c r="K159" s="602"/>
      <c r="L159" s="433">
        <f>E159*J155/K155</f>
        <v>0.556392</v>
      </c>
      <c r="M159" s="433"/>
      <c r="N159" s="433"/>
      <c r="O159" s="597">
        <v>1</v>
      </c>
      <c r="P159" s="596" t="str">
        <f>F159</f>
        <v>OH</v>
      </c>
      <c r="Q159" s="608">
        <f>'Analisa Upah RAP'!G12</f>
        <v>100000</v>
      </c>
      <c r="R159" s="453">
        <f>O159*Q159*K155</f>
        <v>400000</v>
      </c>
      <c r="S159" s="453"/>
      <c r="T159" s="453"/>
      <c r="U159" s="753"/>
      <c r="V159" s="753"/>
      <c r="W159" s="753"/>
      <c r="X159" s="761"/>
      <c r="Y159" s="756"/>
      <c r="Z159" s="759"/>
      <c r="AA159" s="759"/>
      <c r="AB159" s="759"/>
      <c r="AC159" s="753"/>
      <c r="AD159" s="753"/>
      <c r="AE159" s="761"/>
      <c r="AF159" s="756"/>
      <c r="AG159" s="759"/>
      <c r="AH159" s="759"/>
      <c r="AI159" s="759"/>
      <c r="AJ159" s="753"/>
      <c r="AK159" s="753"/>
      <c r="AL159" s="761"/>
    </row>
    <row r="160" spans="2:38" x14ac:dyDescent="0.45">
      <c r="B160" s="850"/>
      <c r="C160" s="277"/>
      <c r="D160" s="344"/>
      <c r="E160" s="352"/>
      <c r="F160" s="285" t="s">
        <v>5</v>
      </c>
      <c r="G160" s="353" t="s">
        <v>124</v>
      </c>
      <c r="H160" s="209"/>
      <c r="I160" s="966"/>
      <c r="J160" s="475"/>
      <c r="K160" s="602"/>
      <c r="L160" s="433"/>
      <c r="M160" s="433"/>
      <c r="N160" s="433"/>
      <c r="O160" s="597"/>
      <c r="P160" s="596"/>
      <c r="Q160" s="608"/>
      <c r="R160" s="453"/>
      <c r="S160" s="453"/>
      <c r="T160" s="453"/>
      <c r="U160" s="753"/>
      <c r="V160" s="753"/>
      <c r="W160" s="753"/>
      <c r="X160" s="761"/>
      <c r="Y160" s="756"/>
      <c r="Z160" s="759"/>
      <c r="AA160" s="759"/>
      <c r="AB160" s="759"/>
      <c r="AC160" s="753"/>
      <c r="AD160" s="753"/>
      <c r="AE160" s="761"/>
      <c r="AF160" s="756"/>
      <c r="AG160" s="759"/>
      <c r="AH160" s="759"/>
      <c r="AI160" s="759"/>
      <c r="AJ160" s="753"/>
      <c r="AK160" s="753"/>
      <c r="AL160" s="761"/>
    </row>
    <row r="161" spans="2:38" x14ac:dyDescent="0.45">
      <c r="B161" s="850"/>
      <c r="C161" s="277"/>
      <c r="D161" s="344"/>
      <c r="E161" s="222">
        <v>1.05</v>
      </c>
      <c r="F161" s="267" t="s">
        <v>39</v>
      </c>
      <c r="G161" s="339" t="s">
        <v>635</v>
      </c>
      <c r="H161" s="209"/>
      <c r="I161" s="966"/>
      <c r="J161" s="475"/>
      <c r="K161" s="602"/>
      <c r="L161" s="433"/>
      <c r="M161" s="433">
        <f>E161*J155</f>
        <v>5842.116</v>
      </c>
      <c r="N161" s="433"/>
      <c r="O161" s="597">
        <v>5843</v>
      </c>
      <c r="P161" s="596" t="str">
        <f>F161</f>
        <v>Kg</v>
      </c>
      <c r="Q161" s="608">
        <f>'Harga Bahan RAP'!G48</f>
        <v>10500</v>
      </c>
      <c r="R161" s="453"/>
      <c r="S161" s="453">
        <f t="shared" ref="S161:S164" si="9">O161*Q161</f>
        <v>61351500</v>
      </c>
      <c r="T161" s="453"/>
      <c r="U161" s="753"/>
      <c r="V161" s="753"/>
      <c r="W161" s="753"/>
      <c r="X161" s="761"/>
      <c r="Y161" s="756"/>
      <c r="Z161" s="759"/>
      <c r="AA161" s="759"/>
      <c r="AB161" s="759"/>
      <c r="AC161" s="753"/>
      <c r="AD161" s="753"/>
      <c r="AE161" s="761"/>
      <c r="AF161" s="756"/>
      <c r="AG161" s="759"/>
      <c r="AH161" s="759"/>
      <c r="AI161" s="759"/>
      <c r="AJ161" s="753"/>
      <c r="AK161" s="753"/>
      <c r="AL161" s="761"/>
    </row>
    <row r="162" spans="2:38" x14ac:dyDescent="0.45">
      <c r="B162" s="850"/>
      <c r="C162" s="277"/>
      <c r="D162" s="345"/>
      <c r="E162" s="300">
        <v>1.4999999999999999E-2</v>
      </c>
      <c r="F162" s="275" t="s">
        <v>39</v>
      </c>
      <c r="G162" s="351" t="s">
        <v>443</v>
      </c>
      <c r="H162" s="229"/>
      <c r="I162" s="967"/>
      <c r="J162" s="475"/>
      <c r="K162" s="602"/>
      <c r="L162" s="433"/>
      <c r="M162" s="433">
        <f>E162*J155</f>
        <v>83.458799999999997</v>
      </c>
      <c r="N162" s="433"/>
      <c r="O162" s="597">
        <v>83.5</v>
      </c>
      <c r="P162" s="596" t="str">
        <f>F162</f>
        <v>Kg</v>
      </c>
      <c r="Q162" s="608">
        <f>'Harga Bahan RAP'!G51</f>
        <v>17500</v>
      </c>
      <c r="R162" s="433"/>
      <c r="S162" s="453">
        <f t="shared" si="9"/>
        <v>1461250</v>
      </c>
      <c r="T162" s="433"/>
      <c r="U162" s="753"/>
      <c r="V162" s="753"/>
      <c r="W162" s="753"/>
      <c r="X162" s="761"/>
      <c r="Y162" s="756"/>
      <c r="Z162" s="759"/>
      <c r="AA162" s="759"/>
      <c r="AB162" s="759"/>
      <c r="AC162" s="753"/>
      <c r="AD162" s="753"/>
      <c r="AE162" s="761"/>
      <c r="AF162" s="756"/>
      <c r="AG162" s="759"/>
      <c r="AH162" s="759"/>
      <c r="AI162" s="759"/>
      <c r="AJ162" s="753"/>
      <c r="AK162" s="753"/>
      <c r="AL162" s="761"/>
    </row>
    <row r="163" spans="2:38" x14ac:dyDescent="0.45">
      <c r="B163" s="850"/>
      <c r="C163" s="277"/>
      <c r="D163" s="344"/>
      <c r="E163" s="299"/>
      <c r="F163" s="267"/>
      <c r="G163" s="209"/>
      <c r="H163" s="209"/>
      <c r="I163" s="966"/>
      <c r="J163" s="475"/>
      <c r="K163" s="602"/>
      <c r="L163" s="433"/>
      <c r="M163" s="433">
        <f>E163*J155</f>
        <v>0</v>
      </c>
      <c r="N163" s="433"/>
      <c r="O163" s="597">
        <v>0</v>
      </c>
      <c r="P163" s="596">
        <f>F163</f>
        <v>0</v>
      </c>
      <c r="Q163" s="608">
        <v>0</v>
      </c>
      <c r="R163" s="433"/>
      <c r="S163" s="453">
        <f t="shared" si="9"/>
        <v>0</v>
      </c>
      <c r="T163" s="433"/>
      <c r="U163" s="753"/>
      <c r="V163" s="753"/>
      <c r="W163" s="753"/>
      <c r="X163" s="761"/>
      <c r="Y163" s="756"/>
      <c r="Z163" s="759"/>
      <c r="AA163" s="759"/>
      <c r="AB163" s="759"/>
      <c r="AC163" s="753"/>
      <c r="AD163" s="753"/>
      <c r="AE163" s="761"/>
      <c r="AF163" s="756"/>
      <c r="AG163" s="759"/>
      <c r="AH163" s="759"/>
      <c r="AI163" s="759"/>
      <c r="AJ163" s="753"/>
      <c r="AK163" s="753"/>
      <c r="AL163" s="761"/>
    </row>
    <row r="164" spans="2:38" x14ac:dyDescent="0.45">
      <c r="B164" s="850"/>
      <c r="C164" s="277"/>
      <c r="D164" s="345"/>
      <c r="E164" s="300"/>
      <c r="F164" s="275"/>
      <c r="G164" s="229"/>
      <c r="H164" s="229"/>
      <c r="I164" s="967"/>
      <c r="J164" s="475"/>
      <c r="K164" s="602"/>
      <c r="L164" s="433"/>
      <c r="M164" s="433">
        <f>E164*J155</f>
        <v>0</v>
      </c>
      <c r="N164" s="433"/>
      <c r="O164" s="597">
        <v>0</v>
      </c>
      <c r="P164" s="596">
        <f>F164</f>
        <v>0</v>
      </c>
      <c r="Q164" s="608">
        <v>0</v>
      </c>
      <c r="R164" s="433"/>
      <c r="S164" s="453">
        <f t="shared" si="9"/>
        <v>0</v>
      </c>
      <c r="T164" s="433"/>
      <c r="U164" s="753"/>
      <c r="V164" s="753"/>
      <c r="W164" s="753"/>
      <c r="X164" s="761"/>
      <c r="Y164" s="756"/>
      <c r="Z164" s="759"/>
      <c r="AA164" s="759"/>
      <c r="AB164" s="759"/>
      <c r="AC164" s="753"/>
      <c r="AD164" s="753"/>
      <c r="AE164" s="761"/>
      <c r="AF164" s="756"/>
      <c r="AG164" s="759"/>
      <c r="AH164" s="759"/>
      <c r="AI164" s="759"/>
      <c r="AJ164" s="753"/>
      <c r="AK164" s="753"/>
      <c r="AL164" s="761"/>
    </row>
    <row r="165" spans="2:38" x14ac:dyDescent="0.45">
      <c r="B165" s="813"/>
      <c r="C165" s="277"/>
      <c r="D165" s="279"/>
      <c r="E165" s="346"/>
      <c r="F165" s="207" t="s">
        <v>6</v>
      </c>
      <c r="G165" s="213" t="s">
        <v>111</v>
      </c>
      <c r="H165" s="244"/>
      <c r="I165" s="969"/>
      <c r="J165" s="475"/>
      <c r="K165" s="602"/>
      <c r="L165" s="433"/>
      <c r="M165" s="433"/>
      <c r="N165" s="433"/>
      <c r="O165" s="597"/>
      <c r="P165" s="596"/>
      <c r="Q165" s="608">
        <v>0</v>
      </c>
      <c r="R165" s="433"/>
      <c r="S165" s="433"/>
      <c r="T165" s="433"/>
      <c r="U165" s="433"/>
      <c r="V165" s="433"/>
      <c r="W165" s="433"/>
      <c r="X165" s="659"/>
      <c r="Y165" s="661"/>
      <c r="Z165" s="433"/>
      <c r="AA165" s="433"/>
      <c r="AB165" s="433"/>
      <c r="AC165" s="433"/>
      <c r="AD165" s="433"/>
      <c r="AE165" s="644"/>
      <c r="AF165" s="661"/>
      <c r="AG165" s="433"/>
      <c r="AH165" s="433"/>
      <c r="AI165" s="433"/>
      <c r="AJ165" s="433"/>
      <c r="AK165" s="433"/>
      <c r="AL165" s="644"/>
    </row>
    <row r="166" spans="2:38" x14ac:dyDescent="0.45">
      <c r="B166" s="813"/>
      <c r="C166" s="277"/>
      <c r="D166" s="279"/>
      <c r="E166" s="346"/>
      <c r="F166" s="207"/>
      <c r="G166" s="208"/>
      <c r="H166" s="209"/>
      <c r="I166" s="966"/>
      <c r="J166" s="475"/>
      <c r="K166" s="602"/>
      <c r="L166" s="433"/>
      <c r="M166" s="433"/>
      <c r="N166" s="433">
        <f>E166*J155</f>
        <v>0</v>
      </c>
      <c r="O166" s="597">
        <v>0</v>
      </c>
      <c r="P166" s="596">
        <v>0</v>
      </c>
      <c r="Q166" s="608">
        <v>0</v>
      </c>
      <c r="R166" s="433"/>
      <c r="S166" s="433"/>
      <c r="T166" s="453">
        <f>O166*Q166</f>
        <v>0</v>
      </c>
      <c r="U166" s="433"/>
      <c r="V166" s="433"/>
      <c r="W166" s="433"/>
      <c r="X166" s="659"/>
      <c r="Y166" s="661"/>
      <c r="Z166" s="433"/>
      <c r="AA166" s="433"/>
      <c r="AB166" s="433"/>
      <c r="AC166" s="433"/>
      <c r="AD166" s="433"/>
      <c r="AE166" s="644"/>
      <c r="AF166" s="661"/>
      <c r="AG166" s="433"/>
      <c r="AH166" s="433"/>
      <c r="AI166" s="433"/>
      <c r="AJ166" s="433"/>
      <c r="AK166" s="433"/>
      <c r="AL166" s="644"/>
    </row>
    <row r="167" spans="2:38" x14ac:dyDescent="0.45">
      <c r="B167" s="813"/>
      <c r="C167" s="277"/>
      <c r="D167" s="279"/>
      <c r="E167" s="346"/>
      <c r="F167" s="207" t="s">
        <v>112</v>
      </c>
      <c r="G167" s="208" t="s">
        <v>113</v>
      </c>
      <c r="H167" s="209"/>
      <c r="I167" s="966"/>
      <c r="J167" s="475"/>
      <c r="K167" s="602"/>
      <c r="L167" s="433"/>
      <c r="M167" s="433"/>
      <c r="N167" s="433"/>
      <c r="O167" s="433"/>
      <c r="P167" s="433"/>
      <c r="Q167" s="595"/>
      <c r="R167" s="433"/>
      <c r="S167" s="433"/>
      <c r="T167" s="433"/>
      <c r="U167" s="433"/>
      <c r="V167" s="433"/>
      <c r="W167" s="433"/>
      <c r="X167" s="659"/>
      <c r="Y167" s="661"/>
      <c r="Z167" s="433"/>
      <c r="AA167" s="433"/>
      <c r="AB167" s="433"/>
      <c r="AC167" s="433"/>
      <c r="AD167" s="433"/>
      <c r="AE167" s="644"/>
      <c r="AF167" s="661"/>
      <c r="AG167" s="433"/>
      <c r="AH167" s="433"/>
      <c r="AI167" s="433"/>
      <c r="AJ167" s="433"/>
      <c r="AK167" s="433"/>
      <c r="AL167" s="644"/>
    </row>
    <row r="168" spans="2:38" x14ac:dyDescent="0.45">
      <c r="B168" s="813"/>
      <c r="C168" s="277"/>
      <c r="D168" s="343"/>
      <c r="E168" s="347"/>
      <c r="F168" s="239" t="s">
        <v>114</v>
      </c>
      <c r="G168" s="257" t="s">
        <v>166</v>
      </c>
      <c r="H168" s="229"/>
      <c r="I168" s="980">
        <v>0.15</v>
      </c>
      <c r="J168" s="475"/>
      <c r="K168" s="602"/>
      <c r="L168" s="433"/>
      <c r="M168" s="433"/>
      <c r="N168" s="433"/>
      <c r="O168" s="433"/>
      <c r="P168" s="433"/>
      <c r="Q168" s="595"/>
      <c r="R168" s="433"/>
      <c r="S168" s="433"/>
      <c r="T168" s="433"/>
      <c r="U168" s="433"/>
      <c r="V168" s="433"/>
      <c r="W168" s="433"/>
      <c r="X168" s="659"/>
      <c r="Y168" s="661"/>
      <c r="Z168" s="433"/>
      <c r="AA168" s="433"/>
      <c r="AB168" s="433"/>
      <c r="AC168" s="433"/>
      <c r="AD168" s="433"/>
      <c r="AE168" s="644"/>
      <c r="AF168" s="661"/>
      <c r="AG168" s="433"/>
      <c r="AH168" s="433"/>
      <c r="AI168" s="433"/>
      <c r="AJ168" s="433"/>
      <c r="AK168" s="433"/>
      <c r="AL168" s="644"/>
    </row>
    <row r="169" spans="2:38" ht="17" thickBot="1" x14ac:dyDescent="0.5">
      <c r="B169" s="830"/>
      <c r="C169" s="831"/>
      <c r="D169" s="832"/>
      <c r="E169" s="833"/>
      <c r="F169" s="834" t="s">
        <v>115</v>
      </c>
      <c r="G169" s="816" t="s">
        <v>127</v>
      </c>
      <c r="H169" s="835"/>
      <c r="I169" s="981"/>
      <c r="J169" s="793"/>
      <c r="K169" s="763"/>
      <c r="L169" s="655"/>
      <c r="M169" s="655"/>
      <c r="N169" s="655"/>
      <c r="O169" s="655"/>
      <c r="P169" s="655"/>
      <c r="Q169" s="654"/>
      <c r="R169" s="655"/>
      <c r="S169" s="655"/>
      <c r="T169" s="655"/>
      <c r="U169" s="655"/>
      <c r="V169" s="655"/>
      <c r="W169" s="655"/>
      <c r="X169" s="660"/>
      <c r="Y169" s="662"/>
      <c r="Z169" s="655"/>
      <c r="AA169" s="655"/>
      <c r="AB169" s="655"/>
      <c r="AC169" s="655"/>
      <c r="AD169" s="655"/>
      <c r="AE169" s="656"/>
      <c r="AF169" s="662"/>
      <c r="AG169" s="655"/>
      <c r="AH169" s="655"/>
      <c r="AI169" s="655"/>
      <c r="AJ169" s="655"/>
      <c r="AK169" s="655"/>
      <c r="AL169" s="656"/>
    </row>
    <row r="170" spans="2:38" x14ac:dyDescent="0.45">
      <c r="D170" s="112"/>
      <c r="E170" s="195"/>
      <c r="G170" s="111"/>
      <c r="H170" s="111"/>
      <c r="I170" s="111"/>
      <c r="Z170" s="657"/>
      <c r="AA170" s="657"/>
      <c r="AB170" s="657"/>
      <c r="AC170" s="657"/>
      <c r="AD170" s="657"/>
      <c r="AE170" s="657"/>
      <c r="AG170" s="657"/>
      <c r="AH170" s="657"/>
      <c r="AI170" s="657"/>
      <c r="AJ170" s="657"/>
      <c r="AK170" s="657"/>
      <c r="AL170" s="657"/>
    </row>
    <row r="171" spans="2:38" ht="17" thickBot="1" x14ac:dyDescent="0.5">
      <c r="B171" s="749" t="s">
        <v>631</v>
      </c>
      <c r="C171" s="750" t="s">
        <v>641</v>
      </c>
      <c r="D171" s="241"/>
      <c r="E171" s="241"/>
      <c r="F171" s="276"/>
      <c r="G171" s="240"/>
      <c r="H171" s="241"/>
      <c r="I171" s="241"/>
      <c r="J171" s="604"/>
      <c r="K171" s="603"/>
      <c r="L171" s="604"/>
      <c r="M171" s="604"/>
      <c r="N171" s="604"/>
      <c r="O171" s="604"/>
      <c r="P171" s="604"/>
      <c r="Q171" s="604"/>
      <c r="R171" s="609"/>
      <c r="S171" s="609"/>
      <c r="T171" s="609"/>
      <c r="U171" s="609"/>
      <c r="V171" s="609"/>
      <c r="W171" s="609"/>
      <c r="X171" s="609"/>
      <c r="Y171" s="609"/>
      <c r="Z171" s="609"/>
      <c r="AA171" s="609"/>
      <c r="AB171" s="609"/>
      <c r="AC171" s="609"/>
      <c r="AD171" s="609"/>
      <c r="AE171" s="609"/>
      <c r="AF171" s="609"/>
      <c r="AG171" s="609"/>
      <c r="AH171" s="609"/>
      <c r="AI171" s="609"/>
      <c r="AJ171" s="609"/>
      <c r="AK171" s="609"/>
      <c r="AL171" s="609"/>
    </row>
    <row r="172" spans="2:38" ht="19.5" customHeight="1" x14ac:dyDescent="0.45">
      <c r="B172" s="1168" t="s">
        <v>99</v>
      </c>
      <c r="C172" s="1171" t="s">
        <v>100</v>
      </c>
      <c r="D172" s="1171" t="s">
        <v>89</v>
      </c>
      <c r="E172" s="1171" t="s">
        <v>101</v>
      </c>
      <c r="F172" s="1171" t="s">
        <v>102</v>
      </c>
      <c r="G172" s="1109" t="s">
        <v>103</v>
      </c>
      <c r="H172" s="1110"/>
      <c r="I172" s="1175"/>
      <c r="J172" s="1152" t="s">
        <v>539</v>
      </c>
      <c r="K172" s="1152"/>
      <c r="L172" s="1152"/>
      <c r="M172" s="1152"/>
      <c r="N172" s="1152"/>
      <c r="O172" s="1152"/>
      <c r="P172" s="1152"/>
      <c r="Q172" s="1152"/>
      <c r="R172" s="1152"/>
      <c r="S172" s="1152"/>
      <c r="T172" s="1152"/>
      <c r="U172" s="1152"/>
      <c r="V172" s="1152"/>
      <c r="W172" s="1152"/>
      <c r="X172" s="1152"/>
      <c r="Y172" s="1153" t="s">
        <v>540</v>
      </c>
      <c r="Z172" s="1154"/>
      <c r="AA172" s="1154"/>
      <c r="AB172" s="1154"/>
      <c r="AC172" s="1154"/>
      <c r="AD172" s="1154"/>
      <c r="AE172" s="1155"/>
      <c r="AF172" s="1156" t="s">
        <v>541</v>
      </c>
      <c r="AG172" s="1157"/>
      <c r="AH172" s="1157"/>
      <c r="AI172" s="1157"/>
      <c r="AJ172" s="1157"/>
      <c r="AK172" s="1157"/>
      <c r="AL172" s="1158"/>
    </row>
    <row r="173" spans="2:38" ht="45" x14ac:dyDescent="0.45">
      <c r="B173" s="1169"/>
      <c r="C173" s="1089"/>
      <c r="D173" s="1089"/>
      <c r="E173" s="1089"/>
      <c r="F173" s="1089"/>
      <c r="G173" s="1026"/>
      <c r="H173" s="1027"/>
      <c r="I173" s="1176"/>
      <c r="J173" s="1173" t="s">
        <v>15</v>
      </c>
      <c r="K173" s="673" t="s">
        <v>493</v>
      </c>
      <c r="L173" s="1161" t="s">
        <v>491</v>
      </c>
      <c r="M173" s="1162"/>
      <c r="N173" s="1162"/>
      <c r="O173" s="1162"/>
      <c r="P173" s="1163"/>
      <c r="Q173" s="674" t="s">
        <v>533</v>
      </c>
      <c r="R173" s="1161" t="s">
        <v>501</v>
      </c>
      <c r="S173" s="1162"/>
      <c r="T173" s="1163"/>
      <c r="U173" s="674" t="s">
        <v>530</v>
      </c>
      <c r="V173" s="674" t="s">
        <v>531</v>
      </c>
      <c r="W173" s="674" t="s">
        <v>578</v>
      </c>
      <c r="X173" s="681" t="s">
        <v>579</v>
      </c>
      <c r="Y173" s="1164" t="s">
        <v>534</v>
      </c>
      <c r="Z173" s="1165"/>
      <c r="AA173" s="663" t="s">
        <v>537</v>
      </c>
      <c r="AB173" s="664" t="s">
        <v>538</v>
      </c>
      <c r="AC173" s="665" t="s">
        <v>530</v>
      </c>
      <c r="AD173" s="665" t="s">
        <v>578</v>
      </c>
      <c r="AE173" s="682" t="s">
        <v>579</v>
      </c>
      <c r="AF173" s="1166" t="s">
        <v>542</v>
      </c>
      <c r="AG173" s="1167"/>
      <c r="AH173" s="737" t="s">
        <v>543</v>
      </c>
      <c r="AI173" s="738" t="s">
        <v>544</v>
      </c>
      <c r="AJ173" s="739" t="s">
        <v>530</v>
      </c>
      <c r="AK173" s="739" t="s">
        <v>578</v>
      </c>
      <c r="AL173" s="740" t="s">
        <v>579</v>
      </c>
    </row>
    <row r="174" spans="2:38" ht="30" x14ac:dyDescent="0.45">
      <c r="B174" s="1170"/>
      <c r="C174" s="1090"/>
      <c r="D174" s="1090"/>
      <c r="E174" s="1090"/>
      <c r="F174" s="1090"/>
      <c r="G174" s="1085"/>
      <c r="H174" s="1086"/>
      <c r="I174" s="1177"/>
      <c r="J174" s="1174"/>
      <c r="K174" s="675" t="s">
        <v>495</v>
      </c>
      <c r="L174" s="676" t="s">
        <v>524</v>
      </c>
      <c r="M174" s="676" t="s">
        <v>525</v>
      </c>
      <c r="N174" s="676" t="s">
        <v>526</v>
      </c>
      <c r="O174" s="675" t="s">
        <v>517</v>
      </c>
      <c r="P174" s="675" t="s">
        <v>290</v>
      </c>
      <c r="Q174" s="675" t="s">
        <v>532</v>
      </c>
      <c r="R174" s="676" t="s">
        <v>527</v>
      </c>
      <c r="S174" s="676" t="s">
        <v>528</v>
      </c>
      <c r="T174" s="677" t="s">
        <v>529</v>
      </c>
      <c r="U174" s="675" t="s">
        <v>502</v>
      </c>
      <c r="V174" s="675" t="s">
        <v>502</v>
      </c>
      <c r="W174" s="675" t="s">
        <v>502</v>
      </c>
      <c r="X174" s="678" t="s">
        <v>504</v>
      </c>
      <c r="Y174" s="666" t="s">
        <v>535</v>
      </c>
      <c r="Z174" s="667" t="s">
        <v>536</v>
      </c>
      <c r="AA174" s="668" t="s">
        <v>532</v>
      </c>
      <c r="AB174" s="668" t="s">
        <v>532</v>
      </c>
      <c r="AC174" s="668" t="s">
        <v>532</v>
      </c>
      <c r="AD174" s="668" t="s">
        <v>532</v>
      </c>
      <c r="AE174" s="669" t="s">
        <v>532</v>
      </c>
      <c r="AF174" s="741" t="s">
        <v>535</v>
      </c>
      <c r="AG174" s="742" t="s">
        <v>536</v>
      </c>
      <c r="AH174" s="743" t="s">
        <v>532</v>
      </c>
      <c r="AI174" s="743" t="s">
        <v>532</v>
      </c>
      <c r="AJ174" s="743" t="s">
        <v>532</v>
      </c>
      <c r="AK174" s="743" t="s">
        <v>532</v>
      </c>
      <c r="AL174" s="744" t="s">
        <v>532</v>
      </c>
    </row>
    <row r="175" spans="2:38" ht="30" x14ac:dyDescent="0.45">
      <c r="B175" s="639" t="s">
        <v>4</v>
      </c>
      <c r="C175" s="600" t="s">
        <v>5</v>
      </c>
      <c r="D175" s="570" t="s">
        <v>6</v>
      </c>
      <c r="E175" s="570" t="s">
        <v>112</v>
      </c>
      <c r="F175" s="570" t="s">
        <v>114</v>
      </c>
      <c r="G175" s="1014" t="s">
        <v>115</v>
      </c>
      <c r="H175" s="1014"/>
      <c r="I175" s="1172"/>
      <c r="J175" s="791" t="s">
        <v>21</v>
      </c>
      <c r="K175" s="675" t="s">
        <v>496</v>
      </c>
      <c r="L175" s="675" t="s">
        <v>497</v>
      </c>
      <c r="M175" s="675" t="s">
        <v>498</v>
      </c>
      <c r="N175" s="675" t="s">
        <v>499</v>
      </c>
      <c r="O175" s="676" t="s">
        <v>552</v>
      </c>
      <c r="P175" s="675" t="s">
        <v>512</v>
      </c>
      <c r="Q175" s="675" t="s">
        <v>503</v>
      </c>
      <c r="R175" s="675" t="s">
        <v>553</v>
      </c>
      <c r="S175" s="675" t="s">
        <v>513</v>
      </c>
      <c r="T175" s="675" t="s">
        <v>514</v>
      </c>
      <c r="U175" s="675" t="s">
        <v>554</v>
      </c>
      <c r="V175" s="675" t="s">
        <v>515</v>
      </c>
      <c r="W175" s="675" t="s">
        <v>555</v>
      </c>
      <c r="X175" s="678" t="s">
        <v>516</v>
      </c>
      <c r="Y175" s="670" t="s">
        <v>556</v>
      </c>
      <c r="Z175" s="671" t="s">
        <v>557</v>
      </c>
      <c r="AA175" s="671" t="s">
        <v>558</v>
      </c>
      <c r="AB175" s="671" t="s">
        <v>559</v>
      </c>
      <c r="AC175" s="671" t="s">
        <v>560</v>
      </c>
      <c r="AD175" s="671" t="s">
        <v>561</v>
      </c>
      <c r="AE175" s="672" t="s">
        <v>562</v>
      </c>
      <c r="AF175" s="745" t="s">
        <v>563</v>
      </c>
      <c r="AG175" s="746" t="s">
        <v>564</v>
      </c>
      <c r="AH175" s="746" t="s">
        <v>565</v>
      </c>
      <c r="AI175" s="746" t="s">
        <v>566</v>
      </c>
      <c r="AJ175" s="746" t="s">
        <v>567</v>
      </c>
      <c r="AK175" s="746" t="s">
        <v>568</v>
      </c>
      <c r="AL175" s="747" t="s">
        <v>569</v>
      </c>
    </row>
    <row r="176" spans="2:38" ht="15.5" x14ac:dyDescent="0.45">
      <c r="B176" s="799">
        <v>8</v>
      </c>
      <c r="C176" s="508" t="s">
        <v>44</v>
      </c>
      <c r="D176" s="797"/>
      <c r="E176" s="583">
        <v>10</v>
      </c>
      <c r="F176" s="584" t="s">
        <v>39</v>
      </c>
      <c r="G176" s="561" t="s">
        <v>91</v>
      </c>
      <c r="H176" s="562"/>
      <c r="I176" s="975"/>
      <c r="J176" s="789"/>
      <c r="K176" s="789"/>
      <c r="L176" s="789"/>
      <c r="M176" s="789"/>
      <c r="N176" s="789"/>
      <c r="O176" s="789"/>
      <c r="P176" s="789"/>
      <c r="Q176" s="789"/>
      <c r="R176" s="789"/>
      <c r="S176" s="789"/>
      <c r="T176" s="789"/>
      <c r="U176" s="789"/>
      <c r="V176" s="789"/>
      <c r="W176" s="789"/>
      <c r="X176" s="789"/>
      <c r="Y176" s="789"/>
      <c r="Z176" s="789"/>
      <c r="AA176" s="789"/>
      <c r="AB176" s="789"/>
      <c r="AC176" s="789"/>
      <c r="AD176" s="789"/>
      <c r="AE176" s="789"/>
      <c r="AF176" s="789"/>
      <c r="AG176" s="789"/>
      <c r="AH176" s="789"/>
      <c r="AI176" s="789"/>
      <c r="AJ176" s="789"/>
      <c r="AK176" s="789"/>
      <c r="AL176" s="790"/>
    </row>
    <row r="177" spans="2:38" x14ac:dyDescent="0.45">
      <c r="B177" s="849"/>
      <c r="C177" s="307"/>
      <c r="D177" s="344"/>
      <c r="E177" s="284"/>
      <c r="F177" s="285" t="s">
        <v>4</v>
      </c>
      <c r="G177" s="353" t="s">
        <v>120</v>
      </c>
      <c r="H177" s="209"/>
      <c r="I177" s="966"/>
      <c r="J177" s="792">
        <f>RAP!E42</f>
        <v>1642.79</v>
      </c>
      <c r="K177" s="601">
        <v>2</v>
      </c>
      <c r="L177" s="319"/>
      <c r="M177" s="319"/>
      <c r="N177" s="319"/>
      <c r="O177" s="598"/>
      <c r="P177" s="598"/>
      <c r="Q177" s="605"/>
      <c r="R177" s="485"/>
      <c r="S177" s="485"/>
      <c r="T177" s="485"/>
      <c r="U177" s="752">
        <f>SUM(R177:R191)+(SUM(S177:S191)+SUM(T177:T191))</f>
        <v>20670000</v>
      </c>
      <c r="V177" s="754">
        <f>RAP!H42</f>
        <v>23729403.359999999</v>
      </c>
      <c r="W177" s="752">
        <f>V177-U177</f>
        <v>3059403.3599999994</v>
      </c>
      <c r="X177" s="760">
        <f>W177/V177*100</f>
        <v>12.892879410348559</v>
      </c>
      <c r="Y177" s="755">
        <f>SUM(R177:R191)/J177</f>
        <v>1290.4875242727312</v>
      </c>
      <c r="Z177" s="757">
        <v>1200</v>
      </c>
      <c r="AA177" s="758">
        <f>J177*Z177</f>
        <v>1971348</v>
      </c>
      <c r="AB177" s="758">
        <f>SUM(S177:S191)+SUM(T177:T191)</f>
        <v>18550000</v>
      </c>
      <c r="AC177" s="752">
        <f>AA177+AB177</f>
        <v>20521348</v>
      </c>
      <c r="AD177" s="752">
        <f>V177-AC177</f>
        <v>3208055.3599999994</v>
      </c>
      <c r="AE177" s="760">
        <f>AD177/V177*100</f>
        <v>13.519325839467713</v>
      </c>
      <c r="AF177" s="755">
        <f>(SUM(R177:R191)+SUM(S177:S191))/J177</f>
        <v>12582.253361659128</v>
      </c>
      <c r="AG177" s="757">
        <v>12000</v>
      </c>
      <c r="AH177" s="758">
        <f>AG177*J177</f>
        <v>19713480</v>
      </c>
      <c r="AI177" s="758">
        <f>SUM(T177:T191)</f>
        <v>0</v>
      </c>
      <c r="AJ177" s="752">
        <f>AH177+AI177</f>
        <v>19713480</v>
      </c>
      <c r="AK177" s="752">
        <f>V177-AJ177</f>
        <v>4015923.3599999994</v>
      </c>
      <c r="AL177" s="760">
        <f>AK177/V177*100</f>
        <v>16.923827788984912</v>
      </c>
    </row>
    <row r="178" spans="2:38" ht="15.5" x14ac:dyDescent="0.45">
      <c r="B178" s="850"/>
      <c r="C178" s="277"/>
      <c r="D178" s="279" t="s">
        <v>107</v>
      </c>
      <c r="E178" s="340">
        <v>7.0000000000000001E-3</v>
      </c>
      <c r="F178" s="267" t="s">
        <v>108</v>
      </c>
      <c r="G178" s="339" t="s">
        <v>51</v>
      </c>
      <c r="H178" s="209"/>
      <c r="I178" s="966"/>
      <c r="J178" s="475"/>
      <c r="K178" s="602"/>
      <c r="L178" s="433">
        <f>E178*J177/K177</f>
        <v>5.749765</v>
      </c>
      <c r="M178" s="433"/>
      <c r="N178" s="433"/>
      <c r="O178" s="597">
        <v>6</v>
      </c>
      <c r="P178" s="596" t="str">
        <f>F178</f>
        <v>OH</v>
      </c>
      <c r="Q178" s="608">
        <f>'Analisa Upah RAP'!G5</f>
        <v>75000</v>
      </c>
      <c r="R178" s="453">
        <f>O178*Q178*K177</f>
        <v>900000</v>
      </c>
      <c r="S178" s="453"/>
      <c r="T178" s="453"/>
      <c r="U178" s="753"/>
      <c r="V178" s="753"/>
      <c r="W178" s="753"/>
      <c r="X178" s="761"/>
      <c r="Y178" s="756"/>
      <c r="Z178" s="759"/>
      <c r="AA178" s="759"/>
      <c r="AB178" s="759"/>
      <c r="AC178" s="753"/>
      <c r="AD178" s="753"/>
      <c r="AE178" s="761"/>
      <c r="AF178" s="756"/>
      <c r="AG178" s="759"/>
      <c r="AH178" s="759"/>
      <c r="AI178" s="759"/>
      <c r="AJ178" s="753"/>
      <c r="AK178" s="753"/>
      <c r="AL178" s="761"/>
    </row>
    <row r="179" spans="2:38" ht="15.5" x14ac:dyDescent="0.45">
      <c r="B179" s="850"/>
      <c r="C179" s="277"/>
      <c r="D179" s="279" t="s">
        <v>121</v>
      </c>
      <c r="E179" s="340">
        <v>7.0000000000000001E-3</v>
      </c>
      <c r="F179" s="267" t="s">
        <v>108</v>
      </c>
      <c r="G179" s="339" t="s">
        <v>58</v>
      </c>
      <c r="H179" s="209"/>
      <c r="I179" s="966"/>
      <c r="J179" s="475"/>
      <c r="K179" s="602"/>
      <c r="L179" s="433">
        <f>E179*J177/K177</f>
        <v>5.749765</v>
      </c>
      <c r="M179" s="433"/>
      <c r="N179" s="433"/>
      <c r="O179" s="597">
        <v>6</v>
      </c>
      <c r="P179" s="596" t="str">
        <f>F179</f>
        <v>OH</v>
      </c>
      <c r="Q179" s="608">
        <f>'Analisa Upah RAP'!G8</f>
        <v>85000</v>
      </c>
      <c r="R179" s="453">
        <f>O179*Q179*K177</f>
        <v>1020000</v>
      </c>
      <c r="S179" s="453"/>
      <c r="T179" s="453"/>
      <c r="U179" s="753"/>
      <c r="V179" s="753"/>
      <c r="W179" s="753"/>
      <c r="X179" s="761"/>
      <c r="Y179" s="756"/>
      <c r="Z179" s="759"/>
      <c r="AA179" s="759"/>
      <c r="AB179" s="759"/>
      <c r="AC179" s="753"/>
      <c r="AD179" s="753"/>
      <c r="AE179" s="761"/>
      <c r="AF179" s="756"/>
      <c r="AG179" s="759"/>
      <c r="AH179" s="759"/>
      <c r="AI179" s="759"/>
      <c r="AJ179" s="753"/>
      <c r="AK179" s="753"/>
      <c r="AL179" s="761"/>
    </row>
    <row r="180" spans="2:38" ht="15.5" x14ac:dyDescent="0.45">
      <c r="B180" s="850"/>
      <c r="C180" s="277"/>
      <c r="D180" s="279" t="s">
        <v>122</v>
      </c>
      <c r="E180" s="340">
        <v>6.9999999999999999E-4</v>
      </c>
      <c r="F180" s="267" t="s">
        <v>108</v>
      </c>
      <c r="G180" s="339" t="s">
        <v>123</v>
      </c>
      <c r="H180" s="209"/>
      <c r="I180" s="966"/>
      <c r="J180" s="475"/>
      <c r="K180" s="602"/>
      <c r="L180" s="433">
        <f>E180*J177/K177</f>
        <v>0.5749765</v>
      </c>
      <c r="M180" s="433"/>
      <c r="N180" s="433"/>
      <c r="O180" s="597">
        <v>0</v>
      </c>
      <c r="P180" s="596" t="str">
        <f>F180</f>
        <v>OH</v>
      </c>
      <c r="Q180" s="608">
        <f>'Analisa Upah RAP'!G11</f>
        <v>90000</v>
      </c>
      <c r="R180" s="453">
        <f>O180*Q180*K177</f>
        <v>0</v>
      </c>
      <c r="S180" s="453"/>
      <c r="T180" s="453"/>
      <c r="U180" s="753"/>
      <c r="V180" s="753"/>
      <c r="W180" s="753"/>
      <c r="X180" s="761"/>
      <c r="Y180" s="756"/>
      <c r="Z180" s="759"/>
      <c r="AA180" s="759"/>
      <c r="AB180" s="759"/>
      <c r="AC180" s="753"/>
      <c r="AD180" s="753"/>
      <c r="AE180" s="761"/>
      <c r="AF180" s="756"/>
      <c r="AG180" s="759"/>
      <c r="AH180" s="759"/>
      <c r="AI180" s="759"/>
      <c r="AJ180" s="753"/>
      <c r="AK180" s="753"/>
      <c r="AL180" s="761"/>
    </row>
    <row r="181" spans="2:38" ht="15.5" x14ac:dyDescent="0.45">
      <c r="B181" s="850"/>
      <c r="C181" s="277"/>
      <c r="D181" s="343" t="s">
        <v>109</v>
      </c>
      <c r="E181" s="357">
        <v>4.0000000000000002E-4</v>
      </c>
      <c r="F181" s="275" t="s">
        <v>108</v>
      </c>
      <c r="G181" s="351" t="s">
        <v>52</v>
      </c>
      <c r="H181" s="229"/>
      <c r="I181" s="967"/>
      <c r="J181" s="475"/>
      <c r="K181" s="602"/>
      <c r="L181" s="433">
        <f>E181*J177/K177</f>
        <v>0.32855800000000002</v>
      </c>
      <c r="M181" s="433"/>
      <c r="N181" s="433"/>
      <c r="O181" s="597">
        <v>1</v>
      </c>
      <c r="P181" s="596" t="str">
        <f>F181</f>
        <v>OH</v>
      </c>
      <c r="Q181" s="608">
        <f>'Analisa Upah RAP'!G12</f>
        <v>100000</v>
      </c>
      <c r="R181" s="453">
        <f>O181*Q181*K177</f>
        <v>200000</v>
      </c>
      <c r="S181" s="453"/>
      <c r="T181" s="453"/>
      <c r="U181" s="753"/>
      <c r="V181" s="753"/>
      <c r="W181" s="753"/>
      <c r="X181" s="761"/>
      <c r="Y181" s="756"/>
      <c r="Z181" s="759"/>
      <c r="AA181" s="759"/>
      <c r="AB181" s="759"/>
      <c r="AC181" s="753"/>
      <c r="AD181" s="753"/>
      <c r="AE181" s="761"/>
      <c r="AF181" s="756"/>
      <c r="AG181" s="759"/>
      <c r="AH181" s="759"/>
      <c r="AI181" s="759"/>
      <c r="AJ181" s="753"/>
      <c r="AK181" s="753"/>
      <c r="AL181" s="761"/>
    </row>
    <row r="182" spans="2:38" x14ac:dyDescent="0.45">
      <c r="B182" s="850"/>
      <c r="C182" s="277"/>
      <c r="D182" s="344"/>
      <c r="E182" s="352"/>
      <c r="F182" s="285" t="s">
        <v>5</v>
      </c>
      <c r="G182" s="353" t="s">
        <v>124</v>
      </c>
      <c r="H182" s="209"/>
      <c r="I182" s="966"/>
      <c r="J182" s="475"/>
      <c r="K182" s="602"/>
      <c r="L182" s="433"/>
      <c r="M182" s="433"/>
      <c r="N182" s="433"/>
      <c r="O182" s="597"/>
      <c r="P182" s="596"/>
      <c r="Q182" s="608"/>
      <c r="R182" s="453"/>
      <c r="S182" s="453"/>
      <c r="T182" s="453"/>
      <c r="U182" s="753"/>
      <c r="V182" s="753"/>
      <c r="W182" s="753"/>
      <c r="X182" s="761"/>
      <c r="Y182" s="756"/>
      <c r="Z182" s="759"/>
      <c r="AA182" s="759"/>
      <c r="AB182" s="759"/>
      <c r="AC182" s="753"/>
      <c r="AD182" s="753"/>
      <c r="AE182" s="761"/>
      <c r="AF182" s="756"/>
      <c r="AG182" s="759"/>
      <c r="AH182" s="759"/>
      <c r="AI182" s="759"/>
      <c r="AJ182" s="753"/>
      <c r="AK182" s="753"/>
      <c r="AL182" s="761"/>
    </row>
    <row r="183" spans="2:38" x14ac:dyDescent="0.45">
      <c r="B183" s="850"/>
      <c r="C183" s="277"/>
      <c r="D183" s="344"/>
      <c r="E183" s="222">
        <v>1.05</v>
      </c>
      <c r="F183" s="267" t="s">
        <v>39</v>
      </c>
      <c r="G183" s="339" t="s">
        <v>635</v>
      </c>
      <c r="H183" s="209"/>
      <c r="I183" s="966"/>
      <c r="J183" s="475"/>
      <c r="K183" s="602"/>
      <c r="L183" s="433"/>
      <c r="M183" s="433">
        <f>E183*J177</f>
        <v>1724.9295</v>
      </c>
      <c r="N183" s="433"/>
      <c r="O183" s="597">
        <v>1725</v>
      </c>
      <c r="P183" s="596" t="str">
        <f>F183</f>
        <v>Kg</v>
      </c>
      <c r="Q183" s="608">
        <f>'Harga Bahan RAP'!G48</f>
        <v>10500</v>
      </c>
      <c r="R183" s="453"/>
      <c r="S183" s="453">
        <f t="shared" ref="S183:S186" si="10">O183*Q183</f>
        <v>18112500</v>
      </c>
      <c r="T183" s="453"/>
      <c r="U183" s="753"/>
      <c r="V183" s="753"/>
      <c r="W183" s="753"/>
      <c r="X183" s="761"/>
      <c r="Y183" s="756"/>
      <c r="Z183" s="759"/>
      <c r="AA183" s="759"/>
      <c r="AB183" s="759"/>
      <c r="AC183" s="753"/>
      <c r="AD183" s="753"/>
      <c r="AE183" s="761"/>
      <c r="AF183" s="756"/>
      <c r="AG183" s="759"/>
      <c r="AH183" s="759"/>
      <c r="AI183" s="759"/>
      <c r="AJ183" s="753"/>
      <c r="AK183" s="753"/>
      <c r="AL183" s="761"/>
    </row>
    <row r="184" spans="2:38" x14ac:dyDescent="0.45">
      <c r="B184" s="850"/>
      <c r="C184" s="277"/>
      <c r="D184" s="345"/>
      <c r="E184" s="300">
        <v>1.4999999999999999E-2</v>
      </c>
      <c r="F184" s="275" t="s">
        <v>39</v>
      </c>
      <c r="G184" s="351" t="s">
        <v>443</v>
      </c>
      <c r="H184" s="229"/>
      <c r="I184" s="967"/>
      <c r="J184" s="475"/>
      <c r="K184" s="602"/>
      <c r="L184" s="433"/>
      <c r="M184" s="433">
        <f>E184*J177</f>
        <v>24.641849999999998</v>
      </c>
      <c r="N184" s="433"/>
      <c r="O184" s="597">
        <v>25</v>
      </c>
      <c r="P184" s="596" t="str">
        <f>F184</f>
        <v>Kg</v>
      </c>
      <c r="Q184" s="608">
        <f>'Harga Bahan RAP'!G51</f>
        <v>17500</v>
      </c>
      <c r="R184" s="433"/>
      <c r="S184" s="453">
        <f t="shared" si="10"/>
        <v>437500</v>
      </c>
      <c r="T184" s="433"/>
      <c r="U184" s="753"/>
      <c r="V184" s="753"/>
      <c r="W184" s="753"/>
      <c r="X184" s="761"/>
      <c r="Y184" s="756"/>
      <c r="Z184" s="759"/>
      <c r="AA184" s="759"/>
      <c r="AB184" s="759"/>
      <c r="AC184" s="753"/>
      <c r="AD184" s="753"/>
      <c r="AE184" s="761"/>
      <c r="AF184" s="756"/>
      <c r="AG184" s="759"/>
      <c r="AH184" s="759"/>
      <c r="AI184" s="759"/>
      <c r="AJ184" s="753"/>
      <c r="AK184" s="753"/>
      <c r="AL184" s="761"/>
    </row>
    <row r="185" spans="2:38" x14ac:dyDescent="0.45">
      <c r="B185" s="850"/>
      <c r="C185" s="277"/>
      <c r="D185" s="344"/>
      <c r="E185" s="299"/>
      <c r="F185" s="267"/>
      <c r="G185" s="209"/>
      <c r="H185" s="209"/>
      <c r="I185" s="966"/>
      <c r="J185" s="475"/>
      <c r="K185" s="602"/>
      <c r="L185" s="433"/>
      <c r="M185" s="433">
        <f>E185*J177</f>
        <v>0</v>
      </c>
      <c r="N185" s="433"/>
      <c r="O185" s="597">
        <v>0</v>
      </c>
      <c r="P185" s="596">
        <f>F185</f>
        <v>0</v>
      </c>
      <c r="Q185" s="608">
        <v>0</v>
      </c>
      <c r="R185" s="433"/>
      <c r="S185" s="453">
        <f t="shared" si="10"/>
        <v>0</v>
      </c>
      <c r="T185" s="433"/>
      <c r="U185" s="753"/>
      <c r="V185" s="753"/>
      <c r="W185" s="753"/>
      <c r="X185" s="761"/>
      <c r="Y185" s="756"/>
      <c r="Z185" s="759"/>
      <c r="AA185" s="759"/>
      <c r="AB185" s="759"/>
      <c r="AC185" s="753"/>
      <c r="AD185" s="753"/>
      <c r="AE185" s="761"/>
      <c r="AF185" s="756"/>
      <c r="AG185" s="759"/>
      <c r="AH185" s="759"/>
      <c r="AI185" s="759"/>
      <c r="AJ185" s="753"/>
      <c r="AK185" s="753"/>
      <c r="AL185" s="761"/>
    </row>
    <row r="186" spans="2:38" x14ac:dyDescent="0.45">
      <c r="B186" s="850"/>
      <c r="C186" s="277"/>
      <c r="D186" s="345"/>
      <c r="E186" s="300"/>
      <c r="F186" s="275"/>
      <c r="G186" s="229"/>
      <c r="H186" s="229"/>
      <c r="I186" s="967"/>
      <c r="J186" s="475"/>
      <c r="K186" s="602"/>
      <c r="L186" s="433"/>
      <c r="M186" s="433">
        <f>E186*J177</f>
        <v>0</v>
      </c>
      <c r="N186" s="433"/>
      <c r="O186" s="597">
        <v>0</v>
      </c>
      <c r="P186" s="596">
        <f>F186</f>
        <v>0</v>
      </c>
      <c r="Q186" s="608">
        <v>0</v>
      </c>
      <c r="R186" s="433"/>
      <c r="S186" s="453">
        <f t="shared" si="10"/>
        <v>0</v>
      </c>
      <c r="T186" s="433"/>
      <c r="U186" s="753"/>
      <c r="V186" s="753"/>
      <c r="W186" s="753"/>
      <c r="X186" s="761"/>
      <c r="Y186" s="756"/>
      <c r="Z186" s="759"/>
      <c r="AA186" s="759"/>
      <c r="AB186" s="759"/>
      <c r="AC186" s="753"/>
      <c r="AD186" s="753"/>
      <c r="AE186" s="761"/>
      <c r="AF186" s="756"/>
      <c r="AG186" s="759"/>
      <c r="AH186" s="759"/>
      <c r="AI186" s="759"/>
      <c r="AJ186" s="753"/>
      <c r="AK186" s="753"/>
      <c r="AL186" s="761"/>
    </row>
    <row r="187" spans="2:38" x14ac:dyDescent="0.45">
      <c r="B187" s="813"/>
      <c r="C187" s="277"/>
      <c r="D187" s="279"/>
      <c r="E187" s="346"/>
      <c r="F187" s="207" t="s">
        <v>6</v>
      </c>
      <c r="G187" s="213" t="s">
        <v>111</v>
      </c>
      <c r="H187" s="244"/>
      <c r="I187" s="969"/>
      <c r="J187" s="475"/>
      <c r="K187" s="602"/>
      <c r="L187" s="433"/>
      <c r="M187" s="433"/>
      <c r="N187" s="433"/>
      <c r="O187" s="597"/>
      <c r="P187" s="596"/>
      <c r="Q187" s="608">
        <v>0</v>
      </c>
      <c r="R187" s="433"/>
      <c r="S187" s="433"/>
      <c r="T187" s="433"/>
      <c r="U187" s="433"/>
      <c r="V187" s="433"/>
      <c r="W187" s="433"/>
      <c r="X187" s="659"/>
      <c r="Y187" s="661"/>
      <c r="Z187" s="433"/>
      <c r="AA187" s="433"/>
      <c r="AB187" s="433"/>
      <c r="AC187" s="433"/>
      <c r="AD187" s="433"/>
      <c r="AE187" s="644"/>
      <c r="AF187" s="661"/>
      <c r="AG187" s="433"/>
      <c r="AH187" s="433"/>
      <c r="AI187" s="433"/>
      <c r="AJ187" s="433"/>
      <c r="AK187" s="433"/>
      <c r="AL187" s="644"/>
    </row>
    <row r="188" spans="2:38" x14ac:dyDescent="0.45">
      <c r="B188" s="813"/>
      <c r="C188" s="277"/>
      <c r="D188" s="279"/>
      <c r="E188" s="346"/>
      <c r="F188" s="207"/>
      <c r="G188" s="208"/>
      <c r="H188" s="209"/>
      <c r="I188" s="966"/>
      <c r="J188" s="475"/>
      <c r="K188" s="602"/>
      <c r="L188" s="433"/>
      <c r="M188" s="433"/>
      <c r="N188" s="433">
        <f>E188*J177</f>
        <v>0</v>
      </c>
      <c r="O188" s="597">
        <v>0</v>
      </c>
      <c r="P188" s="596">
        <v>0</v>
      </c>
      <c r="Q188" s="608">
        <f t="shared" ref="Q188" si="11">Q143</f>
        <v>0</v>
      </c>
      <c r="R188" s="433"/>
      <c r="S188" s="433"/>
      <c r="T188" s="453">
        <f>O188*Q188</f>
        <v>0</v>
      </c>
      <c r="U188" s="433"/>
      <c r="V188" s="433"/>
      <c r="W188" s="433"/>
      <c r="X188" s="659"/>
      <c r="Y188" s="661"/>
      <c r="Z188" s="433"/>
      <c r="AA188" s="433"/>
      <c r="AB188" s="433"/>
      <c r="AC188" s="433"/>
      <c r="AD188" s="433"/>
      <c r="AE188" s="644"/>
      <c r="AF188" s="661"/>
      <c r="AG188" s="433"/>
      <c r="AH188" s="433"/>
      <c r="AI188" s="433"/>
      <c r="AJ188" s="433"/>
      <c r="AK188" s="433"/>
      <c r="AL188" s="644"/>
    </row>
    <row r="189" spans="2:38" x14ac:dyDescent="0.45">
      <c r="B189" s="813"/>
      <c r="C189" s="277"/>
      <c r="D189" s="279"/>
      <c r="E189" s="346"/>
      <c r="F189" s="207" t="s">
        <v>112</v>
      </c>
      <c r="G189" s="208" t="s">
        <v>113</v>
      </c>
      <c r="H189" s="209"/>
      <c r="I189" s="966"/>
      <c r="J189" s="475"/>
      <c r="K189" s="602"/>
      <c r="L189" s="433"/>
      <c r="M189" s="433"/>
      <c r="N189" s="433"/>
      <c r="O189" s="433"/>
      <c r="P189" s="433"/>
      <c r="Q189" s="595"/>
      <c r="R189" s="433"/>
      <c r="S189" s="433"/>
      <c r="T189" s="433"/>
      <c r="U189" s="433"/>
      <c r="V189" s="433"/>
      <c r="W189" s="433"/>
      <c r="X189" s="659"/>
      <c r="Y189" s="661"/>
      <c r="Z189" s="433"/>
      <c r="AA189" s="433"/>
      <c r="AB189" s="433"/>
      <c r="AC189" s="433"/>
      <c r="AD189" s="433"/>
      <c r="AE189" s="644"/>
      <c r="AF189" s="661"/>
      <c r="AG189" s="433"/>
      <c r="AH189" s="433"/>
      <c r="AI189" s="433"/>
      <c r="AJ189" s="433"/>
      <c r="AK189" s="433"/>
      <c r="AL189" s="644"/>
    </row>
    <row r="190" spans="2:38" x14ac:dyDescent="0.45">
      <c r="B190" s="813"/>
      <c r="C190" s="277"/>
      <c r="D190" s="343"/>
      <c r="E190" s="347"/>
      <c r="F190" s="239" t="s">
        <v>114</v>
      </c>
      <c r="G190" s="257" t="s">
        <v>166</v>
      </c>
      <c r="H190" s="229"/>
      <c r="I190" s="980">
        <v>0.15</v>
      </c>
      <c r="J190" s="475"/>
      <c r="K190" s="602"/>
      <c r="L190" s="433"/>
      <c r="M190" s="433"/>
      <c r="N190" s="433"/>
      <c r="O190" s="433"/>
      <c r="P190" s="433"/>
      <c r="Q190" s="595"/>
      <c r="R190" s="433"/>
      <c r="S190" s="433"/>
      <c r="T190" s="433"/>
      <c r="U190" s="433"/>
      <c r="V190" s="433"/>
      <c r="W190" s="433"/>
      <c r="X190" s="659"/>
      <c r="Y190" s="661"/>
      <c r="Z190" s="433"/>
      <c r="AA190" s="433"/>
      <c r="AB190" s="433"/>
      <c r="AC190" s="433"/>
      <c r="AD190" s="433"/>
      <c r="AE190" s="644"/>
      <c r="AF190" s="661"/>
      <c r="AG190" s="433"/>
      <c r="AH190" s="433"/>
      <c r="AI190" s="433"/>
      <c r="AJ190" s="433"/>
      <c r="AK190" s="433"/>
      <c r="AL190" s="644"/>
    </row>
    <row r="191" spans="2:38" ht="17" thickBot="1" x14ac:dyDescent="0.5">
      <c r="B191" s="830"/>
      <c r="C191" s="831"/>
      <c r="D191" s="832"/>
      <c r="E191" s="833"/>
      <c r="F191" s="834" t="s">
        <v>115</v>
      </c>
      <c r="G191" s="816" t="s">
        <v>127</v>
      </c>
      <c r="H191" s="835"/>
      <c r="I191" s="981"/>
      <c r="J191" s="793"/>
      <c r="K191" s="763"/>
      <c r="L191" s="655"/>
      <c r="M191" s="655"/>
      <c r="N191" s="655"/>
      <c r="O191" s="655"/>
      <c r="P191" s="655"/>
      <c r="Q191" s="654"/>
      <c r="R191" s="655"/>
      <c r="S191" s="655"/>
      <c r="T191" s="655"/>
      <c r="U191" s="655"/>
      <c r="V191" s="655"/>
      <c r="W191" s="655"/>
      <c r="X191" s="660"/>
      <c r="Y191" s="662"/>
      <c r="Z191" s="655"/>
      <c r="AA191" s="655"/>
      <c r="AB191" s="655"/>
      <c r="AC191" s="655"/>
      <c r="AD191" s="655"/>
      <c r="AE191" s="656"/>
      <c r="AF191" s="662"/>
      <c r="AG191" s="655"/>
      <c r="AH191" s="655"/>
      <c r="AI191" s="655"/>
      <c r="AJ191" s="655"/>
      <c r="AK191" s="655"/>
      <c r="AL191" s="656"/>
    </row>
    <row r="192" spans="2:38" x14ac:dyDescent="0.45">
      <c r="D192" s="112"/>
      <c r="E192" s="195"/>
      <c r="G192" s="111"/>
      <c r="H192" s="111"/>
      <c r="I192" s="111"/>
      <c r="Z192" s="657"/>
      <c r="AA192" s="657"/>
      <c r="AB192" s="657"/>
      <c r="AC192" s="657"/>
      <c r="AD192" s="657"/>
      <c r="AE192" s="657"/>
      <c r="AG192" s="657"/>
      <c r="AH192" s="657"/>
      <c r="AI192" s="657"/>
      <c r="AJ192" s="657"/>
      <c r="AK192" s="657"/>
      <c r="AL192" s="657"/>
    </row>
    <row r="193" spans="2:38" ht="17" thickBot="1" x14ac:dyDescent="0.5">
      <c r="B193" s="749" t="s">
        <v>632</v>
      </c>
      <c r="C193" s="750" t="s">
        <v>640</v>
      </c>
      <c r="D193" s="241"/>
      <c r="E193" s="241"/>
      <c r="F193" s="276"/>
      <c r="G193" s="240"/>
      <c r="H193" s="241"/>
      <c r="I193" s="241"/>
      <c r="J193" s="604"/>
      <c r="K193" s="603"/>
      <c r="L193" s="604"/>
      <c r="M193" s="604"/>
      <c r="N193" s="604"/>
      <c r="O193" s="604"/>
      <c r="P193" s="604"/>
      <c r="Q193" s="604"/>
      <c r="R193" s="609"/>
      <c r="S193" s="609"/>
      <c r="T193" s="609"/>
      <c r="U193" s="609"/>
      <c r="V193" s="609"/>
      <c r="W193" s="609"/>
      <c r="X193" s="609"/>
      <c r="Y193" s="609"/>
      <c r="Z193" s="609"/>
      <c r="AA193" s="609"/>
      <c r="AB193" s="609"/>
      <c r="AC193" s="609"/>
      <c r="AD193" s="609"/>
      <c r="AE193" s="609"/>
      <c r="AF193" s="609"/>
      <c r="AG193" s="609"/>
      <c r="AH193" s="609"/>
      <c r="AI193" s="609"/>
      <c r="AJ193" s="609"/>
      <c r="AK193" s="609"/>
      <c r="AL193" s="609"/>
    </row>
    <row r="194" spans="2:38" ht="19.5" customHeight="1" x14ac:dyDescent="0.45">
      <c r="B194" s="1168" t="s">
        <v>99</v>
      </c>
      <c r="C194" s="1171" t="s">
        <v>100</v>
      </c>
      <c r="D194" s="1171" t="s">
        <v>89</v>
      </c>
      <c r="E194" s="1171" t="s">
        <v>101</v>
      </c>
      <c r="F194" s="1171" t="s">
        <v>102</v>
      </c>
      <c r="G194" s="1109" t="s">
        <v>103</v>
      </c>
      <c r="H194" s="1110"/>
      <c r="I194" s="1175"/>
      <c r="J194" s="1152" t="s">
        <v>539</v>
      </c>
      <c r="K194" s="1152"/>
      <c r="L194" s="1152"/>
      <c r="M194" s="1152"/>
      <c r="N194" s="1152"/>
      <c r="O194" s="1152"/>
      <c r="P194" s="1152"/>
      <c r="Q194" s="1152"/>
      <c r="R194" s="1152"/>
      <c r="S194" s="1152"/>
      <c r="T194" s="1152"/>
      <c r="U194" s="1152"/>
      <c r="V194" s="1152"/>
      <c r="W194" s="1152"/>
      <c r="X194" s="1152"/>
      <c r="Y194" s="1153" t="s">
        <v>540</v>
      </c>
      <c r="Z194" s="1154"/>
      <c r="AA194" s="1154"/>
      <c r="AB194" s="1154"/>
      <c r="AC194" s="1154"/>
      <c r="AD194" s="1154"/>
      <c r="AE194" s="1155"/>
      <c r="AF194" s="1156" t="s">
        <v>541</v>
      </c>
      <c r="AG194" s="1157"/>
      <c r="AH194" s="1157"/>
      <c r="AI194" s="1157"/>
      <c r="AJ194" s="1157"/>
      <c r="AK194" s="1157"/>
      <c r="AL194" s="1158"/>
    </row>
    <row r="195" spans="2:38" ht="45" x14ac:dyDescent="0.45">
      <c r="B195" s="1169"/>
      <c r="C195" s="1089"/>
      <c r="D195" s="1089"/>
      <c r="E195" s="1089"/>
      <c r="F195" s="1089"/>
      <c r="G195" s="1026"/>
      <c r="H195" s="1027"/>
      <c r="I195" s="1176"/>
      <c r="J195" s="1173" t="s">
        <v>15</v>
      </c>
      <c r="K195" s="673" t="s">
        <v>493</v>
      </c>
      <c r="L195" s="1161" t="s">
        <v>491</v>
      </c>
      <c r="M195" s="1162"/>
      <c r="N195" s="1162"/>
      <c r="O195" s="1162"/>
      <c r="P195" s="1163"/>
      <c r="Q195" s="674" t="s">
        <v>533</v>
      </c>
      <c r="R195" s="1161" t="s">
        <v>501</v>
      </c>
      <c r="S195" s="1162"/>
      <c r="T195" s="1163"/>
      <c r="U195" s="674" t="s">
        <v>530</v>
      </c>
      <c r="V195" s="674" t="s">
        <v>531</v>
      </c>
      <c r="W195" s="674" t="s">
        <v>578</v>
      </c>
      <c r="X195" s="681" t="s">
        <v>579</v>
      </c>
      <c r="Y195" s="1164" t="s">
        <v>534</v>
      </c>
      <c r="Z195" s="1165"/>
      <c r="AA195" s="663" t="s">
        <v>537</v>
      </c>
      <c r="AB195" s="664" t="s">
        <v>538</v>
      </c>
      <c r="AC195" s="665" t="s">
        <v>530</v>
      </c>
      <c r="AD195" s="665" t="s">
        <v>578</v>
      </c>
      <c r="AE195" s="682" t="s">
        <v>579</v>
      </c>
      <c r="AF195" s="1166" t="s">
        <v>542</v>
      </c>
      <c r="AG195" s="1167"/>
      <c r="AH195" s="737" t="s">
        <v>543</v>
      </c>
      <c r="AI195" s="738" t="s">
        <v>544</v>
      </c>
      <c r="AJ195" s="739" t="s">
        <v>530</v>
      </c>
      <c r="AK195" s="739" t="s">
        <v>578</v>
      </c>
      <c r="AL195" s="740" t="s">
        <v>579</v>
      </c>
    </row>
    <row r="196" spans="2:38" ht="30" x14ac:dyDescent="0.45">
      <c r="B196" s="1170"/>
      <c r="C196" s="1090"/>
      <c r="D196" s="1090"/>
      <c r="E196" s="1090"/>
      <c r="F196" s="1090"/>
      <c r="G196" s="1085"/>
      <c r="H196" s="1086"/>
      <c r="I196" s="1177"/>
      <c r="J196" s="1174"/>
      <c r="K196" s="675" t="s">
        <v>495</v>
      </c>
      <c r="L196" s="676" t="s">
        <v>524</v>
      </c>
      <c r="M196" s="676" t="s">
        <v>525</v>
      </c>
      <c r="N196" s="676" t="s">
        <v>526</v>
      </c>
      <c r="O196" s="675" t="s">
        <v>517</v>
      </c>
      <c r="P196" s="675" t="s">
        <v>290</v>
      </c>
      <c r="Q196" s="675" t="s">
        <v>532</v>
      </c>
      <c r="R196" s="676" t="s">
        <v>527</v>
      </c>
      <c r="S196" s="676" t="s">
        <v>528</v>
      </c>
      <c r="T196" s="677" t="s">
        <v>529</v>
      </c>
      <c r="U196" s="675" t="s">
        <v>502</v>
      </c>
      <c r="V196" s="675" t="s">
        <v>502</v>
      </c>
      <c r="W196" s="675" t="s">
        <v>502</v>
      </c>
      <c r="X196" s="678" t="s">
        <v>504</v>
      </c>
      <c r="Y196" s="666" t="s">
        <v>535</v>
      </c>
      <c r="Z196" s="667" t="s">
        <v>536</v>
      </c>
      <c r="AA196" s="668" t="s">
        <v>532</v>
      </c>
      <c r="AB196" s="668" t="s">
        <v>532</v>
      </c>
      <c r="AC196" s="668" t="s">
        <v>532</v>
      </c>
      <c r="AD196" s="668" t="s">
        <v>532</v>
      </c>
      <c r="AE196" s="669" t="s">
        <v>532</v>
      </c>
      <c r="AF196" s="741" t="s">
        <v>535</v>
      </c>
      <c r="AG196" s="742" t="s">
        <v>536</v>
      </c>
      <c r="AH196" s="743" t="s">
        <v>532</v>
      </c>
      <c r="AI196" s="743" t="s">
        <v>532</v>
      </c>
      <c r="AJ196" s="743" t="s">
        <v>532</v>
      </c>
      <c r="AK196" s="743" t="s">
        <v>532</v>
      </c>
      <c r="AL196" s="744" t="s">
        <v>532</v>
      </c>
    </row>
    <row r="197" spans="2:38" ht="30" x14ac:dyDescent="0.45">
      <c r="B197" s="639" t="s">
        <v>4</v>
      </c>
      <c r="C197" s="600" t="s">
        <v>5</v>
      </c>
      <c r="D197" s="570" t="s">
        <v>6</v>
      </c>
      <c r="E197" s="570" t="s">
        <v>112</v>
      </c>
      <c r="F197" s="570" t="s">
        <v>114</v>
      </c>
      <c r="G197" s="1014" t="s">
        <v>115</v>
      </c>
      <c r="H197" s="1014"/>
      <c r="I197" s="1172"/>
      <c r="J197" s="791" t="s">
        <v>21</v>
      </c>
      <c r="K197" s="675" t="s">
        <v>496</v>
      </c>
      <c r="L197" s="675" t="s">
        <v>497</v>
      </c>
      <c r="M197" s="675" t="s">
        <v>498</v>
      </c>
      <c r="N197" s="675" t="s">
        <v>499</v>
      </c>
      <c r="O197" s="676" t="s">
        <v>552</v>
      </c>
      <c r="P197" s="675" t="s">
        <v>512</v>
      </c>
      <c r="Q197" s="675" t="s">
        <v>503</v>
      </c>
      <c r="R197" s="675" t="s">
        <v>553</v>
      </c>
      <c r="S197" s="675" t="s">
        <v>513</v>
      </c>
      <c r="T197" s="675" t="s">
        <v>514</v>
      </c>
      <c r="U197" s="675" t="s">
        <v>554</v>
      </c>
      <c r="V197" s="675" t="s">
        <v>515</v>
      </c>
      <c r="W197" s="675" t="s">
        <v>555</v>
      </c>
      <c r="X197" s="678" t="s">
        <v>516</v>
      </c>
      <c r="Y197" s="670" t="s">
        <v>556</v>
      </c>
      <c r="Z197" s="671" t="s">
        <v>557</v>
      </c>
      <c r="AA197" s="671" t="s">
        <v>558</v>
      </c>
      <c r="AB197" s="671" t="s">
        <v>559</v>
      </c>
      <c r="AC197" s="671" t="s">
        <v>560</v>
      </c>
      <c r="AD197" s="671" t="s">
        <v>561</v>
      </c>
      <c r="AE197" s="672" t="s">
        <v>562</v>
      </c>
      <c r="AF197" s="745" t="s">
        <v>563</v>
      </c>
      <c r="AG197" s="746" t="s">
        <v>564</v>
      </c>
      <c r="AH197" s="746" t="s">
        <v>565</v>
      </c>
      <c r="AI197" s="746" t="s">
        <v>566</v>
      </c>
      <c r="AJ197" s="746" t="s">
        <v>567</v>
      </c>
      <c r="AK197" s="746" t="s">
        <v>568</v>
      </c>
      <c r="AL197" s="747" t="s">
        <v>569</v>
      </c>
    </row>
    <row r="198" spans="2:38" ht="15.5" x14ac:dyDescent="0.45">
      <c r="B198" s="799">
        <v>9</v>
      </c>
      <c r="C198" s="508" t="s">
        <v>44</v>
      </c>
      <c r="D198" s="797"/>
      <c r="E198" s="583">
        <v>10</v>
      </c>
      <c r="F198" s="584" t="s">
        <v>39</v>
      </c>
      <c r="G198" s="561" t="s">
        <v>91</v>
      </c>
      <c r="H198" s="562"/>
      <c r="I198" s="975"/>
      <c r="J198" s="789"/>
      <c r="K198" s="789"/>
      <c r="L198" s="789"/>
      <c r="M198" s="789"/>
      <c r="N198" s="789"/>
      <c r="O198" s="789"/>
      <c r="P198" s="789"/>
      <c r="Q198" s="789"/>
      <c r="R198" s="789"/>
      <c r="S198" s="789"/>
      <c r="T198" s="789"/>
      <c r="U198" s="789"/>
      <c r="V198" s="789"/>
      <c r="W198" s="789"/>
      <c r="X198" s="789"/>
      <c r="Y198" s="789"/>
      <c r="Z198" s="789"/>
      <c r="AA198" s="789"/>
      <c r="AB198" s="789"/>
      <c r="AC198" s="789"/>
      <c r="AD198" s="789"/>
      <c r="AE198" s="789"/>
      <c r="AF198" s="789"/>
      <c r="AG198" s="789"/>
      <c r="AH198" s="789"/>
      <c r="AI198" s="789"/>
      <c r="AJ198" s="789"/>
      <c r="AK198" s="789"/>
      <c r="AL198" s="790"/>
    </row>
    <row r="199" spans="2:38" x14ac:dyDescent="0.45">
      <c r="B199" s="849"/>
      <c r="C199" s="307"/>
      <c r="D199" s="344"/>
      <c r="E199" s="284"/>
      <c r="F199" s="285" t="s">
        <v>4</v>
      </c>
      <c r="G199" s="353" t="s">
        <v>120</v>
      </c>
      <c r="H199" s="209"/>
      <c r="I199" s="966"/>
      <c r="J199" s="792">
        <f>RAP!E46</f>
        <v>5244.35</v>
      </c>
      <c r="K199" s="601">
        <v>4</v>
      </c>
      <c r="L199" s="319"/>
      <c r="M199" s="319"/>
      <c r="N199" s="319"/>
      <c r="O199" s="598"/>
      <c r="P199" s="598"/>
      <c r="Q199" s="605"/>
      <c r="R199" s="485"/>
      <c r="S199" s="485"/>
      <c r="T199" s="485"/>
      <c r="U199" s="752">
        <f>SUM(R199:R213)+(SUM(S199:S213)+SUM(T199:T213))</f>
        <v>66006000</v>
      </c>
      <c r="V199" s="754">
        <f>RAP!H46</f>
        <v>75752406.900000006</v>
      </c>
      <c r="W199" s="752">
        <f>V199-U199</f>
        <v>9746406.900000006</v>
      </c>
      <c r="X199" s="760">
        <f>W199/V199*100</f>
        <v>12.866134950492253</v>
      </c>
      <c r="Y199" s="755">
        <f>SUM(R199:R213)/J199</f>
        <v>1296.6335198833028</v>
      </c>
      <c r="Z199" s="757">
        <v>1200</v>
      </c>
      <c r="AA199" s="758">
        <f>J199*Z199</f>
        <v>6293220</v>
      </c>
      <c r="AB199" s="758">
        <f>SUM(S199:S213)+SUM(T199:T213)</f>
        <v>59206000</v>
      </c>
      <c r="AC199" s="752">
        <f>AA199+AB199</f>
        <v>65499220</v>
      </c>
      <c r="AD199" s="752">
        <f>V199-AC199</f>
        <v>10253186.900000006</v>
      </c>
      <c r="AE199" s="760">
        <f>AD199/V199*100</f>
        <v>13.535130195315293</v>
      </c>
      <c r="AF199" s="755">
        <f>(SUM(R199:R213)+SUM(S199:S213))/J199</f>
        <v>12586.116487267249</v>
      </c>
      <c r="AG199" s="757">
        <v>12000</v>
      </c>
      <c r="AH199" s="758">
        <f>AG199*J199</f>
        <v>62932200.000000007</v>
      </c>
      <c r="AI199" s="758">
        <f>SUM(T199:T213)</f>
        <v>0</v>
      </c>
      <c r="AJ199" s="752">
        <f>AH199+AI199</f>
        <v>62932200.000000007</v>
      </c>
      <c r="AK199" s="752">
        <f>V199-AJ199</f>
        <v>12820206.899999999</v>
      </c>
      <c r="AL199" s="760">
        <f>AK199/V199*100</f>
        <v>16.923827802493228</v>
      </c>
    </row>
    <row r="200" spans="2:38" ht="15.5" x14ac:dyDescent="0.45">
      <c r="B200" s="850"/>
      <c r="C200" s="277"/>
      <c r="D200" s="279" t="s">
        <v>107</v>
      </c>
      <c r="E200" s="340">
        <v>7.0000000000000001E-3</v>
      </c>
      <c r="F200" s="267" t="s">
        <v>108</v>
      </c>
      <c r="G200" s="339" t="s">
        <v>51</v>
      </c>
      <c r="H200" s="209"/>
      <c r="I200" s="966"/>
      <c r="J200" s="475"/>
      <c r="K200" s="602"/>
      <c r="L200" s="433">
        <f>E200*J199/K199</f>
        <v>9.1776125000000004</v>
      </c>
      <c r="M200" s="433"/>
      <c r="N200" s="433"/>
      <c r="O200" s="597">
        <v>10</v>
      </c>
      <c r="P200" s="596" t="str">
        <f>F200</f>
        <v>OH</v>
      </c>
      <c r="Q200" s="608">
        <f>Q178</f>
        <v>75000</v>
      </c>
      <c r="R200" s="453">
        <f>O200*Q200*K199</f>
        <v>3000000</v>
      </c>
      <c r="S200" s="453"/>
      <c r="T200" s="453"/>
      <c r="U200" s="753"/>
      <c r="V200" s="753"/>
      <c r="W200" s="753"/>
      <c r="X200" s="761"/>
      <c r="Y200" s="756"/>
      <c r="Z200" s="759"/>
      <c r="AA200" s="759"/>
      <c r="AB200" s="759"/>
      <c r="AC200" s="753"/>
      <c r="AD200" s="753"/>
      <c r="AE200" s="761"/>
      <c r="AF200" s="756"/>
      <c r="AG200" s="759"/>
      <c r="AH200" s="759"/>
      <c r="AI200" s="759"/>
      <c r="AJ200" s="753"/>
      <c r="AK200" s="753"/>
      <c r="AL200" s="761"/>
    </row>
    <row r="201" spans="2:38" ht="15.5" x14ac:dyDescent="0.45">
      <c r="B201" s="850"/>
      <c r="C201" s="277"/>
      <c r="D201" s="279" t="s">
        <v>121</v>
      </c>
      <c r="E201" s="340">
        <v>7.0000000000000001E-3</v>
      </c>
      <c r="F201" s="267" t="s">
        <v>108</v>
      </c>
      <c r="G201" s="339" t="s">
        <v>58</v>
      </c>
      <c r="H201" s="209"/>
      <c r="I201" s="966"/>
      <c r="J201" s="475"/>
      <c r="K201" s="602"/>
      <c r="L201" s="433">
        <f>E201*J199/K199</f>
        <v>9.1776125000000004</v>
      </c>
      <c r="M201" s="433"/>
      <c r="N201" s="433"/>
      <c r="O201" s="597">
        <v>10</v>
      </c>
      <c r="P201" s="596" t="str">
        <f>F201</f>
        <v>OH</v>
      </c>
      <c r="Q201" s="608">
        <f t="shared" ref="Q201:Q206" si="12">Q179</f>
        <v>85000</v>
      </c>
      <c r="R201" s="453">
        <f>O201*Q201*K199</f>
        <v>3400000</v>
      </c>
      <c r="S201" s="453"/>
      <c r="T201" s="453"/>
      <c r="U201" s="753"/>
      <c r="V201" s="753"/>
      <c r="W201" s="753"/>
      <c r="X201" s="761"/>
      <c r="Y201" s="756"/>
      <c r="Z201" s="759"/>
      <c r="AA201" s="759"/>
      <c r="AB201" s="759"/>
      <c r="AC201" s="753"/>
      <c r="AD201" s="753"/>
      <c r="AE201" s="761"/>
      <c r="AF201" s="756"/>
      <c r="AG201" s="759"/>
      <c r="AH201" s="759"/>
      <c r="AI201" s="759"/>
      <c r="AJ201" s="753"/>
      <c r="AK201" s="753"/>
      <c r="AL201" s="761"/>
    </row>
    <row r="202" spans="2:38" ht="15.5" x14ac:dyDescent="0.45">
      <c r="B202" s="850"/>
      <c r="C202" s="277"/>
      <c r="D202" s="279" t="s">
        <v>122</v>
      </c>
      <c r="E202" s="340">
        <v>6.9999999999999999E-4</v>
      </c>
      <c r="F202" s="267" t="s">
        <v>108</v>
      </c>
      <c r="G202" s="339" t="s">
        <v>123</v>
      </c>
      <c r="H202" s="209"/>
      <c r="I202" s="966"/>
      <c r="J202" s="475"/>
      <c r="K202" s="602"/>
      <c r="L202" s="433">
        <f>E202*J199/K199</f>
        <v>0.91776125000000008</v>
      </c>
      <c r="M202" s="433"/>
      <c r="N202" s="433"/>
      <c r="O202" s="597">
        <v>0</v>
      </c>
      <c r="P202" s="596" t="str">
        <f>F202</f>
        <v>OH</v>
      </c>
      <c r="Q202" s="608">
        <f t="shared" si="12"/>
        <v>90000</v>
      </c>
      <c r="R202" s="453">
        <f>O202*Q202*K199</f>
        <v>0</v>
      </c>
      <c r="S202" s="453"/>
      <c r="T202" s="453"/>
      <c r="U202" s="753"/>
      <c r="V202" s="753"/>
      <c r="W202" s="753"/>
      <c r="X202" s="761"/>
      <c r="Y202" s="756"/>
      <c r="Z202" s="759"/>
      <c r="AA202" s="759"/>
      <c r="AB202" s="759"/>
      <c r="AC202" s="753"/>
      <c r="AD202" s="753"/>
      <c r="AE202" s="761"/>
      <c r="AF202" s="756"/>
      <c r="AG202" s="759"/>
      <c r="AH202" s="759"/>
      <c r="AI202" s="759"/>
      <c r="AJ202" s="753"/>
      <c r="AK202" s="753"/>
      <c r="AL202" s="761"/>
    </row>
    <row r="203" spans="2:38" ht="15.5" x14ac:dyDescent="0.45">
      <c r="B203" s="850"/>
      <c r="C203" s="277"/>
      <c r="D203" s="343" t="s">
        <v>109</v>
      </c>
      <c r="E203" s="357">
        <v>4.0000000000000002E-4</v>
      </c>
      <c r="F203" s="275" t="s">
        <v>108</v>
      </c>
      <c r="G203" s="351" t="s">
        <v>52</v>
      </c>
      <c r="H203" s="229"/>
      <c r="I203" s="967"/>
      <c r="J203" s="475"/>
      <c r="K203" s="602"/>
      <c r="L203" s="433">
        <f>E203*J199/K199</f>
        <v>0.5244350000000001</v>
      </c>
      <c r="M203" s="433"/>
      <c r="N203" s="433"/>
      <c r="O203" s="597">
        <v>1</v>
      </c>
      <c r="P203" s="596" t="str">
        <f>F203</f>
        <v>OH</v>
      </c>
      <c r="Q203" s="608">
        <f t="shared" si="12"/>
        <v>100000</v>
      </c>
      <c r="R203" s="453">
        <f>O203*Q203*K199</f>
        <v>400000</v>
      </c>
      <c r="S203" s="453"/>
      <c r="T203" s="453"/>
      <c r="U203" s="753"/>
      <c r="V203" s="753"/>
      <c r="W203" s="753"/>
      <c r="X203" s="761"/>
      <c r="Y203" s="756"/>
      <c r="Z203" s="759"/>
      <c r="AA203" s="759"/>
      <c r="AB203" s="759"/>
      <c r="AC203" s="753"/>
      <c r="AD203" s="753"/>
      <c r="AE203" s="761"/>
      <c r="AF203" s="756"/>
      <c r="AG203" s="759"/>
      <c r="AH203" s="759"/>
      <c r="AI203" s="759"/>
      <c r="AJ203" s="753"/>
      <c r="AK203" s="753"/>
      <c r="AL203" s="761"/>
    </row>
    <row r="204" spans="2:38" x14ac:dyDescent="0.45">
      <c r="B204" s="850"/>
      <c r="C204" s="277"/>
      <c r="D204" s="344"/>
      <c r="E204" s="352"/>
      <c r="F204" s="285" t="s">
        <v>5</v>
      </c>
      <c r="G204" s="353" t="s">
        <v>124</v>
      </c>
      <c r="H204" s="209"/>
      <c r="I204" s="966"/>
      <c r="J204" s="475"/>
      <c r="K204" s="602"/>
      <c r="L204" s="433"/>
      <c r="M204" s="433"/>
      <c r="N204" s="433"/>
      <c r="O204" s="597"/>
      <c r="P204" s="596"/>
      <c r="Q204" s="608">
        <f t="shared" si="12"/>
        <v>0</v>
      </c>
      <c r="R204" s="453"/>
      <c r="S204" s="453"/>
      <c r="T204" s="453"/>
      <c r="U204" s="753"/>
      <c r="V204" s="753"/>
      <c r="W204" s="753"/>
      <c r="X204" s="761"/>
      <c r="Y204" s="756"/>
      <c r="Z204" s="759"/>
      <c r="AA204" s="759"/>
      <c r="AB204" s="759"/>
      <c r="AC204" s="753"/>
      <c r="AD204" s="753"/>
      <c r="AE204" s="761"/>
      <c r="AF204" s="756"/>
      <c r="AG204" s="759"/>
      <c r="AH204" s="759"/>
      <c r="AI204" s="759"/>
      <c r="AJ204" s="753"/>
      <c r="AK204" s="753"/>
      <c r="AL204" s="761"/>
    </row>
    <row r="205" spans="2:38" x14ac:dyDescent="0.45">
      <c r="B205" s="850"/>
      <c r="C205" s="277"/>
      <c r="D205" s="344"/>
      <c r="E205" s="222">
        <v>1.05</v>
      </c>
      <c r="F205" s="267" t="s">
        <v>39</v>
      </c>
      <c r="G205" s="339" t="s">
        <v>635</v>
      </c>
      <c r="H205" s="209"/>
      <c r="I205" s="966"/>
      <c r="J205" s="475"/>
      <c r="K205" s="602"/>
      <c r="L205" s="433"/>
      <c r="M205" s="433">
        <f>E205*J199</f>
        <v>5506.567500000001</v>
      </c>
      <c r="N205" s="433"/>
      <c r="O205" s="597">
        <v>5507</v>
      </c>
      <c r="P205" s="596" t="str">
        <f>F205</f>
        <v>Kg</v>
      </c>
      <c r="Q205" s="608">
        <f t="shared" si="12"/>
        <v>10500</v>
      </c>
      <c r="R205" s="453"/>
      <c r="S205" s="453">
        <f t="shared" ref="S205:S208" si="13">O205*Q205</f>
        <v>57823500</v>
      </c>
      <c r="T205" s="453"/>
      <c r="U205" s="753"/>
      <c r="V205" s="753"/>
      <c r="W205" s="753"/>
      <c r="X205" s="761"/>
      <c r="Y205" s="756"/>
      <c r="Z205" s="759"/>
      <c r="AA205" s="759"/>
      <c r="AB205" s="759"/>
      <c r="AC205" s="753"/>
      <c r="AD205" s="753"/>
      <c r="AE205" s="761"/>
      <c r="AF205" s="756"/>
      <c r="AG205" s="759"/>
      <c r="AH205" s="759"/>
      <c r="AI205" s="759"/>
      <c r="AJ205" s="753"/>
      <c r="AK205" s="753"/>
      <c r="AL205" s="761"/>
    </row>
    <row r="206" spans="2:38" x14ac:dyDescent="0.45">
      <c r="B206" s="850"/>
      <c r="C206" s="277"/>
      <c r="D206" s="345"/>
      <c r="E206" s="300">
        <v>1.4999999999999999E-2</v>
      </c>
      <c r="F206" s="275" t="s">
        <v>39</v>
      </c>
      <c r="G206" s="351" t="s">
        <v>443</v>
      </c>
      <c r="H206" s="229"/>
      <c r="I206" s="967"/>
      <c r="J206" s="475"/>
      <c r="K206" s="602"/>
      <c r="L206" s="433"/>
      <c r="M206" s="433">
        <f>E206*J199</f>
        <v>78.66525</v>
      </c>
      <c r="N206" s="433"/>
      <c r="O206" s="597">
        <v>79</v>
      </c>
      <c r="P206" s="596" t="str">
        <f>F206</f>
        <v>Kg</v>
      </c>
      <c r="Q206" s="608">
        <f t="shared" si="12"/>
        <v>17500</v>
      </c>
      <c r="R206" s="433"/>
      <c r="S206" s="453">
        <f t="shared" si="13"/>
        <v>1382500</v>
      </c>
      <c r="T206" s="433"/>
      <c r="U206" s="753"/>
      <c r="V206" s="753"/>
      <c r="W206" s="753"/>
      <c r="X206" s="761"/>
      <c r="Y206" s="756"/>
      <c r="Z206" s="759"/>
      <c r="AA206" s="759"/>
      <c r="AB206" s="759"/>
      <c r="AC206" s="753"/>
      <c r="AD206" s="753"/>
      <c r="AE206" s="761"/>
      <c r="AF206" s="756"/>
      <c r="AG206" s="759"/>
      <c r="AH206" s="759"/>
      <c r="AI206" s="759"/>
      <c r="AJ206" s="753"/>
      <c r="AK206" s="753"/>
      <c r="AL206" s="761"/>
    </row>
    <row r="207" spans="2:38" x14ac:dyDescent="0.45">
      <c r="B207" s="850"/>
      <c r="C207" s="277"/>
      <c r="D207" s="344"/>
      <c r="E207" s="299"/>
      <c r="F207" s="267"/>
      <c r="G207" s="209"/>
      <c r="H207" s="209"/>
      <c r="I207" s="966"/>
      <c r="J207" s="475"/>
      <c r="K207" s="602"/>
      <c r="L207" s="433"/>
      <c r="M207" s="433">
        <f>E207*J199</f>
        <v>0</v>
      </c>
      <c r="N207" s="433"/>
      <c r="O207" s="597">
        <v>0</v>
      </c>
      <c r="P207" s="596">
        <f>F207</f>
        <v>0</v>
      </c>
      <c r="Q207" s="608">
        <v>0</v>
      </c>
      <c r="R207" s="433"/>
      <c r="S207" s="453">
        <f t="shared" si="13"/>
        <v>0</v>
      </c>
      <c r="T207" s="433"/>
      <c r="U207" s="753"/>
      <c r="V207" s="753"/>
      <c r="W207" s="753"/>
      <c r="X207" s="761"/>
      <c r="Y207" s="756"/>
      <c r="Z207" s="759"/>
      <c r="AA207" s="759"/>
      <c r="AB207" s="759"/>
      <c r="AC207" s="753"/>
      <c r="AD207" s="753"/>
      <c r="AE207" s="761"/>
      <c r="AF207" s="756"/>
      <c r="AG207" s="759"/>
      <c r="AH207" s="759"/>
      <c r="AI207" s="759"/>
      <c r="AJ207" s="753"/>
      <c r="AK207" s="753"/>
      <c r="AL207" s="761"/>
    </row>
    <row r="208" spans="2:38" x14ac:dyDescent="0.45">
      <c r="B208" s="850"/>
      <c r="C208" s="277"/>
      <c r="D208" s="345"/>
      <c r="E208" s="300"/>
      <c r="F208" s="275"/>
      <c r="G208" s="229"/>
      <c r="H208" s="229"/>
      <c r="I208" s="967"/>
      <c r="J208" s="475"/>
      <c r="K208" s="602"/>
      <c r="L208" s="433"/>
      <c r="M208" s="433">
        <f>E208*J199</f>
        <v>0</v>
      </c>
      <c r="N208" s="433"/>
      <c r="O208" s="597">
        <v>0</v>
      </c>
      <c r="P208" s="596">
        <f>F208</f>
        <v>0</v>
      </c>
      <c r="Q208" s="608">
        <v>0</v>
      </c>
      <c r="R208" s="433"/>
      <c r="S208" s="453">
        <f t="shared" si="13"/>
        <v>0</v>
      </c>
      <c r="T208" s="433"/>
      <c r="U208" s="753"/>
      <c r="V208" s="753"/>
      <c r="W208" s="753"/>
      <c r="X208" s="761"/>
      <c r="Y208" s="756"/>
      <c r="Z208" s="759"/>
      <c r="AA208" s="759"/>
      <c r="AB208" s="759"/>
      <c r="AC208" s="753"/>
      <c r="AD208" s="753"/>
      <c r="AE208" s="761"/>
      <c r="AF208" s="756"/>
      <c r="AG208" s="759"/>
      <c r="AH208" s="759"/>
      <c r="AI208" s="759"/>
      <c r="AJ208" s="753"/>
      <c r="AK208" s="753"/>
      <c r="AL208" s="761"/>
    </row>
    <row r="209" spans="2:38" x14ac:dyDescent="0.45">
      <c r="B209" s="813"/>
      <c r="C209" s="277"/>
      <c r="D209" s="279"/>
      <c r="E209" s="346"/>
      <c r="F209" s="207" t="s">
        <v>6</v>
      </c>
      <c r="G209" s="213" t="s">
        <v>111</v>
      </c>
      <c r="H209" s="244"/>
      <c r="I209" s="969"/>
      <c r="J209" s="475"/>
      <c r="K209" s="602"/>
      <c r="L209" s="433"/>
      <c r="M209" s="433"/>
      <c r="N209" s="433"/>
      <c r="O209" s="597"/>
      <c r="P209" s="596"/>
      <c r="Q209" s="608">
        <v>0</v>
      </c>
      <c r="R209" s="433"/>
      <c r="S209" s="433"/>
      <c r="T209" s="433"/>
      <c r="U209" s="433"/>
      <c r="V209" s="433"/>
      <c r="W209" s="433"/>
      <c r="X209" s="659"/>
      <c r="Y209" s="661"/>
      <c r="Z209" s="433"/>
      <c r="AA209" s="433"/>
      <c r="AB209" s="433"/>
      <c r="AC209" s="433"/>
      <c r="AD209" s="433"/>
      <c r="AE209" s="644"/>
      <c r="AF209" s="661"/>
      <c r="AG209" s="433"/>
      <c r="AH209" s="433"/>
      <c r="AI209" s="433"/>
      <c r="AJ209" s="433"/>
      <c r="AK209" s="433"/>
      <c r="AL209" s="644"/>
    </row>
    <row r="210" spans="2:38" x14ac:dyDescent="0.45">
      <c r="B210" s="813"/>
      <c r="C210" s="277"/>
      <c r="D210" s="279"/>
      <c r="E210" s="346"/>
      <c r="F210" s="207"/>
      <c r="G210" s="208"/>
      <c r="H210" s="209"/>
      <c r="I210" s="966"/>
      <c r="J210" s="475"/>
      <c r="K210" s="602"/>
      <c r="L210" s="433"/>
      <c r="M210" s="433"/>
      <c r="N210" s="433">
        <f>E210*J199</f>
        <v>0</v>
      </c>
      <c r="O210" s="597">
        <v>0</v>
      </c>
      <c r="P210" s="596">
        <v>0</v>
      </c>
      <c r="Q210" s="608">
        <f t="shared" ref="Q210" si="14">Q187</f>
        <v>0</v>
      </c>
      <c r="R210" s="433"/>
      <c r="S210" s="433"/>
      <c r="T210" s="453">
        <f>O210*Q210</f>
        <v>0</v>
      </c>
      <c r="U210" s="433"/>
      <c r="V210" s="433"/>
      <c r="W210" s="433"/>
      <c r="X210" s="659"/>
      <c r="Y210" s="661"/>
      <c r="Z210" s="433"/>
      <c r="AA210" s="433"/>
      <c r="AB210" s="433"/>
      <c r="AC210" s="433"/>
      <c r="AD210" s="433"/>
      <c r="AE210" s="644"/>
      <c r="AF210" s="661"/>
      <c r="AG210" s="433"/>
      <c r="AH210" s="433"/>
      <c r="AI210" s="433"/>
      <c r="AJ210" s="433"/>
      <c r="AK210" s="433"/>
      <c r="AL210" s="644"/>
    </row>
    <row r="211" spans="2:38" x14ac:dyDescent="0.45">
      <c r="B211" s="813"/>
      <c r="C211" s="277"/>
      <c r="D211" s="279"/>
      <c r="E211" s="346"/>
      <c r="F211" s="207" t="s">
        <v>112</v>
      </c>
      <c r="G211" s="208" t="s">
        <v>113</v>
      </c>
      <c r="H211" s="209"/>
      <c r="I211" s="966"/>
      <c r="J211" s="475"/>
      <c r="K211" s="602"/>
      <c r="L211" s="433"/>
      <c r="M211" s="433"/>
      <c r="N211" s="433"/>
      <c r="O211" s="433"/>
      <c r="P211" s="433"/>
      <c r="Q211" s="595"/>
      <c r="R211" s="433"/>
      <c r="S211" s="433"/>
      <c r="T211" s="433"/>
      <c r="U211" s="433"/>
      <c r="V211" s="433"/>
      <c r="W211" s="433"/>
      <c r="X211" s="659"/>
      <c r="Y211" s="661"/>
      <c r="Z211" s="433"/>
      <c r="AA211" s="433"/>
      <c r="AB211" s="433"/>
      <c r="AC211" s="433"/>
      <c r="AD211" s="433"/>
      <c r="AE211" s="644"/>
      <c r="AF211" s="661"/>
      <c r="AG211" s="433"/>
      <c r="AH211" s="433"/>
      <c r="AI211" s="433"/>
      <c r="AJ211" s="433"/>
      <c r="AK211" s="433"/>
      <c r="AL211" s="644"/>
    </row>
    <row r="212" spans="2:38" x14ac:dyDescent="0.45">
      <c r="B212" s="813"/>
      <c r="C212" s="277"/>
      <c r="D212" s="343"/>
      <c r="E212" s="347"/>
      <c r="F212" s="239" t="s">
        <v>114</v>
      </c>
      <c r="G212" s="257" t="s">
        <v>166</v>
      </c>
      <c r="H212" s="229"/>
      <c r="I212" s="980">
        <v>0.15</v>
      </c>
      <c r="J212" s="475"/>
      <c r="K212" s="602"/>
      <c r="L212" s="433"/>
      <c r="M212" s="433"/>
      <c r="N212" s="433"/>
      <c r="O212" s="433"/>
      <c r="P212" s="433"/>
      <c r="Q212" s="595"/>
      <c r="R212" s="433"/>
      <c r="S212" s="433"/>
      <c r="T212" s="433"/>
      <c r="U212" s="433"/>
      <c r="V212" s="433"/>
      <c r="W212" s="433"/>
      <c r="X212" s="659"/>
      <c r="Y212" s="661"/>
      <c r="Z212" s="433"/>
      <c r="AA212" s="433"/>
      <c r="AB212" s="433"/>
      <c r="AC212" s="433"/>
      <c r="AD212" s="433"/>
      <c r="AE212" s="644"/>
      <c r="AF212" s="661"/>
      <c r="AG212" s="433"/>
      <c r="AH212" s="433"/>
      <c r="AI212" s="433"/>
      <c r="AJ212" s="433"/>
      <c r="AK212" s="433"/>
      <c r="AL212" s="644"/>
    </row>
    <row r="213" spans="2:38" ht="17" thickBot="1" x14ac:dyDescent="0.5">
      <c r="B213" s="830"/>
      <c r="C213" s="831"/>
      <c r="D213" s="832"/>
      <c r="E213" s="833"/>
      <c r="F213" s="834" t="s">
        <v>115</v>
      </c>
      <c r="G213" s="816" t="s">
        <v>127</v>
      </c>
      <c r="H213" s="835"/>
      <c r="I213" s="981"/>
      <c r="J213" s="793"/>
      <c r="K213" s="763"/>
      <c r="L213" s="655"/>
      <c r="M213" s="655"/>
      <c r="N213" s="655"/>
      <c r="O213" s="655"/>
      <c r="P213" s="655"/>
      <c r="Q213" s="654"/>
      <c r="R213" s="655"/>
      <c r="S213" s="655"/>
      <c r="T213" s="655"/>
      <c r="U213" s="655"/>
      <c r="V213" s="655"/>
      <c r="W213" s="655"/>
      <c r="X213" s="660"/>
      <c r="Y213" s="662"/>
      <c r="Z213" s="655"/>
      <c r="AA213" s="655"/>
      <c r="AB213" s="655"/>
      <c r="AC213" s="655"/>
      <c r="AD213" s="655"/>
      <c r="AE213" s="656"/>
      <c r="AF213" s="662"/>
      <c r="AG213" s="655"/>
      <c r="AH213" s="655"/>
      <c r="AI213" s="655"/>
      <c r="AJ213" s="655"/>
      <c r="AK213" s="655"/>
      <c r="AL213" s="656"/>
    </row>
    <row r="214" spans="2:38" x14ac:dyDescent="0.45">
      <c r="D214" s="112"/>
      <c r="E214" s="195"/>
      <c r="G214" s="111"/>
      <c r="H214" s="111"/>
      <c r="I214" s="111"/>
      <c r="Z214" s="657"/>
      <c r="AA214" s="657"/>
      <c r="AB214" s="657"/>
      <c r="AC214" s="657"/>
      <c r="AD214" s="657"/>
      <c r="AE214" s="657"/>
      <c r="AG214" s="657"/>
      <c r="AH214" s="657"/>
      <c r="AI214" s="657"/>
      <c r="AJ214" s="657"/>
      <c r="AK214" s="657"/>
      <c r="AL214" s="657"/>
    </row>
    <row r="215" spans="2:38" ht="17" thickBot="1" x14ac:dyDescent="0.5">
      <c r="B215" s="749" t="s">
        <v>643</v>
      </c>
      <c r="C215" s="750" t="s">
        <v>639</v>
      </c>
      <c r="D215" s="241"/>
      <c r="E215" s="241"/>
      <c r="F215" s="276"/>
      <c r="G215" s="240"/>
      <c r="H215" s="241"/>
      <c r="I215" s="241"/>
      <c r="J215" s="604"/>
      <c r="K215" s="603"/>
      <c r="L215" s="604"/>
      <c r="M215" s="604"/>
      <c r="N215" s="604"/>
      <c r="O215" s="604"/>
      <c r="P215" s="604"/>
      <c r="Q215" s="604"/>
      <c r="R215" s="609"/>
      <c r="S215" s="609"/>
      <c r="T215" s="609"/>
      <c r="U215" s="609"/>
      <c r="V215" s="609"/>
      <c r="W215" s="609"/>
      <c r="X215" s="609"/>
      <c r="Y215" s="609"/>
      <c r="Z215" s="609"/>
      <c r="AA215" s="609"/>
      <c r="AB215" s="609"/>
      <c r="AC215" s="609"/>
      <c r="AD215" s="609"/>
      <c r="AE215" s="609"/>
      <c r="AF215" s="609"/>
      <c r="AG215" s="609"/>
      <c r="AH215" s="609"/>
      <c r="AI215" s="609"/>
      <c r="AJ215" s="609"/>
      <c r="AK215" s="609"/>
      <c r="AL215" s="609"/>
    </row>
    <row r="216" spans="2:38" ht="19.5" customHeight="1" x14ac:dyDescent="0.45">
      <c r="B216" s="1168" t="s">
        <v>99</v>
      </c>
      <c r="C216" s="1171" t="s">
        <v>100</v>
      </c>
      <c r="D216" s="1171" t="s">
        <v>89</v>
      </c>
      <c r="E216" s="1171" t="s">
        <v>101</v>
      </c>
      <c r="F216" s="1171" t="s">
        <v>102</v>
      </c>
      <c r="G216" s="1109" t="s">
        <v>103</v>
      </c>
      <c r="H216" s="1110"/>
      <c r="I216" s="1175"/>
      <c r="J216" s="1152" t="s">
        <v>539</v>
      </c>
      <c r="K216" s="1152"/>
      <c r="L216" s="1152"/>
      <c r="M216" s="1152"/>
      <c r="N216" s="1152"/>
      <c r="O216" s="1152"/>
      <c r="P216" s="1152"/>
      <c r="Q216" s="1152"/>
      <c r="R216" s="1152"/>
      <c r="S216" s="1152"/>
      <c r="T216" s="1152"/>
      <c r="U216" s="1152"/>
      <c r="V216" s="1152"/>
      <c r="W216" s="1152"/>
      <c r="X216" s="1152"/>
      <c r="Y216" s="1153" t="s">
        <v>540</v>
      </c>
      <c r="Z216" s="1154"/>
      <c r="AA216" s="1154"/>
      <c r="AB216" s="1154"/>
      <c r="AC216" s="1154"/>
      <c r="AD216" s="1154"/>
      <c r="AE216" s="1155"/>
      <c r="AF216" s="1156" t="s">
        <v>541</v>
      </c>
      <c r="AG216" s="1157"/>
      <c r="AH216" s="1157"/>
      <c r="AI216" s="1157"/>
      <c r="AJ216" s="1157"/>
      <c r="AK216" s="1157"/>
      <c r="AL216" s="1158"/>
    </row>
    <row r="217" spans="2:38" ht="45" x14ac:dyDescent="0.45">
      <c r="B217" s="1169"/>
      <c r="C217" s="1089"/>
      <c r="D217" s="1089"/>
      <c r="E217" s="1089"/>
      <c r="F217" s="1089"/>
      <c r="G217" s="1026"/>
      <c r="H217" s="1027"/>
      <c r="I217" s="1176"/>
      <c r="J217" s="1173" t="s">
        <v>15</v>
      </c>
      <c r="K217" s="673" t="s">
        <v>493</v>
      </c>
      <c r="L217" s="1161" t="s">
        <v>491</v>
      </c>
      <c r="M217" s="1162"/>
      <c r="N217" s="1162"/>
      <c r="O217" s="1162"/>
      <c r="P217" s="1163"/>
      <c r="Q217" s="674" t="s">
        <v>533</v>
      </c>
      <c r="R217" s="1161" t="s">
        <v>501</v>
      </c>
      <c r="S217" s="1162"/>
      <c r="T217" s="1163"/>
      <c r="U217" s="674" t="s">
        <v>530</v>
      </c>
      <c r="V217" s="674" t="s">
        <v>531</v>
      </c>
      <c r="W217" s="674" t="s">
        <v>578</v>
      </c>
      <c r="X217" s="681" t="s">
        <v>579</v>
      </c>
      <c r="Y217" s="1164" t="s">
        <v>534</v>
      </c>
      <c r="Z217" s="1165"/>
      <c r="AA217" s="663" t="s">
        <v>537</v>
      </c>
      <c r="AB217" s="664" t="s">
        <v>538</v>
      </c>
      <c r="AC217" s="665" t="s">
        <v>530</v>
      </c>
      <c r="AD217" s="665" t="s">
        <v>578</v>
      </c>
      <c r="AE217" s="682" t="s">
        <v>579</v>
      </c>
      <c r="AF217" s="1166" t="s">
        <v>542</v>
      </c>
      <c r="AG217" s="1167"/>
      <c r="AH217" s="737" t="s">
        <v>543</v>
      </c>
      <c r="AI217" s="738" t="s">
        <v>544</v>
      </c>
      <c r="AJ217" s="739" t="s">
        <v>530</v>
      </c>
      <c r="AK217" s="739" t="s">
        <v>578</v>
      </c>
      <c r="AL217" s="740" t="s">
        <v>579</v>
      </c>
    </row>
    <row r="218" spans="2:38" ht="30" x14ac:dyDescent="0.45">
      <c r="B218" s="1170"/>
      <c r="C218" s="1090"/>
      <c r="D218" s="1090"/>
      <c r="E218" s="1090"/>
      <c r="F218" s="1090"/>
      <c r="G218" s="1085"/>
      <c r="H218" s="1086"/>
      <c r="I218" s="1177"/>
      <c r="J218" s="1174"/>
      <c r="K218" s="675" t="s">
        <v>495</v>
      </c>
      <c r="L218" s="676" t="s">
        <v>524</v>
      </c>
      <c r="M218" s="676" t="s">
        <v>525</v>
      </c>
      <c r="N218" s="676" t="s">
        <v>526</v>
      </c>
      <c r="O218" s="675" t="s">
        <v>517</v>
      </c>
      <c r="P218" s="675" t="s">
        <v>290</v>
      </c>
      <c r="Q218" s="675" t="s">
        <v>532</v>
      </c>
      <c r="R218" s="676" t="s">
        <v>527</v>
      </c>
      <c r="S218" s="676" t="s">
        <v>528</v>
      </c>
      <c r="T218" s="677" t="s">
        <v>529</v>
      </c>
      <c r="U218" s="675" t="s">
        <v>502</v>
      </c>
      <c r="V218" s="675" t="s">
        <v>502</v>
      </c>
      <c r="W218" s="675" t="s">
        <v>502</v>
      </c>
      <c r="X218" s="678" t="s">
        <v>504</v>
      </c>
      <c r="Y218" s="666" t="s">
        <v>535</v>
      </c>
      <c r="Z218" s="667" t="s">
        <v>536</v>
      </c>
      <c r="AA218" s="668" t="s">
        <v>532</v>
      </c>
      <c r="AB218" s="668" t="s">
        <v>532</v>
      </c>
      <c r="AC218" s="668" t="s">
        <v>532</v>
      </c>
      <c r="AD218" s="668" t="s">
        <v>532</v>
      </c>
      <c r="AE218" s="669" t="s">
        <v>532</v>
      </c>
      <c r="AF218" s="741" t="s">
        <v>535</v>
      </c>
      <c r="AG218" s="742" t="s">
        <v>536</v>
      </c>
      <c r="AH218" s="743" t="s">
        <v>532</v>
      </c>
      <c r="AI218" s="743" t="s">
        <v>532</v>
      </c>
      <c r="AJ218" s="743" t="s">
        <v>532</v>
      </c>
      <c r="AK218" s="743" t="s">
        <v>532</v>
      </c>
      <c r="AL218" s="744" t="s">
        <v>532</v>
      </c>
    </row>
    <row r="219" spans="2:38" ht="30" x14ac:dyDescent="0.45">
      <c r="B219" s="639" t="s">
        <v>4</v>
      </c>
      <c r="C219" s="600" t="s">
        <v>5</v>
      </c>
      <c r="D219" s="570" t="s">
        <v>6</v>
      </c>
      <c r="E219" s="570" t="s">
        <v>112</v>
      </c>
      <c r="F219" s="570" t="s">
        <v>114</v>
      </c>
      <c r="G219" s="1014" t="s">
        <v>115</v>
      </c>
      <c r="H219" s="1014"/>
      <c r="I219" s="1172"/>
      <c r="J219" s="791" t="s">
        <v>21</v>
      </c>
      <c r="K219" s="675" t="s">
        <v>496</v>
      </c>
      <c r="L219" s="675" t="s">
        <v>497</v>
      </c>
      <c r="M219" s="675" t="s">
        <v>498</v>
      </c>
      <c r="N219" s="675" t="s">
        <v>499</v>
      </c>
      <c r="O219" s="676" t="s">
        <v>552</v>
      </c>
      <c r="P219" s="675" t="s">
        <v>512</v>
      </c>
      <c r="Q219" s="675" t="s">
        <v>503</v>
      </c>
      <c r="R219" s="675" t="s">
        <v>553</v>
      </c>
      <c r="S219" s="675" t="s">
        <v>513</v>
      </c>
      <c r="T219" s="675" t="s">
        <v>514</v>
      </c>
      <c r="U219" s="675" t="s">
        <v>554</v>
      </c>
      <c r="V219" s="675" t="s">
        <v>515</v>
      </c>
      <c r="W219" s="675" t="s">
        <v>555</v>
      </c>
      <c r="X219" s="678" t="s">
        <v>516</v>
      </c>
      <c r="Y219" s="670" t="s">
        <v>556</v>
      </c>
      <c r="Z219" s="671" t="s">
        <v>557</v>
      </c>
      <c r="AA219" s="671" t="s">
        <v>558</v>
      </c>
      <c r="AB219" s="671" t="s">
        <v>559</v>
      </c>
      <c r="AC219" s="671" t="s">
        <v>560</v>
      </c>
      <c r="AD219" s="671" t="s">
        <v>561</v>
      </c>
      <c r="AE219" s="672" t="s">
        <v>562</v>
      </c>
      <c r="AF219" s="745" t="s">
        <v>563</v>
      </c>
      <c r="AG219" s="746" t="s">
        <v>564</v>
      </c>
      <c r="AH219" s="746" t="s">
        <v>565</v>
      </c>
      <c r="AI219" s="746" t="s">
        <v>566</v>
      </c>
      <c r="AJ219" s="746" t="s">
        <v>567</v>
      </c>
      <c r="AK219" s="746" t="s">
        <v>568</v>
      </c>
      <c r="AL219" s="747" t="s">
        <v>569</v>
      </c>
    </row>
    <row r="220" spans="2:38" ht="15.5" x14ac:dyDescent="0.45">
      <c r="B220" s="799">
        <v>10</v>
      </c>
      <c r="C220" s="508" t="s">
        <v>44</v>
      </c>
      <c r="D220" s="797"/>
      <c r="E220" s="583">
        <v>10</v>
      </c>
      <c r="F220" s="584" t="s">
        <v>39</v>
      </c>
      <c r="G220" s="561" t="s">
        <v>91</v>
      </c>
      <c r="H220" s="562"/>
      <c r="I220" s="975"/>
      <c r="J220" s="789"/>
      <c r="K220" s="789"/>
      <c r="L220" s="789"/>
      <c r="M220" s="789"/>
      <c r="N220" s="789"/>
      <c r="O220" s="789"/>
      <c r="P220" s="789"/>
      <c r="Q220" s="789"/>
      <c r="R220" s="789"/>
      <c r="S220" s="789"/>
      <c r="T220" s="789"/>
      <c r="U220" s="789"/>
      <c r="V220" s="789"/>
      <c r="W220" s="789"/>
      <c r="X220" s="789"/>
      <c r="Y220" s="789"/>
      <c r="Z220" s="789"/>
      <c r="AA220" s="789"/>
      <c r="AB220" s="789"/>
      <c r="AC220" s="789"/>
      <c r="AD220" s="789"/>
      <c r="AE220" s="789"/>
      <c r="AF220" s="789"/>
      <c r="AG220" s="789"/>
      <c r="AH220" s="789"/>
      <c r="AI220" s="789"/>
      <c r="AJ220" s="789"/>
      <c r="AK220" s="789"/>
      <c r="AL220" s="790"/>
    </row>
    <row r="221" spans="2:38" x14ac:dyDescent="0.45">
      <c r="B221" s="849"/>
      <c r="C221" s="307"/>
      <c r="D221" s="344"/>
      <c r="E221" s="284"/>
      <c r="F221" s="285" t="s">
        <v>4</v>
      </c>
      <c r="G221" s="353" t="s">
        <v>120</v>
      </c>
      <c r="H221" s="209"/>
      <c r="I221" s="966"/>
      <c r="J221" s="792">
        <f>RAP!E50</f>
        <v>2498.1799999999998</v>
      </c>
      <c r="K221" s="601">
        <v>3</v>
      </c>
      <c r="L221" s="319"/>
      <c r="M221" s="319"/>
      <c r="N221" s="319"/>
      <c r="O221" s="598"/>
      <c r="P221" s="598"/>
      <c r="Q221" s="605"/>
      <c r="R221" s="485"/>
      <c r="S221" s="485"/>
      <c r="T221" s="485"/>
      <c r="U221" s="752">
        <f>SUM(R221:R235)+(SUM(S221:S235)+SUM(T221:T235))</f>
        <v>31388250</v>
      </c>
      <c r="V221" s="754">
        <f>RAP!H50</f>
        <v>36085148.369999997</v>
      </c>
      <c r="W221" s="752">
        <f>V221-U221</f>
        <v>4696898.3699999973</v>
      </c>
      <c r="X221" s="760">
        <f>W221/V221*100</f>
        <v>13.016153686941312</v>
      </c>
      <c r="Y221" s="755">
        <f>SUM(R221:R235)/J221</f>
        <v>1272.9266906307794</v>
      </c>
      <c r="Z221" s="757">
        <v>1200</v>
      </c>
      <c r="AA221" s="758">
        <f>J221*Z221</f>
        <v>2997816</v>
      </c>
      <c r="AB221" s="758">
        <f>SUM(S221:S235)+SUM(T221:T235)</f>
        <v>28208250</v>
      </c>
      <c r="AC221" s="752">
        <f>AA221+AB221</f>
        <v>31206066</v>
      </c>
      <c r="AD221" s="752">
        <f>V221-AC221</f>
        <v>4879082.3699999973</v>
      </c>
      <c r="AE221" s="760">
        <f>AD221/V221*100</f>
        <v>13.521026212701692</v>
      </c>
      <c r="AF221" s="755">
        <f>(SUM(R221:R235)+SUM(S221:S235))/J221</f>
        <v>12564.446917355835</v>
      </c>
      <c r="AG221" s="757">
        <v>12000</v>
      </c>
      <c r="AH221" s="758">
        <f>AG221*J221</f>
        <v>29978159.999999996</v>
      </c>
      <c r="AI221" s="758">
        <f>SUM(T221:T235)</f>
        <v>0</v>
      </c>
      <c r="AJ221" s="752">
        <f>AH221+AI221</f>
        <v>29978159.999999996</v>
      </c>
      <c r="AK221" s="752">
        <f>V221-AJ221</f>
        <v>6106988.370000001</v>
      </c>
      <c r="AL221" s="760">
        <f>AK221/V221*100</f>
        <v>16.923827795806293</v>
      </c>
    </row>
    <row r="222" spans="2:38" ht="15.5" x14ac:dyDescent="0.45">
      <c r="B222" s="850"/>
      <c r="C222" s="277"/>
      <c r="D222" s="279" t="s">
        <v>107</v>
      </c>
      <c r="E222" s="340">
        <v>7.0000000000000001E-3</v>
      </c>
      <c r="F222" s="267" t="s">
        <v>108</v>
      </c>
      <c r="G222" s="339" t="s">
        <v>51</v>
      </c>
      <c r="H222" s="209"/>
      <c r="I222" s="966"/>
      <c r="J222" s="475"/>
      <c r="K222" s="602"/>
      <c r="L222" s="433">
        <f>E222*J221/K221</f>
        <v>5.8290866666666661</v>
      </c>
      <c r="M222" s="433"/>
      <c r="N222" s="433"/>
      <c r="O222" s="597">
        <v>6</v>
      </c>
      <c r="P222" s="596" t="str">
        <f>F222</f>
        <v>OH</v>
      </c>
      <c r="Q222" s="608">
        <f>Q200</f>
        <v>75000</v>
      </c>
      <c r="R222" s="453">
        <f>O222*Q222*K221</f>
        <v>1350000</v>
      </c>
      <c r="S222" s="453"/>
      <c r="T222" s="453"/>
      <c r="U222" s="753"/>
      <c r="V222" s="753"/>
      <c r="W222" s="753"/>
      <c r="X222" s="761"/>
      <c r="Y222" s="756"/>
      <c r="Z222" s="759"/>
      <c r="AA222" s="759"/>
      <c r="AB222" s="759"/>
      <c r="AC222" s="753"/>
      <c r="AD222" s="753"/>
      <c r="AE222" s="761"/>
      <c r="AF222" s="756"/>
      <c r="AG222" s="759"/>
      <c r="AH222" s="759"/>
      <c r="AI222" s="759"/>
      <c r="AJ222" s="753"/>
      <c r="AK222" s="753"/>
      <c r="AL222" s="761"/>
    </row>
    <row r="223" spans="2:38" ht="15.5" x14ac:dyDescent="0.45">
      <c r="B223" s="850"/>
      <c r="C223" s="277"/>
      <c r="D223" s="279" t="s">
        <v>121</v>
      </c>
      <c r="E223" s="340">
        <v>7.0000000000000001E-3</v>
      </c>
      <c r="F223" s="267" t="s">
        <v>108</v>
      </c>
      <c r="G223" s="339" t="s">
        <v>58</v>
      </c>
      <c r="H223" s="209"/>
      <c r="I223" s="966"/>
      <c r="J223" s="475"/>
      <c r="K223" s="602"/>
      <c r="L223" s="433">
        <f>E223*J221/K221</f>
        <v>5.8290866666666661</v>
      </c>
      <c r="M223" s="433"/>
      <c r="N223" s="433"/>
      <c r="O223" s="597">
        <v>6</v>
      </c>
      <c r="P223" s="596" t="str">
        <f>F223</f>
        <v>OH</v>
      </c>
      <c r="Q223" s="608">
        <f t="shared" ref="Q223:Q228" si="15">Q201</f>
        <v>85000</v>
      </c>
      <c r="R223" s="453">
        <f>O223*Q223*K221</f>
        <v>1530000</v>
      </c>
      <c r="S223" s="453"/>
      <c r="T223" s="453"/>
      <c r="U223" s="753"/>
      <c r="V223" s="753"/>
      <c r="W223" s="753"/>
      <c r="X223" s="761"/>
      <c r="Y223" s="756"/>
      <c r="Z223" s="759"/>
      <c r="AA223" s="759"/>
      <c r="AB223" s="759"/>
      <c r="AC223" s="753"/>
      <c r="AD223" s="753"/>
      <c r="AE223" s="761"/>
      <c r="AF223" s="756"/>
      <c r="AG223" s="759"/>
      <c r="AH223" s="759"/>
      <c r="AI223" s="759"/>
      <c r="AJ223" s="753"/>
      <c r="AK223" s="753"/>
      <c r="AL223" s="761"/>
    </row>
    <row r="224" spans="2:38" ht="15.5" x14ac:dyDescent="0.45">
      <c r="B224" s="850"/>
      <c r="C224" s="277"/>
      <c r="D224" s="279" t="s">
        <v>122</v>
      </c>
      <c r="E224" s="340">
        <v>6.9999999999999999E-4</v>
      </c>
      <c r="F224" s="267" t="s">
        <v>108</v>
      </c>
      <c r="G224" s="339" t="s">
        <v>123</v>
      </c>
      <c r="H224" s="209"/>
      <c r="I224" s="966"/>
      <c r="J224" s="475"/>
      <c r="K224" s="602"/>
      <c r="L224" s="433">
        <f>E224*J221/K221</f>
        <v>0.58290866666666663</v>
      </c>
      <c r="M224" s="433"/>
      <c r="N224" s="433"/>
      <c r="O224" s="597">
        <v>0</v>
      </c>
      <c r="P224" s="596" t="str">
        <f>F224</f>
        <v>OH</v>
      </c>
      <c r="Q224" s="608">
        <f t="shared" si="15"/>
        <v>90000</v>
      </c>
      <c r="R224" s="453">
        <f>O224*Q224*K221</f>
        <v>0</v>
      </c>
      <c r="S224" s="453"/>
      <c r="T224" s="453"/>
      <c r="U224" s="753"/>
      <c r="V224" s="753"/>
      <c r="W224" s="753"/>
      <c r="X224" s="761"/>
      <c r="Y224" s="756"/>
      <c r="Z224" s="759"/>
      <c r="AA224" s="759"/>
      <c r="AB224" s="759"/>
      <c r="AC224" s="753"/>
      <c r="AD224" s="753"/>
      <c r="AE224" s="761"/>
      <c r="AF224" s="756"/>
      <c r="AG224" s="759"/>
      <c r="AH224" s="759"/>
      <c r="AI224" s="759"/>
      <c r="AJ224" s="753"/>
      <c r="AK224" s="753"/>
      <c r="AL224" s="761"/>
    </row>
    <row r="225" spans="2:38" ht="15.5" x14ac:dyDescent="0.45">
      <c r="B225" s="850"/>
      <c r="C225" s="277"/>
      <c r="D225" s="343" t="s">
        <v>109</v>
      </c>
      <c r="E225" s="357">
        <v>4.0000000000000002E-4</v>
      </c>
      <c r="F225" s="275" t="s">
        <v>108</v>
      </c>
      <c r="G225" s="351" t="s">
        <v>52</v>
      </c>
      <c r="H225" s="229"/>
      <c r="I225" s="967"/>
      <c r="J225" s="475"/>
      <c r="K225" s="602"/>
      <c r="L225" s="433">
        <f>E225*J221/K221</f>
        <v>0.33309066666666665</v>
      </c>
      <c r="M225" s="433"/>
      <c r="N225" s="433"/>
      <c r="O225" s="597">
        <v>1</v>
      </c>
      <c r="P225" s="596" t="str">
        <f>F225</f>
        <v>OH</v>
      </c>
      <c r="Q225" s="608">
        <f t="shared" si="15"/>
        <v>100000</v>
      </c>
      <c r="R225" s="453">
        <f>O225*Q225*K221</f>
        <v>300000</v>
      </c>
      <c r="S225" s="453"/>
      <c r="T225" s="453"/>
      <c r="U225" s="753"/>
      <c r="V225" s="753"/>
      <c r="W225" s="753"/>
      <c r="X225" s="761"/>
      <c r="Y225" s="756"/>
      <c r="Z225" s="759"/>
      <c r="AA225" s="759"/>
      <c r="AB225" s="759"/>
      <c r="AC225" s="753"/>
      <c r="AD225" s="753"/>
      <c r="AE225" s="761"/>
      <c r="AF225" s="756"/>
      <c r="AG225" s="759"/>
      <c r="AH225" s="759"/>
      <c r="AI225" s="759"/>
      <c r="AJ225" s="753"/>
      <c r="AK225" s="753"/>
      <c r="AL225" s="761"/>
    </row>
    <row r="226" spans="2:38" x14ac:dyDescent="0.45">
      <c r="B226" s="850"/>
      <c r="C226" s="277"/>
      <c r="D226" s="344"/>
      <c r="E226" s="352"/>
      <c r="F226" s="285" t="s">
        <v>5</v>
      </c>
      <c r="G226" s="353" t="s">
        <v>124</v>
      </c>
      <c r="H226" s="209"/>
      <c r="I226" s="966"/>
      <c r="J226" s="475"/>
      <c r="K226" s="602"/>
      <c r="L226" s="433"/>
      <c r="M226" s="433"/>
      <c r="N226" s="433"/>
      <c r="O226" s="597"/>
      <c r="P226" s="596"/>
      <c r="Q226" s="608">
        <f t="shared" si="15"/>
        <v>0</v>
      </c>
      <c r="R226" s="453"/>
      <c r="S226" s="453"/>
      <c r="T226" s="453"/>
      <c r="U226" s="753"/>
      <c r="V226" s="753"/>
      <c r="W226" s="753"/>
      <c r="X226" s="761"/>
      <c r="Y226" s="756"/>
      <c r="Z226" s="759"/>
      <c r="AA226" s="759"/>
      <c r="AB226" s="759"/>
      <c r="AC226" s="753"/>
      <c r="AD226" s="753"/>
      <c r="AE226" s="761"/>
      <c r="AF226" s="756"/>
      <c r="AG226" s="759"/>
      <c r="AH226" s="759"/>
      <c r="AI226" s="759"/>
      <c r="AJ226" s="753"/>
      <c r="AK226" s="753"/>
      <c r="AL226" s="761"/>
    </row>
    <row r="227" spans="2:38" x14ac:dyDescent="0.45">
      <c r="B227" s="850"/>
      <c r="C227" s="277"/>
      <c r="D227" s="344"/>
      <c r="E227" s="222">
        <v>1.05</v>
      </c>
      <c r="F227" s="267" t="s">
        <v>39</v>
      </c>
      <c r="G227" s="339" t="s">
        <v>635</v>
      </c>
      <c r="H227" s="209"/>
      <c r="I227" s="966"/>
      <c r="J227" s="475"/>
      <c r="K227" s="602"/>
      <c r="L227" s="433"/>
      <c r="M227" s="433">
        <f>E227*J221</f>
        <v>2623.0889999999999</v>
      </c>
      <c r="N227" s="433"/>
      <c r="O227" s="597">
        <v>2624</v>
      </c>
      <c r="P227" s="596" t="str">
        <f>F227</f>
        <v>Kg</v>
      </c>
      <c r="Q227" s="608">
        <f t="shared" si="15"/>
        <v>10500</v>
      </c>
      <c r="R227" s="453"/>
      <c r="S227" s="453">
        <f t="shared" ref="S227:S230" si="16">O227*Q227</f>
        <v>27552000</v>
      </c>
      <c r="T227" s="453"/>
      <c r="U227" s="753"/>
      <c r="V227" s="753"/>
      <c r="W227" s="753"/>
      <c r="X227" s="761"/>
      <c r="Y227" s="756"/>
      <c r="Z227" s="759"/>
      <c r="AA227" s="759"/>
      <c r="AB227" s="759"/>
      <c r="AC227" s="753"/>
      <c r="AD227" s="753"/>
      <c r="AE227" s="761"/>
      <c r="AF227" s="756"/>
      <c r="AG227" s="759"/>
      <c r="AH227" s="759"/>
      <c r="AI227" s="759"/>
      <c r="AJ227" s="753"/>
      <c r="AK227" s="753"/>
      <c r="AL227" s="761"/>
    </row>
    <row r="228" spans="2:38" x14ac:dyDescent="0.45">
      <c r="B228" s="850"/>
      <c r="C228" s="277"/>
      <c r="D228" s="345"/>
      <c r="E228" s="300">
        <v>1.4999999999999999E-2</v>
      </c>
      <c r="F228" s="275" t="s">
        <v>39</v>
      </c>
      <c r="G228" s="351" t="s">
        <v>443</v>
      </c>
      <c r="H228" s="229"/>
      <c r="I228" s="967"/>
      <c r="J228" s="475"/>
      <c r="K228" s="602"/>
      <c r="L228" s="433"/>
      <c r="M228" s="433">
        <f>E228*J221</f>
        <v>37.472699999999996</v>
      </c>
      <c r="N228" s="433"/>
      <c r="O228" s="597">
        <v>37.5</v>
      </c>
      <c r="P228" s="596" t="str">
        <f>F228</f>
        <v>Kg</v>
      </c>
      <c r="Q228" s="608">
        <f t="shared" si="15"/>
        <v>17500</v>
      </c>
      <c r="R228" s="433"/>
      <c r="S228" s="453">
        <f t="shared" si="16"/>
        <v>656250</v>
      </c>
      <c r="T228" s="433"/>
      <c r="U228" s="753"/>
      <c r="V228" s="753"/>
      <c r="W228" s="753"/>
      <c r="X228" s="761"/>
      <c r="Y228" s="756"/>
      <c r="Z228" s="759"/>
      <c r="AA228" s="759"/>
      <c r="AB228" s="759"/>
      <c r="AC228" s="753"/>
      <c r="AD228" s="753"/>
      <c r="AE228" s="761"/>
      <c r="AF228" s="756"/>
      <c r="AG228" s="759"/>
      <c r="AH228" s="759"/>
      <c r="AI228" s="759"/>
      <c r="AJ228" s="753"/>
      <c r="AK228" s="753"/>
      <c r="AL228" s="761"/>
    </row>
    <row r="229" spans="2:38" x14ac:dyDescent="0.45">
      <c r="B229" s="850"/>
      <c r="C229" s="277"/>
      <c r="D229" s="344"/>
      <c r="E229" s="299"/>
      <c r="F229" s="267"/>
      <c r="G229" s="209"/>
      <c r="H229" s="209"/>
      <c r="I229" s="966"/>
      <c r="J229" s="475"/>
      <c r="K229" s="602"/>
      <c r="L229" s="433"/>
      <c r="M229" s="433">
        <f>E229*J221</f>
        <v>0</v>
      </c>
      <c r="N229" s="433"/>
      <c r="O229" s="597">
        <v>0</v>
      </c>
      <c r="P229" s="596">
        <f>F229</f>
        <v>0</v>
      </c>
      <c r="Q229" s="608">
        <v>0</v>
      </c>
      <c r="R229" s="433"/>
      <c r="S229" s="453">
        <f t="shared" si="16"/>
        <v>0</v>
      </c>
      <c r="T229" s="433"/>
      <c r="U229" s="753"/>
      <c r="V229" s="753"/>
      <c r="W229" s="753"/>
      <c r="X229" s="761"/>
      <c r="Y229" s="756"/>
      <c r="Z229" s="759"/>
      <c r="AA229" s="759"/>
      <c r="AB229" s="759"/>
      <c r="AC229" s="753"/>
      <c r="AD229" s="753"/>
      <c r="AE229" s="761"/>
      <c r="AF229" s="756"/>
      <c r="AG229" s="759"/>
      <c r="AH229" s="759"/>
      <c r="AI229" s="759"/>
      <c r="AJ229" s="753"/>
      <c r="AK229" s="753"/>
      <c r="AL229" s="761"/>
    </row>
    <row r="230" spans="2:38" x14ac:dyDescent="0.45">
      <c r="B230" s="850"/>
      <c r="C230" s="277"/>
      <c r="D230" s="345"/>
      <c r="E230" s="300"/>
      <c r="F230" s="275"/>
      <c r="G230" s="229"/>
      <c r="H230" s="229"/>
      <c r="I230" s="967"/>
      <c r="J230" s="475"/>
      <c r="K230" s="602"/>
      <c r="L230" s="433"/>
      <c r="M230" s="433">
        <f>E230*J221</f>
        <v>0</v>
      </c>
      <c r="N230" s="433"/>
      <c r="O230" s="597">
        <v>0</v>
      </c>
      <c r="P230" s="596">
        <f>F230</f>
        <v>0</v>
      </c>
      <c r="Q230" s="608">
        <v>0</v>
      </c>
      <c r="R230" s="433"/>
      <c r="S230" s="453">
        <f t="shared" si="16"/>
        <v>0</v>
      </c>
      <c r="T230" s="433"/>
      <c r="U230" s="753"/>
      <c r="V230" s="753"/>
      <c r="W230" s="753"/>
      <c r="X230" s="761"/>
      <c r="Y230" s="756"/>
      <c r="Z230" s="759"/>
      <c r="AA230" s="759"/>
      <c r="AB230" s="759"/>
      <c r="AC230" s="753"/>
      <c r="AD230" s="753"/>
      <c r="AE230" s="761"/>
      <c r="AF230" s="756"/>
      <c r="AG230" s="759"/>
      <c r="AH230" s="759"/>
      <c r="AI230" s="759"/>
      <c r="AJ230" s="753"/>
      <c r="AK230" s="753"/>
      <c r="AL230" s="761"/>
    </row>
    <row r="231" spans="2:38" x14ac:dyDescent="0.45">
      <c r="B231" s="813"/>
      <c r="C231" s="277"/>
      <c r="D231" s="279"/>
      <c r="E231" s="346"/>
      <c r="F231" s="207" t="s">
        <v>6</v>
      </c>
      <c r="G231" s="213" t="s">
        <v>111</v>
      </c>
      <c r="H231" s="244"/>
      <c r="I231" s="969"/>
      <c r="J231" s="475"/>
      <c r="K231" s="602"/>
      <c r="L231" s="433"/>
      <c r="M231" s="433"/>
      <c r="N231" s="433"/>
      <c r="O231" s="597"/>
      <c r="P231" s="596"/>
      <c r="Q231" s="608">
        <v>0</v>
      </c>
      <c r="R231" s="433"/>
      <c r="S231" s="433"/>
      <c r="T231" s="433"/>
      <c r="U231" s="433"/>
      <c r="V231" s="433"/>
      <c r="W231" s="433"/>
      <c r="X231" s="659"/>
      <c r="Y231" s="661"/>
      <c r="Z231" s="433"/>
      <c r="AA231" s="433"/>
      <c r="AB231" s="433"/>
      <c r="AC231" s="433"/>
      <c r="AD231" s="433"/>
      <c r="AE231" s="644"/>
      <c r="AF231" s="661"/>
      <c r="AG231" s="433"/>
      <c r="AH231" s="433"/>
      <c r="AI231" s="433"/>
      <c r="AJ231" s="433"/>
      <c r="AK231" s="433"/>
      <c r="AL231" s="644"/>
    </row>
    <row r="232" spans="2:38" x14ac:dyDescent="0.45">
      <c r="B232" s="813"/>
      <c r="C232" s="277"/>
      <c r="D232" s="279"/>
      <c r="E232" s="346"/>
      <c r="F232" s="207"/>
      <c r="G232" s="208"/>
      <c r="H232" s="209"/>
      <c r="I232" s="966"/>
      <c r="J232" s="475"/>
      <c r="K232" s="602"/>
      <c r="L232" s="433"/>
      <c r="M232" s="433"/>
      <c r="N232" s="433">
        <f>E232*J221</f>
        <v>0</v>
      </c>
      <c r="O232" s="597">
        <v>0</v>
      </c>
      <c r="P232" s="596">
        <v>0</v>
      </c>
      <c r="Q232" s="608">
        <f t="shared" ref="Q232" si="17">Q209</f>
        <v>0</v>
      </c>
      <c r="R232" s="433"/>
      <c r="S232" s="433"/>
      <c r="T232" s="453">
        <f>O232*Q232</f>
        <v>0</v>
      </c>
      <c r="U232" s="433"/>
      <c r="V232" s="433"/>
      <c r="W232" s="433"/>
      <c r="X232" s="659"/>
      <c r="Y232" s="661"/>
      <c r="Z232" s="433"/>
      <c r="AA232" s="433"/>
      <c r="AB232" s="433"/>
      <c r="AC232" s="433"/>
      <c r="AD232" s="433"/>
      <c r="AE232" s="644"/>
      <c r="AF232" s="661"/>
      <c r="AG232" s="433"/>
      <c r="AH232" s="433"/>
      <c r="AI232" s="433"/>
      <c r="AJ232" s="433"/>
      <c r="AK232" s="433"/>
      <c r="AL232" s="644"/>
    </row>
    <row r="233" spans="2:38" x14ac:dyDescent="0.45">
      <c r="B233" s="813"/>
      <c r="C233" s="277"/>
      <c r="D233" s="279"/>
      <c r="E233" s="346"/>
      <c r="F233" s="207" t="s">
        <v>112</v>
      </c>
      <c r="G233" s="208" t="s">
        <v>113</v>
      </c>
      <c r="H233" s="209"/>
      <c r="I233" s="966"/>
      <c r="J233" s="475"/>
      <c r="K233" s="602"/>
      <c r="L233" s="433"/>
      <c r="M233" s="433"/>
      <c r="N233" s="433"/>
      <c r="O233" s="433"/>
      <c r="P233" s="433"/>
      <c r="Q233" s="595"/>
      <c r="R233" s="433"/>
      <c r="S233" s="433"/>
      <c r="T233" s="433"/>
      <c r="U233" s="433"/>
      <c r="V233" s="433"/>
      <c r="W233" s="433"/>
      <c r="X233" s="659"/>
      <c r="Y233" s="661"/>
      <c r="Z233" s="433"/>
      <c r="AA233" s="433"/>
      <c r="AB233" s="433"/>
      <c r="AC233" s="433"/>
      <c r="AD233" s="433"/>
      <c r="AE233" s="644"/>
      <c r="AF233" s="661"/>
      <c r="AG233" s="433"/>
      <c r="AH233" s="433"/>
      <c r="AI233" s="433"/>
      <c r="AJ233" s="433"/>
      <c r="AK233" s="433"/>
      <c r="AL233" s="644"/>
    </row>
    <row r="234" spans="2:38" x14ac:dyDescent="0.45">
      <c r="B234" s="813"/>
      <c r="C234" s="277"/>
      <c r="D234" s="343"/>
      <c r="E234" s="347"/>
      <c r="F234" s="239" t="s">
        <v>114</v>
      </c>
      <c r="G234" s="257" t="s">
        <v>166</v>
      </c>
      <c r="H234" s="229"/>
      <c r="I234" s="980">
        <v>0.15</v>
      </c>
      <c r="J234" s="475"/>
      <c r="K234" s="602"/>
      <c r="L234" s="433"/>
      <c r="M234" s="433"/>
      <c r="N234" s="433"/>
      <c r="O234" s="433"/>
      <c r="P234" s="433"/>
      <c r="Q234" s="595"/>
      <c r="R234" s="433"/>
      <c r="S234" s="433"/>
      <c r="T234" s="433"/>
      <c r="U234" s="433"/>
      <c r="V234" s="433"/>
      <c r="W234" s="433"/>
      <c r="X234" s="659"/>
      <c r="Y234" s="661"/>
      <c r="Z234" s="433"/>
      <c r="AA234" s="433"/>
      <c r="AB234" s="433"/>
      <c r="AC234" s="433"/>
      <c r="AD234" s="433"/>
      <c r="AE234" s="644"/>
      <c r="AF234" s="661"/>
      <c r="AG234" s="433"/>
      <c r="AH234" s="433"/>
      <c r="AI234" s="433"/>
      <c r="AJ234" s="433"/>
      <c r="AK234" s="433"/>
      <c r="AL234" s="644"/>
    </row>
    <row r="235" spans="2:38" ht="17" thickBot="1" x14ac:dyDescent="0.5">
      <c r="B235" s="830"/>
      <c r="C235" s="831"/>
      <c r="D235" s="832"/>
      <c r="E235" s="833"/>
      <c r="F235" s="834" t="s">
        <v>115</v>
      </c>
      <c r="G235" s="816" t="s">
        <v>127</v>
      </c>
      <c r="H235" s="835"/>
      <c r="I235" s="981"/>
      <c r="J235" s="793"/>
      <c r="K235" s="763"/>
      <c r="L235" s="655"/>
      <c r="M235" s="655"/>
      <c r="N235" s="655"/>
      <c r="O235" s="655"/>
      <c r="P235" s="655"/>
      <c r="Q235" s="654"/>
      <c r="R235" s="655"/>
      <c r="S235" s="655"/>
      <c r="T235" s="655"/>
      <c r="U235" s="655"/>
      <c r="V235" s="655"/>
      <c r="W235" s="655"/>
      <c r="X235" s="660"/>
      <c r="Y235" s="662"/>
      <c r="Z235" s="655"/>
      <c r="AA235" s="655"/>
      <c r="AB235" s="655"/>
      <c r="AC235" s="655"/>
      <c r="AD235" s="655"/>
      <c r="AE235" s="656"/>
      <c r="AF235" s="662"/>
      <c r="AG235" s="655"/>
      <c r="AH235" s="655"/>
      <c r="AI235" s="655"/>
      <c r="AJ235" s="655"/>
      <c r="AK235" s="655"/>
      <c r="AL235" s="656"/>
    </row>
    <row r="236" spans="2:38" x14ac:dyDescent="0.45">
      <c r="D236" s="112"/>
      <c r="E236" s="195"/>
      <c r="G236" s="111"/>
      <c r="H236" s="111"/>
      <c r="I236" s="111"/>
      <c r="Z236" s="657"/>
      <c r="AA236" s="657"/>
      <c r="AB236" s="657"/>
      <c r="AC236" s="657"/>
      <c r="AD236" s="657"/>
      <c r="AE236" s="657"/>
      <c r="AG236" s="657"/>
      <c r="AH236" s="657"/>
      <c r="AI236" s="657"/>
      <c r="AJ236" s="657"/>
      <c r="AK236" s="657"/>
      <c r="AL236" s="657"/>
    </row>
    <row r="237" spans="2:38" ht="17" thickBot="1" x14ac:dyDescent="0.5">
      <c r="B237" s="749" t="s">
        <v>644</v>
      </c>
      <c r="C237" s="750" t="s">
        <v>645</v>
      </c>
      <c r="D237" s="241"/>
      <c r="E237" s="241"/>
      <c r="F237" s="276"/>
      <c r="G237" s="240"/>
      <c r="H237" s="241"/>
      <c r="I237" s="241"/>
      <c r="J237" s="604"/>
      <c r="K237" s="603"/>
      <c r="L237" s="604"/>
      <c r="M237" s="604"/>
      <c r="N237" s="604"/>
      <c r="O237" s="604"/>
      <c r="P237" s="604"/>
      <c r="Q237" s="604"/>
      <c r="R237" s="609"/>
      <c r="S237" s="609"/>
      <c r="T237" s="609"/>
      <c r="U237" s="609"/>
      <c r="V237" s="609"/>
      <c r="W237" s="609"/>
      <c r="X237" s="609"/>
      <c r="Y237" s="609"/>
      <c r="Z237" s="609"/>
      <c r="AA237" s="609"/>
      <c r="AB237" s="609"/>
      <c r="AC237" s="609"/>
      <c r="AD237" s="609"/>
      <c r="AE237" s="609"/>
      <c r="AF237" s="609"/>
      <c r="AG237" s="609"/>
      <c r="AH237" s="609"/>
      <c r="AI237" s="609"/>
      <c r="AJ237" s="609"/>
      <c r="AK237" s="609"/>
      <c r="AL237" s="609"/>
    </row>
    <row r="238" spans="2:38" ht="19.5" customHeight="1" x14ac:dyDescent="0.45">
      <c r="B238" s="1168" t="s">
        <v>99</v>
      </c>
      <c r="C238" s="1171" t="s">
        <v>100</v>
      </c>
      <c r="D238" s="1171" t="s">
        <v>89</v>
      </c>
      <c r="E238" s="1171" t="s">
        <v>101</v>
      </c>
      <c r="F238" s="1171" t="s">
        <v>102</v>
      </c>
      <c r="G238" s="1109" t="s">
        <v>103</v>
      </c>
      <c r="H238" s="1110"/>
      <c r="I238" s="1175"/>
      <c r="J238" s="1152" t="s">
        <v>539</v>
      </c>
      <c r="K238" s="1152"/>
      <c r="L238" s="1152"/>
      <c r="M238" s="1152"/>
      <c r="N238" s="1152"/>
      <c r="O238" s="1152"/>
      <c r="P238" s="1152"/>
      <c r="Q238" s="1152"/>
      <c r="R238" s="1152"/>
      <c r="S238" s="1152"/>
      <c r="T238" s="1152"/>
      <c r="U238" s="1152"/>
      <c r="V238" s="1152"/>
      <c r="W238" s="1152"/>
      <c r="X238" s="1152"/>
      <c r="Y238" s="1153" t="s">
        <v>540</v>
      </c>
      <c r="Z238" s="1154"/>
      <c r="AA238" s="1154"/>
      <c r="AB238" s="1154"/>
      <c r="AC238" s="1154"/>
      <c r="AD238" s="1154"/>
      <c r="AE238" s="1155"/>
      <c r="AF238" s="1156" t="s">
        <v>541</v>
      </c>
      <c r="AG238" s="1157"/>
      <c r="AH238" s="1157"/>
      <c r="AI238" s="1157"/>
      <c r="AJ238" s="1157"/>
      <c r="AK238" s="1157"/>
      <c r="AL238" s="1158"/>
    </row>
    <row r="239" spans="2:38" ht="45" x14ac:dyDescent="0.45">
      <c r="B239" s="1169"/>
      <c r="C239" s="1089"/>
      <c r="D239" s="1089"/>
      <c r="E239" s="1089"/>
      <c r="F239" s="1089"/>
      <c r="G239" s="1026"/>
      <c r="H239" s="1027"/>
      <c r="I239" s="1176"/>
      <c r="J239" s="1173" t="s">
        <v>15</v>
      </c>
      <c r="K239" s="673" t="s">
        <v>493</v>
      </c>
      <c r="L239" s="1161" t="s">
        <v>491</v>
      </c>
      <c r="M239" s="1162"/>
      <c r="N239" s="1162"/>
      <c r="O239" s="1162"/>
      <c r="P239" s="1163"/>
      <c r="Q239" s="674" t="s">
        <v>533</v>
      </c>
      <c r="R239" s="1161" t="s">
        <v>501</v>
      </c>
      <c r="S239" s="1162"/>
      <c r="T239" s="1163"/>
      <c r="U239" s="674" t="s">
        <v>530</v>
      </c>
      <c r="V239" s="674" t="s">
        <v>531</v>
      </c>
      <c r="W239" s="674" t="s">
        <v>578</v>
      </c>
      <c r="X239" s="681" t="s">
        <v>579</v>
      </c>
      <c r="Y239" s="1164" t="s">
        <v>534</v>
      </c>
      <c r="Z239" s="1165"/>
      <c r="AA239" s="663" t="s">
        <v>537</v>
      </c>
      <c r="AB239" s="664" t="s">
        <v>538</v>
      </c>
      <c r="AC239" s="665" t="s">
        <v>530</v>
      </c>
      <c r="AD239" s="665" t="s">
        <v>578</v>
      </c>
      <c r="AE239" s="682" t="s">
        <v>579</v>
      </c>
      <c r="AF239" s="1166" t="s">
        <v>542</v>
      </c>
      <c r="AG239" s="1167"/>
      <c r="AH239" s="737" t="s">
        <v>543</v>
      </c>
      <c r="AI239" s="738" t="s">
        <v>544</v>
      </c>
      <c r="AJ239" s="739" t="s">
        <v>530</v>
      </c>
      <c r="AK239" s="739" t="s">
        <v>578</v>
      </c>
      <c r="AL239" s="740" t="s">
        <v>579</v>
      </c>
    </row>
    <row r="240" spans="2:38" ht="30" x14ac:dyDescent="0.45">
      <c r="B240" s="1170"/>
      <c r="C240" s="1090"/>
      <c r="D240" s="1090"/>
      <c r="E240" s="1090"/>
      <c r="F240" s="1090"/>
      <c r="G240" s="1085"/>
      <c r="H240" s="1086"/>
      <c r="I240" s="1177"/>
      <c r="J240" s="1174"/>
      <c r="K240" s="675" t="s">
        <v>495</v>
      </c>
      <c r="L240" s="676" t="s">
        <v>524</v>
      </c>
      <c r="M240" s="676" t="s">
        <v>525</v>
      </c>
      <c r="N240" s="676" t="s">
        <v>526</v>
      </c>
      <c r="O240" s="675" t="s">
        <v>517</v>
      </c>
      <c r="P240" s="675" t="s">
        <v>290</v>
      </c>
      <c r="Q240" s="675" t="s">
        <v>532</v>
      </c>
      <c r="R240" s="676" t="s">
        <v>527</v>
      </c>
      <c r="S240" s="676" t="s">
        <v>528</v>
      </c>
      <c r="T240" s="677" t="s">
        <v>529</v>
      </c>
      <c r="U240" s="675" t="s">
        <v>502</v>
      </c>
      <c r="V240" s="675" t="s">
        <v>502</v>
      </c>
      <c r="W240" s="675" t="s">
        <v>502</v>
      </c>
      <c r="X240" s="678" t="s">
        <v>504</v>
      </c>
      <c r="Y240" s="666" t="s">
        <v>535</v>
      </c>
      <c r="Z240" s="667" t="s">
        <v>536</v>
      </c>
      <c r="AA240" s="668" t="s">
        <v>532</v>
      </c>
      <c r="AB240" s="668" t="s">
        <v>532</v>
      </c>
      <c r="AC240" s="668" t="s">
        <v>532</v>
      </c>
      <c r="AD240" s="668" t="s">
        <v>532</v>
      </c>
      <c r="AE240" s="669" t="s">
        <v>532</v>
      </c>
      <c r="AF240" s="741" t="s">
        <v>535</v>
      </c>
      <c r="AG240" s="742" t="s">
        <v>536</v>
      </c>
      <c r="AH240" s="743" t="s">
        <v>532</v>
      </c>
      <c r="AI240" s="743" t="s">
        <v>532</v>
      </c>
      <c r="AJ240" s="743" t="s">
        <v>532</v>
      </c>
      <c r="AK240" s="743" t="s">
        <v>532</v>
      </c>
      <c r="AL240" s="744" t="s">
        <v>532</v>
      </c>
    </row>
    <row r="241" spans="2:38" ht="30" x14ac:dyDescent="0.45">
      <c r="B241" s="639" t="s">
        <v>4</v>
      </c>
      <c r="C241" s="600" t="s">
        <v>5</v>
      </c>
      <c r="D241" s="570" t="s">
        <v>6</v>
      </c>
      <c r="E241" s="570" t="s">
        <v>112</v>
      </c>
      <c r="F241" s="570" t="s">
        <v>114</v>
      </c>
      <c r="G241" s="1014" t="s">
        <v>115</v>
      </c>
      <c r="H241" s="1014"/>
      <c r="I241" s="1172"/>
      <c r="J241" s="791" t="s">
        <v>21</v>
      </c>
      <c r="K241" s="675" t="s">
        <v>496</v>
      </c>
      <c r="L241" s="675" t="s">
        <v>497</v>
      </c>
      <c r="M241" s="675" t="s">
        <v>498</v>
      </c>
      <c r="N241" s="675" t="s">
        <v>499</v>
      </c>
      <c r="O241" s="676" t="s">
        <v>552</v>
      </c>
      <c r="P241" s="675" t="s">
        <v>512</v>
      </c>
      <c r="Q241" s="675" t="s">
        <v>503</v>
      </c>
      <c r="R241" s="675" t="s">
        <v>553</v>
      </c>
      <c r="S241" s="675" t="s">
        <v>513</v>
      </c>
      <c r="T241" s="675" t="s">
        <v>514</v>
      </c>
      <c r="U241" s="675" t="s">
        <v>554</v>
      </c>
      <c r="V241" s="675" t="s">
        <v>515</v>
      </c>
      <c r="W241" s="675" t="s">
        <v>555</v>
      </c>
      <c r="X241" s="678" t="s">
        <v>516</v>
      </c>
      <c r="Y241" s="670" t="s">
        <v>556</v>
      </c>
      <c r="Z241" s="671" t="s">
        <v>557</v>
      </c>
      <c r="AA241" s="671" t="s">
        <v>558</v>
      </c>
      <c r="AB241" s="671" t="s">
        <v>559</v>
      </c>
      <c r="AC241" s="671" t="s">
        <v>560</v>
      </c>
      <c r="AD241" s="671" t="s">
        <v>561</v>
      </c>
      <c r="AE241" s="672" t="s">
        <v>562</v>
      </c>
      <c r="AF241" s="745" t="s">
        <v>563</v>
      </c>
      <c r="AG241" s="746" t="s">
        <v>564</v>
      </c>
      <c r="AH241" s="746" t="s">
        <v>565</v>
      </c>
      <c r="AI241" s="746" t="s">
        <v>566</v>
      </c>
      <c r="AJ241" s="746" t="s">
        <v>567</v>
      </c>
      <c r="AK241" s="746" t="s">
        <v>568</v>
      </c>
      <c r="AL241" s="747" t="s">
        <v>569</v>
      </c>
    </row>
    <row r="242" spans="2:38" ht="15.5" x14ac:dyDescent="0.45">
      <c r="B242" s="812">
        <v>11</v>
      </c>
      <c r="C242" s="439" t="s">
        <v>45</v>
      </c>
      <c r="D242" s="477"/>
      <c r="E242" s="452">
        <v>1</v>
      </c>
      <c r="F242" s="486" t="s">
        <v>30</v>
      </c>
      <c r="G242" s="487" t="s">
        <v>138</v>
      </c>
      <c r="H242" s="458"/>
      <c r="I242" s="972"/>
      <c r="J242" s="789"/>
      <c r="K242" s="789"/>
      <c r="L242" s="789"/>
      <c r="M242" s="789"/>
      <c r="N242" s="789"/>
      <c r="O242" s="789"/>
      <c r="P242" s="789"/>
      <c r="Q242" s="789"/>
      <c r="R242" s="789"/>
      <c r="S242" s="789"/>
      <c r="T242" s="789"/>
      <c r="U242" s="789"/>
      <c r="V242" s="789"/>
      <c r="W242" s="789"/>
      <c r="X242" s="789"/>
      <c r="Y242" s="789"/>
      <c r="Z242" s="789"/>
      <c r="AA242" s="789"/>
      <c r="AB242" s="789"/>
      <c r="AC242" s="789"/>
      <c r="AD242" s="789"/>
      <c r="AE242" s="789"/>
      <c r="AF242" s="789"/>
      <c r="AG242" s="789"/>
      <c r="AH242" s="789"/>
      <c r="AI242" s="789"/>
      <c r="AJ242" s="789"/>
      <c r="AK242" s="789"/>
      <c r="AL242" s="790"/>
    </row>
    <row r="243" spans="2:38" x14ac:dyDescent="0.45">
      <c r="B243" s="849"/>
      <c r="C243" s="307"/>
      <c r="D243" s="344"/>
      <c r="E243" s="359"/>
      <c r="F243" s="285" t="s">
        <v>4</v>
      </c>
      <c r="G243" s="353" t="s">
        <v>120</v>
      </c>
      <c r="H243" s="209"/>
      <c r="I243" s="966"/>
      <c r="J243" s="792">
        <f>RAP!E39</f>
        <v>146.80000000000001</v>
      </c>
      <c r="K243" s="601">
        <v>4</v>
      </c>
      <c r="L243" s="319"/>
      <c r="M243" s="319"/>
      <c r="N243" s="319"/>
      <c r="O243" s="598"/>
      <c r="P243" s="598"/>
      <c r="Q243" s="605"/>
      <c r="R243" s="485"/>
      <c r="S243" s="485"/>
      <c r="T243" s="485"/>
      <c r="U243" s="752">
        <f>SUM(R243:R257)+(SUM(S243:S257)+SUM(T243:T257))</f>
        <v>19890000</v>
      </c>
      <c r="V243" s="754">
        <f>RAP!H39</f>
        <v>22812646.600000001</v>
      </c>
      <c r="W243" s="752">
        <f>V243-U243</f>
        <v>2922646.6000000015</v>
      </c>
      <c r="X243" s="760">
        <f>W243/V243*100</f>
        <v>12.811519203563174</v>
      </c>
      <c r="Y243" s="755">
        <f>SUM(R243:R257)/J243</f>
        <v>66757.493188010892</v>
      </c>
      <c r="Z243" s="757">
        <v>60000</v>
      </c>
      <c r="AA243" s="758">
        <f>J243*Z243</f>
        <v>8808000</v>
      </c>
      <c r="AB243" s="758">
        <f>SUM(S243:S257)+SUM(T243:T257)</f>
        <v>10090000</v>
      </c>
      <c r="AC243" s="752">
        <f>AA243+AB243</f>
        <v>18898000</v>
      </c>
      <c r="AD243" s="752">
        <f>V243-AC243</f>
        <v>3914646.6000000015</v>
      </c>
      <c r="AE243" s="760">
        <f>AD243/V243*100</f>
        <v>17.159984409700193</v>
      </c>
      <c r="AF243" s="755">
        <f>(SUM(R243:R257)+SUM(S243:S257))/J243</f>
        <v>135490.46321525885</v>
      </c>
      <c r="AG243" s="757">
        <v>130000</v>
      </c>
      <c r="AH243" s="758">
        <f>AG243*J243</f>
        <v>19084000</v>
      </c>
      <c r="AI243" s="758">
        <f>SUM(T243:T257)</f>
        <v>0</v>
      </c>
      <c r="AJ243" s="752">
        <f>AH243+AI243</f>
        <v>19084000</v>
      </c>
      <c r="AK243" s="752">
        <f>V243-AJ243</f>
        <v>3728646.6000000015</v>
      </c>
      <c r="AL243" s="760">
        <f>AK243/V243*100</f>
        <v>16.344647183549501</v>
      </c>
    </row>
    <row r="244" spans="2:38" ht="15.5" x14ac:dyDescent="0.45">
      <c r="B244" s="850"/>
      <c r="C244" s="277"/>
      <c r="D244" s="279" t="s">
        <v>107</v>
      </c>
      <c r="E244" s="222">
        <v>0.52</v>
      </c>
      <c r="F244" s="267" t="s">
        <v>108</v>
      </c>
      <c r="G244" s="339" t="s">
        <v>51</v>
      </c>
      <c r="H244" s="209"/>
      <c r="I244" s="966"/>
      <c r="J244" s="475"/>
      <c r="K244" s="602"/>
      <c r="L244" s="433">
        <f>E244*J243/K243</f>
        <v>19.084000000000003</v>
      </c>
      <c r="M244" s="433"/>
      <c r="N244" s="433"/>
      <c r="O244" s="597">
        <v>20</v>
      </c>
      <c r="P244" s="596" t="str">
        <f>F244</f>
        <v>OH</v>
      </c>
      <c r="Q244" s="608">
        <f>'Analisa Upah RAP'!G5</f>
        <v>75000</v>
      </c>
      <c r="R244" s="453">
        <f>O244*Q244*K243</f>
        <v>6000000</v>
      </c>
      <c r="S244" s="453"/>
      <c r="T244" s="453"/>
      <c r="U244" s="753"/>
      <c r="V244" s="753"/>
      <c r="W244" s="753"/>
      <c r="X244" s="761"/>
      <c r="Y244" s="756"/>
      <c r="Z244" s="759"/>
      <c r="AA244" s="759"/>
      <c r="AB244" s="759"/>
      <c r="AC244" s="753"/>
      <c r="AD244" s="753"/>
      <c r="AE244" s="761"/>
      <c r="AF244" s="756"/>
      <c r="AG244" s="759"/>
      <c r="AH244" s="759"/>
      <c r="AI244" s="759"/>
      <c r="AJ244" s="753"/>
      <c r="AK244" s="753"/>
      <c r="AL244" s="761"/>
    </row>
    <row r="245" spans="2:38" ht="15.5" x14ac:dyDescent="0.45">
      <c r="B245" s="850"/>
      <c r="C245" s="277"/>
      <c r="D245" s="279" t="s">
        <v>121</v>
      </c>
      <c r="E245" s="222">
        <v>0.26</v>
      </c>
      <c r="F245" s="267" t="s">
        <v>108</v>
      </c>
      <c r="G245" s="339" t="s">
        <v>56</v>
      </c>
      <c r="H245" s="209"/>
      <c r="I245" s="966"/>
      <c r="J245" s="475"/>
      <c r="K245" s="602"/>
      <c r="L245" s="433">
        <f>E245*J243/K243</f>
        <v>9.5420000000000016</v>
      </c>
      <c r="M245" s="433"/>
      <c r="N245" s="433"/>
      <c r="O245" s="597">
        <v>10</v>
      </c>
      <c r="P245" s="596" t="str">
        <f>F245</f>
        <v>OH</v>
      </c>
      <c r="Q245" s="608">
        <f>'Analisa Upah RAP'!G6</f>
        <v>85000</v>
      </c>
      <c r="R245" s="453">
        <f>O245*Q245*K243</f>
        <v>3400000</v>
      </c>
      <c r="S245" s="453"/>
      <c r="T245" s="453"/>
      <c r="U245" s="753"/>
      <c r="V245" s="753"/>
      <c r="W245" s="753"/>
      <c r="X245" s="761"/>
      <c r="Y245" s="756"/>
      <c r="Z245" s="759"/>
      <c r="AA245" s="759"/>
      <c r="AB245" s="759"/>
      <c r="AC245" s="753"/>
      <c r="AD245" s="753"/>
      <c r="AE245" s="761"/>
      <c r="AF245" s="756"/>
      <c r="AG245" s="759"/>
      <c r="AH245" s="759"/>
      <c r="AI245" s="759"/>
      <c r="AJ245" s="753"/>
      <c r="AK245" s="753"/>
      <c r="AL245" s="761"/>
    </row>
    <row r="246" spans="2:38" ht="15.5" x14ac:dyDescent="0.45">
      <c r="B246" s="850"/>
      <c r="C246" s="277"/>
      <c r="D246" s="279" t="s">
        <v>122</v>
      </c>
      <c r="E246" s="299">
        <v>2.5999999999999999E-2</v>
      </c>
      <c r="F246" s="267" t="s">
        <v>108</v>
      </c>
      <c r="G246" s="339" t="s">
        <v>123</v>
      </c>
      <c r="H246" s="209"/>
      <c r="I246" s="966"/>
      <c r="J246" s="475"/>
      <c r="K246" s="602"/>
      <c r="L246" s="433">
        <f>E246*J243/K243</f>
        <v>0.95420000000000005</v>
      </c>
      <c r="M246" s="433"/>
      <c r="N246" s="433"/>
      <c r="O246" s="597">
        <v>0</v>
      </c>
      <c r="P246" s="596" t="str">
        <f>F246</f>
        <v>OH</v>
      </c>
      <c r="Q246" s="608">
        <f>'Analisa Upah RAP'!G11</f>
        <v>90000</v>
      </c>
      <c r="R246" s="453">
        <f>O246*Q246*K243</f>
        <v>0</v>
      </c>
      <c r="S246" s="453"/>
      <c r="T246" s="453"/>
      <c r="U246" s="753"/>
      <c r="V246" s="753"/>
      <c r="W246" s="753"/>
      <c r="X246" s="761"/>
      <c r="Y246" s="756"/>
      <c r="Z246" s="759"/>
      <c r="AA246" s="759"/>
      <c r="AB246" s="759"/>
      <c r="AC246" s="753"/>
      <c r="AD246" s="753"/>
      <c r="AE246" s="761"/>
      <c r="AF246" s="756"/>
      <c r="AG246" s="759"/>
      <c r="AH246" s="759"/>
      <c r="AI246" s="759"/>
      <c r="AJ246" s="753"/>
      <c r="AK246" s="753"/>
      <c r="AL246" s="761"/>
    </row>
    <row r="247" spans="2:38" ht="15.5" x14ac:dyDescent="0.45">
      <c r="B247" s="850"/>
      <c r="C247" s="277"/>
      <c r="D247" s="343" t="s">
        <v>109</v>
      </c>
      <c r="E247" s="358">
        <v>2.5999999999999999E-2</v>
      </c>
      <c r="F247" s="275" t="s">
        <v>108</v>
      </c>
      <c r="G247" s="351" t="s">
        <v>52</v>
      </c>
      <c r="H247" s="229"/>
      <c r="I247" s="967"/>
      <c r="J247" s="475"/>
      <c r="K247" s="602"/>
      <c r="L247" s="433">
        <f>E247*J243/K243</f>
        <v>0.95420000000000005</v>
      </c>
      <c r="M247" s="433"/>
      <c r="N247" s="433"/>
      <c r="O247" s="597">
        <v>1</v>
      </c>
      <c r="P247" s="596" t="str">
        <f>F247</f>
        <v>OH</v>
      </c>
      <c r="Q247" s="608">
        <f>'Analisa Upah RAP'!G12</f>
        <v>100000</v>
      </c>
      <c r="R247" s="453">
        <f>O247*Q247*K243</f>
        <v>400000</v>
      </c>
      <c r="S247" s="453"/>
      <c r="T247" s="453"/>
      <c r="U247" s="753"/>
      <c r="V247" s="753"/>
      <c r="W247" s="753"/>
      <c r="X247" s="761"/>
      <c r="Y247" s="756"/>
      <c r="Z247" s="759"/>
      <c r="AA247" s="759"/>
      <c r="AB247" s="759"/>
      <c r="AC247" s="753"/>
      <c r="AD247" s="753"/>
      <c r="AE247" s="761"/>
      <c r="AF247" s="756"/>
      <c r="AG247" s="759"/>
      <c r="AH247" s="759"/>
      <c r="AI247" s="759"/>
      <c r="AJ247" s="753"/>
      <c r="AK247" s="753"/>
      <c r="AL247" s="761"/>
    </row>
    <row r="248" spans="2:38" x14ac:dyDescent="0.45">
      <c r="B248" s="850"/>
      <c r="C248" s="277"/>
      <c r="D248" s="344"/>
      <c r="E248" s="352"/>
      <c r="F248" s="285" t="s">
        <v>5</v>
      </c>
      <c r="G248" s="353" t="s">
        <v>139</v>
      </c>
      <c r="H248" s="209"/>
      <c r="I248" s="966"/>
      <c r="J248" s="475"/>
      <c r="K248" s="602"/>
      <c r="L248" s="433"/>
      <c r="M248" s="433"/>
      <c r="N248" s="433"/>
      <c r="O248" s="597"/>
      <c r="P248" s="596"/>
      <c r="Q248" s="608">
        <f t="shared" ref="Q248" si="18">Q226</f>
        <v>0</v>
      </c>
      <c r="R248" s="453"/>
      <c r="S248" s="453"/>
      <c r="T248" s="453"/>
      <c r="U248" s="753"/>
      <c r="V248" s="753"/>
      <c r="W248" s="753"/>
      <c r="X248" s="761"/>
      <c r="Y248" s="756"/>
      <c r="Z248" s="759"/>
      <c r="AA248" s="759"/>
      <c r="AB248" s="759"/>
      <c r="AC248" s="753"/>
      <c r="AD248" s="753"/>
      <c r="AE248" s="761"/>
      <c r="AF248" s="756"/>
      <c r="AG248" s="759"/>
      <c r="AH248" s="759"/>
      <c r="AI248" s="759"/>
      <c r="AJ248" s="753"/>
      <c r="AK248" s="753"/>
      <c r="AL248" s="761"/>
    </row>
    <row r="249" spans="2:38" x14ac:dyDescent="0.45">
      <c r="B249" s="850"/>
      <c r="C249" s="277"/>
      <c r="D249" s="344"/>
      <c r="E249" s="222">
        <v>0.02</v>
      </c>
      <c r="F249" s="267" t="s">
        <v>65</v>
      </c>
      <c r="G249" s="339" t="s">
        <v>140</v>
      </c>
      <c r="H249" s="209"/>
      <c r="I249" s="966"/>
      <c r="J249" s="475"/>
      <c r="K249" s="602"/>
      <c r="L249" s="433"/>
      <c r="M249" s="433">
        <f>E249*J243</f>
        <v>2.9360000000000004</v>
      </c>
      <c r="N249" s="433"/>
      <c r="O249" s="597">
        <v>3</v>
      </c>
      <c r="P249" s="596" t="str">
        <f>F249</f>
        <v>m3</v>
      </c>
      <c r="Q249" s="608">
        <f>'Harga Bahan RAP'!G28</f>
        <v>3000000</v>
      </c>
      <c r="R249" s="453"/>
      <c r="S249" s="453">
        <f t="shared" ref="S249:S252" si="19">O249*Q249</f>
        <v>9000000</v>
      </c>
      <c r="T249" s="453"/>
      <c r="U249" s="753"/>
      <c r="V249" s="753"/>
      <c r="W249" s="753"/>
      <c r="X249" s="761"/>
      <c r="Y249" s="756"/>
      <c r="Z249" s="759"/>
      <c r="AA249" s="759"/>
      <c r="AB249" s="759"/>
      <c r="AC249" s="753"/>
      <c r="AD249" s="753"/>
      <c r="AE249" s="761"/>
      <c r="AF249" s="756"/>
      <c r="AG249" s="759"/>
      <c r="AH249" s="759"/>
      <c r="AI249" s="759"/>
      <c r="AJ249" s="753"/>
      <c r="AK249" s="753"/>
      <c r="AL249" s="761"/>
    </row>
    <row r="250" spans="2:38" x14ac:dyDescent="0.45">
      <c r="B250" s="850"/>
      <c r="C250" s="277"/>
      <c r="D250" s="344"/>
      <c r="E250" s="298">
        <v>0.3</v>
      </c>
      <c r="F250" s="267" t="s">
        <v>39</v>
      </c>
      <c r="G250" s="339" t="s">
        <v>141</v>
      </c>
      <c r="H250" s="209"/>
      <c r="I250" s="966"/>
      <c r="J250" s="475"/>
      <c r="K250" s="602"/>
      <c r="L250" s="433"/>
      <c r="M250" s="433">
        <f>E250*J243</f>
        <v>44.04</v>
      </c>
      <c r="N250" s="433"/>
      <c r="O250" s="597">
        <v>44</v>
      </c>
      <c r="P250" s="596" t="str">
        <f>F250</f>
        <v>Kg</v>
      </c>
      <c r="Q250" s="608">
        <f>'Harga Bahan RAP'!G122</f>
        <v>20000</v>
      </c>
      <c r="R250" s="433"/>
      <c r="S250" s="453">
        <f t="shared" si="19"/>
        <v>880000</v>
      </c>
      <c r="T250" s="433"/>
      <c r="U250" s="753"/>
      <c r="V250" s="753"/>
      <c r="W250" s="753"/>
      <c r="X250" s="761"/>
      <c r="Y250" s="756"/>
      <c r="Z250" s="759"/>
      <c r="AA250" s="759"/>
      <c r="AB250" s="759"/>
      <c r="AC250" s="753"/>
      <c r="AD250" s="753"/>
      <c r="AE250" s="761"/>
      <c r="AF250" s="756"/>
      <c r="AG250" s="759"/>
      <c r="AH250" s="759"/>
      <c r="AI250" s="759"/>
      <c r="AJ250" s="753"/>
      <c r="AK250" s="753"/>
      <c r="AL250" s="761"/>
    </row>
    <row r="251" spans="2:38" x14ac:dyDescent="0.45">
      <c r="B251" s="850"/>
      <c r="C251" s="277"/>
      <c r="D251" s="345"/>
      <c r="E251" s="318">
        <v>0.1</v>
      </c>
      <c r="F251" s="275" t="s">
        <v>132</v>
      </c>
      <c r="G251" s="351" t="s">
        <v>142</v>
      </c>
      <c r="H251" s="229"/>
      <c r="I251" s="967"/>
      <c r="J251" s="475"/>
      <c r="K251" s="602"/>
      <c r="L251" s="433"/>
      <c r="M251" s="433">
        <f>E251*J243</f>
        <v>14.680000000000001</v>
      </c>
      <c r="N251" s="433"/>
      <c r="O251" s="597">
        <v>15</v>
      </c>
      <c r="P251" s="596" t="str">
        <f>F251</f>
        <v>Ltr</v>
      </c>
      <c r="Q251" s="608">
        <f>'Harga Bahan RAP'!G133</f>
        <v>14000</v>
      </c>
      <c r="R251" s="433"/>
      <c r="S251" s="453">
        <f t="shared" si="19"/>
        <v>210000</v>
      </c>
      <c r="T251" s="433"/>
      <c r="U251" s="753"/>
      <c r="V251" s="753"/>
      <c r="W251" s="753"/>
      <c r="X251" s="761"/>
      <c r="Y251" s="756"/>
      <c r="Z251" s="759"/>
      <c r="AA251" s="759"/>
      <c r="AB251" s="759"/>
      <c r="AC251" s="753"/>
      <c r="AD251" s="753"/>
      <c r="AE251" s="761"/>
      <c r="AF251" s="756"/>
      <c r="AG251" s="759"/>
      <c r="AH251" s="759"/>
      <c r="AI251" s="759"/>
      <c r="AJ251" s="753"/>
      <c r="AK251" s="753"/>
      <c r="AL251" s="761"/>
    </row>
    <row r="252" spans="2:38" x14ac:dyDescent="0.45">
      <c r="B252" s="850"/>
      <c r="C252" s="277"/>
      <c r="D252" s="344"/>
      <c r="E252" s="298"/>
      <c r="F252" s="267"/>
      <c r="G252" s="209"/>
      <c r="H252" s="209"/>
      <c r="I252" s="966"/>
      <c r="J252" s="475"/>
      <c r="K252" s="602"/>
      <c r="L252" s="433"/>
      <c r="M252" s="433">
        <f>E252*J243</f>
        <v>0</v>
      </c>
      <c r="N252" s="433"/>
      <c r="O252" s="597">
        <v>0</v>
      </c>
      <c r="P252" s="596">
        <f>F252</f>
        <v>0</v>
      </c>
      <c r="Q252" s="608">
        <v>0</v>
      </c>
      <c r="R252" s="433"/>
      <c r="S252" s="453">
        <f t="shared" si="19"/>
        <v>0</v>
      </c>
      <c r="T252" s="433"/>
      <c r="U252" s="753"/>
      <c r="V252" s="753"/>
      <c r="W252" s="753"/>
      <c r="X252" s="761"/>
      <c r="Y252" s="756"/>
      <c r="Z252" s="759"/>
      <c r="AA252" s="759"/>
      <c r="AB252" s="759"/>
      <c r="AC252" s="753"/>
      <c r="AD252" s="753"/>
      <c r="AE252" s="761"/>
      <c r="AF252" s="756"/>
      <c r="AG252" s="759"/>
      <c r="AH252" s="759"/>
      <c r="AI252" s="759"/>
      <c r="AJ252" s="753"/>
      <c r="AK252" s="753"/>
      <c r="AL252" s="761"/>
    </row>
    <row r="253" spans="2:38" x14ac:dyDescent="0.45">
      <c r="B253" s="813"/>
      <c r="C253" s="277"/>
      <c r="D253" s="279"/>
      <c r="E253" s="346"/>
      <c r="F253" s="207" t="s">
        <v>6</v>
      </c>
      <c r="G253" s="213" t="s">
        <v>111</v>
      </c>
      <c r="H253" s="244"/>
      <c r="I253" s="969"/>
      <c r="J253" s="475"/>
      <c r="K253" s="602"/>
      <c r="L253" s="433"/>
      <c r="M253" s="433"/>
      <c r="N253" s="433"/>
      <c r="O253" s="597"/>
      <c r="P253" s="596"/>
      <c r="Q253" s="608">
        <v>0</v>
      </c>
      <c r="R253" s="433"/>
      <c r="S253" s="433"/>
      <c r="T253" s="433"/>
      <c r="U253" s="433"/>
      <c r="V253" s="433"/>
      <c r="W253" s="433"/>
      <c r="X253" s="659"/>
      <c r="Y253" s="661"/>
      <c r="Z253" s="433"/>
      <c r="AA253" s="433"/>
      <c r="AB253" s="433"/>
      <c r="AC253" s="433"/>
      <c r="AD253" s="433"/>
      <c r="AE253" s="644"/>
      <c r="AF253" s="661"/>
      <c r="AG253" s="433"/>
      <c r="AH253" s="433"/>
      <c r="AI253" s="433"/>
      <c r="AJ253" s="433"/>
      <c r="AK253" s="433"/>
      <c r="AL253" s="644"/>
    </row>
    <row r="254" spans="2:38" x14ac:dyDescent="0.45">
      <c r="B254" s="813"/>
      <c r="C254" s="277"/>
      <c r="D254" s="279"/>
      <c r="E254" s="346"/>
      <c r="F254" s="207"/>
      <c r="G254" s="208"/>
      <c r="H254" s="209"/>
      <c r="I254" s="966"/>
      <c r="J254" s="475"/>
      <c r="K254" s="602"/>
      <c r="L254" s="433"/>
      <c r="M254" s="433"/>
      <c r="N254" s="433">
        <f>E254*J243</f>
        <v>0</v>
      </c>
      <c r="O254" s="597">
        <v>0</v>
      </c>
      <c r="P254" s="596">
        <v>0</v>
      </c>
      <c r="Q254" s="608">
        <f t="shared" ref="Q254" si="20">Q231</f>
        <v>0</v>
      </c>
      <c r="R254" s="433"/>
      <c r="S254" s="433"/>
      <c r="T254" s="453">
        <f>O254*Q254</f>
        <v>0</v>
      </c>
      <c r="U254" s="433"/>
      <c r="V254" s="433"/>
      <c r="W254" s="433"/>
      <c r="X254" s="659"/>
      <c r="Y254" s="661"/>
      <c r="Z254" s="433"/>
      <c r="AA254" s="433"/>
      <c r="AB254" s="433"/>
      <c r="AC254" s="433"/>
      <c r="AD254" s="433"/>
      <c r="AE254" s="644"/>
      <c r="AF254" s="661"/>
      <c r="AG254" s="433"/>
      <c r="AH254" s="433"/>
      <c r="AI254" s="433"/>
      <c r="AJ254" s="433"/>
      <c r="AK254" s="433"/>
      <c r="AL254" s="644"/>
    </row>
    <row r="255" spans="2:38" x14ac:dyDescent="0.45">
      <c r="B255" s="813"/>
      <c r="C255" s="277"/>
      <c r="D255" s="279"/>
      <c r="E255" s="346"/>
      <c r="F255" s="207" t="s">
        <v>112</v>
      </c>
      <c r="G255" s="208" t="s">
        <v>113</v>
      </c>
      <c r="H255" s="209"/>
      <c r="I255" s="966"/>
      <c r="J255" s="475"/>
      <c r="K255" s="602"/>
      <c r="L255" s="433"/>
      <c r="M255" s="433"/>
      <c r="N255" s="433"/>
      <c r="O255" s="433"/>
      <c r="P255" s="433"/>
      <c r="Q255" s="595"/>
      <c r="R255" s="433"/>
      <c r="S255" s="433"/>
      <c r="T255" s="433"/>
      <c r="U255" s="433"/>
      <c r="V255" s="433"/>
      <c r="W255" s="433"/>
      <c r="X255" s="659"/>
      <c r="Y255" s="661"/>
      <c r="Z255" s="433"/>
      <c r="AA255" s="433"/>
      <c r="AB255" s="433"/>
      <c r="AC255" s="433"/>
      <c r="AD255" s="433"/>
      <c r="AE255" s="644"/>
      <c r="AF255" s="661"/>
      <c r="AG255" s="433"/>
      <c r="AH255" s="433"/>
      <c r="AI255" s="433"/>
      <c r="AJ255" s="433"/>
      <c r="AK255" s="433"/>
      <c r="AL255" s="644"/>
    </row>
    <row r="256" spans="2:38" x14ac:dyDescent="0.45">
      <c r="B256" s="813"/>
      <c r="C256" s="277"/>
      <c r="D256" s="343"/>
      <c r="E256" s="347"/>
      <c r="F256" s="239" t="s">
        <v>114</v>
      </c>
      <c r="G256" s="257" t="s">
        <v>166</v>
      </c>
      <c r="H256" s="229"/>
      <c r="I256" s="980">
        <v>0.15</v>
      </c>
      <c r="J256" s="475"/>
      <c r="K256" s="602"/>
      <c r="L256" s="433"/>
      <c r="M256" s="433"/>
      <c r="N256" s="433"/>
      <c r="O256" s="433"/>
      <c r="P256" s="433"/>
      <c r="Q256" s="595"/>
      <c r="R256" s="433"/>
      <c r="S256" s="433"/>
      <c r="T256" s="433"/>
      <c r="U256" s="433"/>
      <c r="V256" s="433"/>
      <c r="W256" s="433"/>
      <c r="X256" s="659"/>
      <c r="Y256" s="661"/>
      <c r="Z256" s="433"/>
      <c r="AA256" s="433"/>
      <c r="AB256" s="433"/>
      <c r="AC256" s="433"/>
      <c r="AD256" s="433"/>
      <c r="AE256" s="644"/>
      <c r="AF256" s="661"/>
      <c r="AG256" s="433"/>
      <c r="AH256" s="433"/>
      <c r="AI256" s="433"/>
      <c r="AJ256" s="433"/>
      <c r="AK256" s="433"/>
      <c r="AL256" s="644"/>
    </row>
    <row r="257" spans="2:38" ht="17" thickBot="1" x14ac:dyDescent="0.5">
      <c r="B257" s="830"/>
      <c r="C257" s="831"/>
      <c r="D257" s="832"/>
      <c r="E257" s="833"/>
      <c r="F257" s="834" t="s">
        <v>115</v>
      </c>
      <c r="G257" s="816" t="s">
        <v>127</v>
      </c>
      <c r="H257" s="835"/>
      <c r="I257" s="981"/>
      <c r="J257" s="793"/>
      <c r="K257" s="763"/>
      <c r="L257" s="655"/>
      <c r="M257" s="655"/>
      <c r="N257" s="655"/>
      <c r="O257" s="655"/>
      <c r="P257" s="655"/>
      <c r="Q257" s="654"/>
      <c r="R257" s="655"/>
      <c r="S257" s="655"/>
      <c r="T257" s="655"/>
      <c r="U257" s="655"/>
      <c r="V257" s="655"/>
      <c r="W257" s="655"/>
      <c r="X257" s="660"/>
      <c r="Y257" s="662"/>
      <c r="Z257" s="655"/>
      <c r="AA257" s="655"/>
      <c r="AB257" s="655"/>
      <c r="AC257" s="655"/>
      <c r="AD257" s="655"/>
      <c r="AE257" s="656"/>
      <c r="AF257" s="662"/>
      <c r="AG257" s="655"/>
      <c r="AH257" s="655"/>
      <c r="AI257" s="655"/>
      <c r="AJ257" s="655"/>
      <c r="AK257" s="655"/>
      <c r="AL257" s="656"/>
    </row>
    <row r="258" spans="2:38" x14ac:dyDescent="0.45">
      <c r="D258" s="112"/>
      <c r="E258" s="195"/>
      <c r="G258" s="111"/>
      <c r="H258" s="111"/>
      <c r="I258" s="111"/>
      <c r="Z258" s="657"/>
      <c r="AA258" s="657"/>
      <c r="AB258" s="657"/>
      <c r="AC258" s="657"/>
      <c r="AD258" s="657"/>
      <c r="AE258" s="657"/>
      <c r="AG258" s="657"/>
      <c r="AH258" s="657"/>
      <c r="AI258" s="657"/>
      <c r="AJ258" s="657"/>
      <c r="AK258" s="657"/>
      <c r="AL258" s="657"/>
    </row>
    <row r="259" spans="2:38" ht="17" thickBot="1" x14ac:dyDescent="0.5">
      <c r="B259" s="749" t="s">
        <v>646</v>
      </c>
      <c r="C259" s="750" t="s">
        <v>647</v>
      </c>
      <c r="D259" s="241"/>
      <c r="E259" s="241"/>
      <c r="F259" s="276"/>
      <c r="G259" s="240"/>
      <c r="H259" s="241"/>
      <c r="I259" s="241"/>
      <c r="J259" s="604"/>
      <c r="K259" s="603"/>
      <c r="L259" s="604"/>
      <c r="M259" s="604"/>
      <c r="N259" s="604"/>
      <c r="O259" s="604"/>
      <c r="P259" s="604"/>
      <c r="Q259" s="604"/>
      <c r="R259" s="609"/>
      <c r="S259" s="609"/>
      <c r="T259" s="609"/>
      <c r="U259" s="609"/>
      <c r="V259" s="609"/>
      <c r="W259" s="609"/>
      <c r="X259" s="609"/>
      <c r="Y259" s="609"/>
      <c r="Z259" s="609"/>
      <c r="AA259" s="609"/>
      <c r="AB259" s="609"/>
      <c r="AC259" s="609"/>
      <c r="AD259" s="609"/>
      <c r="AE259" s="609"/>
      <c r="AF259" s="609"/>
      <c r="AG259" s="609"/>
      <c r="AH259" s="609"/>
      <c r="AI259" s="609"/>
      <c r="AJ259" s="609"/>
      <c r="AK259" s="609"/>
      <c r="AL259" s="609"/>
    </row>
    <row r="260" spans="2:38" ht="19.5" customHeight="1" x14ac:dyDescent="0.45">
      <c r="B260" s="1168" t="s">
        <v>99</v>
      </c>
      <c r="C260" s="1171" t="s">
        <v>100</v>
      </c>
      <c r="D260" s="1171" t="s">
        <v>89</v>
      </c>
      <c r="E260" s="1171" t="s">
        <v>101</v>
      </c>
      <c r="F260" s="1171" t="s">
        <v>102</v>
      </c>
      <c r="G260" s="1109" t="s">
        <v>103</v>
      </c>
      <c r="H260" s="1110"/>
      <c r="I260" s="1175"/>
      <c r="J260" s="1152" t="s">
        <v>539</v>
      </c>
      <c r="K260" s="1152"/>
      <c r="L260" s="1152"/>
      <c r="M260" s="1152"/>
      <c r="N260" s="1152"/>
      <c r="O260" s="1152"/>
      <c r="P260" s="1152"/>
      <c r="Q260" s="1152"/>
      <c r="R260" s="1152"/>
      <c r="S260" s="1152"/>
      <c r="T260" s="1152"/>
      <c r="U260" s="1152"/>
      <c r="V260" s="1152"/>
      <c r="W260" s="1152"/>
      <c r="X260" s="1152"/>
      <c r="Y260" s="1153" t="s">
        <v>540</v>
      </c>
      <c r="Z260" s="1154"/>
      <c r="AA260" s="1154"/>
      <c r="AB260" s="1154"/>
      <c r="AC260" s="1154"/>
      <c r="AD260" s="1154"/>
      <c r="AE260" s="1155"/>
      <c r="AF260" s="1156" t="s">
        <v>541</v>
      </c>
      <c r="AG260" s="1157"/>
      <c r="AH260" s="1157"/>
      <c r="AI260" s="1157"/>
      <c r="AJ260" s="1157"/>
      <c r="AK260" s="1157"/>
      <c r="AL260" s="1158"/>
    </row>
    <row r="261" spans="2:38" ht="45" x14ac:dyDescent="0.45">
      <c r="B261" s="1169"/>
      <c r="C261" s="1089"/>
      <c r="D261" s="1089"/>
      <c r="E261" s="1089"/>
      <c r="F261" s="1089"/>
      <c r="G261" s="1026"/>
      <c r="H261" s="1027"/>
      <c r="I261" s="1176"/>
      <c r="J261" s="1173" t="s">
        <v>15</v>
      </c>
      <c r="K261" s="673" t="s">
        <v>493</v>
      </c>
      <c r="L261" s="1161" t="s">
        <v>491</v>
      </c>
      <c r="M261" s="1162"/>
      <c r="N261" s="1162"/>
      <c r="O261" s="1162"/>
      <c r="P261" s="1163"/>
      <c r="Q261" s="674" t="s">
        <v>533</v>
      </c>
      <c r="R261" s="1161" t="s">
        <v>501</v>
      </c>
      <c r="S261" s="1162"/>
      <c r="T261" s="1163"/>
      <c r="U261" s="674" t="s">
        <v>530</v>
      </c>
      <c r="V261" s="674" t="s">
        <v>531</v>
      </c>
      <c r="W261" s="674" t="s">
        <v>578</v>
      </c>
      <c r="X261" s="681" t="s">
        <v>579</v>
      </c>
      <c r="Y261" s="1164" t="s">
        <v>534</v>
      </c>
      <c r="Z261" s="1165"/>
      <c r="AA261" s="663" t="s">
        <v>537</v>
      </c>
      <c r="AB261" s="664" t="s">
        <v>538</v>
      </c>
      <c r="AC261" s="665" t="s">
        <v>530</v>
      </c>
      <c r="AD261" s="665" t="s">
        <v>578</v>
      </c>
      <c r="AE261" s="682" t="s">
        <v>579</v>
      </c>
      <c r="AF261" s="1166" t="s">
        <v>542</v>
      </c>
      <c r="AG261" s="1167"/>
      <c r="AH261" s="737" t="s">
        <v>543</v>
      </c>
      <c r="AI261" s="738" t="s">
        <v>544</v>
      </c>
      <c r="AJ261" s="739" t="s">
        <v>530</v>
      </c>
      <c r="AK261" s="739" t="s">
        <v>578</v>
      </c>
      <c r="AL261" s="740" t="s">
        <v>579</v>
      </c>
    </row>
    <row r="262" spans="2:38" ht="30" x14ac:dyDescent="0.45">
      <c r="B262" s="1170"/>
      <c r="C262" s="1090"/>
      <c r="D262" s="1090"/>
      <c r="E262" s="1090"/>
      <c r="F262" s="1090"/>
      <c r="G262" s="1085"/>
      <c r="H262" s="1086"/>
      <c r="I262" s="1177"/>
      <c r="J262" s="1174"/>
      <c r="K262" s="675" t="s">
        <v>495</v>
      </c>
      <c r="L262" s="676" t="s">
        <v>524</v>
      </c>
      <c r="M262" s="676" t="s">
        <v>525</v>
      </c>
      <c r="N262" s="676" t="s">
        <v>526</v>
      </c>
      <c r="O262" s="675" t="s">
        <v>517</v>
      </c>
      <c r="P262" s="675" t="s">
        <v>290</v>
      </c>
      <c r="Q262" s="675" t="s">
        <v>532</v>
      </c>
      <c r="R262" s="676" t="s">
        <v>527</v>
      </c>
      <c r="S262" s="676" t="s">
        <v>528</v>
      </c>
      <c r="T262" s="677" t="s">
        <v>529</v>
      </c>
      <c r="U262" s="675" t="s">
        <v>502</v>
      </c>
      <c r="V262" s="675" t="s">
        <v>502</v>
      </c>
      <c r="W262" s="675" t="s">
        <v>502</v>
      </c>
      <c r="X262" s="678" t="s">
        <v>504</v>
      </c>
      <c r="Y262" s="666" t="s">
        <v>535</v>
      </c>
      <c r="Z262" s="667" t="s">
        <v>536</v>
      </c>
      <c r="AA262" s="668" t="s">
        <v>532</v>
      </c>
      <c r="AB262" s="668" t="s">
        <v>532</v>
      </c>
      <c r="AC262" s="668" t="s">
        <v>532</v>
      </c>
      <c r="AD262" s="668" t="s">
        <v>532</v>
      </c>
      <c r="AE262" s="669" t="s">
        <v>532</v>
      </c>
      <c r="AF262" s="741" t="s">
        <v>535</v>
      </c>
      <c r="AG262" s="742" t="s">
        <v>536</v>
      </c>
      <c r="AH262" s="743" t="s">
        <v>532</v>
      </c>
      <c r="AI262" s="743" t="s">
        <v>532</v>
      </c>
      <c r="AJ262" s="743" t="s">
        <v>532</v>
      </c>
      <c r="AK262" s="743" t="s">
        <v>532</v>
      </c>
      <c r="AL262" s="744" t="s">
        <v>532</v>
      </c>
    </row>
    <row r="263" spans="2:38" ht="30" x14ac:dyDescent="0.45">
      <c r="B263" s="639" t="s">
        <v>4</v>
      </c>
      <c r="C263" s="600" t="s">
        <v>5</v>
      </c>
      <c r="D263" s="570" t="s">
        <v>6</v>
      </c>
      <c r="E263" s="570" t="s">
        <v>112</v>
      </c>
      <c r="F263" s="570" t="s">
        <v>114</v>
      </c>
      <c r="G263" s="1014" t="s">
        <v>115</v>
      </c>
      <c r="H263" s="1014"/>
      <c r="I263" s="1172"/>
      <c r="J263" s="791" t="s">
        <v>21</v>
      </c>
      <c r="K263" s="675" t="s">
        <v>496</v>
      </c>
      <c r="L263" s="675" t="s">
        <v>497</v>
      </c>
      <c r="M263" s="675" t="s">
        <v>498</v>
      </c>
      <c r="N263" s="675" t="s">
        <v>499</v>
      </c>
      <c r="O263" s="676" t="s">
        <v>552</v>
      </c>
      <c r="P263" s="675" t="s">
        <v>512</v>
      </c>
      <c r="Q263" s="675" t="s">
        <v>503</v>
      </c>
      <c r="R263" s="675" t="s">
        <v>553</v>
      </c>
      <c r="S263" s="675" t="s">
        <v>513</v>
      </c>
      <c r="T263" s="675" t="s">
        <v>514</v>
      </c>
      <c r="U263" s="675" t="s">
        <v>554</v>
      </c>
      <c r="V263" s="675" t="s">
        <v>515</v>
      </c>
      <c r="W263" s="675" t="s">
        <v>555</v>
      </c>
      <c r="X263" s="678" t="s">
        <v>516</v>
      </c>
      <c r="Y263" s="670" t="s">
        <v>556</v>
      </c>
      <c r="Z263" s="671" t="s">
        <v>557</v>
      </c>
      <c r="AA263" s="671" t="s">
        <v>558</v>
      </c>
      <c r="AB263" s="671" t="s">
        <v>559</v>
      </c>
      <c r="AC263" s="671" t="s">
        <v>560</v>
      </c>
      <c r="AD263" s="671" t="s">
        <v>561</v>
      </c>
      <c r="AE263" s="672" t="s">
        <v>562</v>
      </c>
      <c r="AF263" s="745" t="s">
        <v>563</v>
      </c>
      <c r="AG263" s="746" t="s">
        <v>564</v>
      </c>
      <c r="AH263" s="746" t="s">
        <v>565</v>
      </c>
      <c r="AI263" s="746" t="s">
        <v>566</v>
      </c>
      <c r="AJ263" s="746" t="s">
        <v>567</v>
      </c>
      <c r="AK263" s="746" t="s">
        <v>568</v>
      </c>
      <c r="AL263" s="747" t="s">
        <v>569</v>
      </c>
    </row>
    <row r="264" spans="2:38" ht="15.5" x14ac:dyDescent="0.45">
      <c r="B264" s="799">
        <v>12</v>
      </c>
      <c r="C264" s="508" t="s">
        <v>47</v>
      </c>
      <c r="D264" s="583"/>
      <c r="E264" s="521">
        <v>1</v>
      </c>
      <c r="F264" s="583" t="s">
        <v>30</v>
      </c>
      <c r="G264" s="585" t="s">
        <v>92</v>
      </c>
      <c r="H264" s="562"/>
      <c r="I264" s="975"/>
      <c r="J264" s="789"/>
      <c r="K264" s="789"/>
      <c r="L264" s="789"/>
      <c r="M264" s="789"/>
      <c r="N264" s="789"/>
      <c r="O264" s="789"/>
      <c r="P264" s="789"/>
      <c r="Q264" s="789"/>
      <c r="R264" s="789"/>
      <c r="S264" s="789"/>
      <c r="T264" s="789"/>
      <c r="U264" s="789"/>
      <c r="V264" s="789"/>
      <c r="W264" s="789"/>
      <c r="X264" s="789"/>
      <c r="Y264" s="789"/>
      <c r="Z264" s="789"/>
      <c r="AA264" s="789"/>
      <c r="AB264" s="789"/>
      <c r="AC264" s="789"/>
      <c r="AD264" s="789"/>
      <c r="AE264" s="789"/>
      <c r="AF264" s="789"/>
      <c r="AG264" s="789"/>
      <c r="AH264" s="789"/>
      <c r="AI264" s="789"/>
      <c r="AJ264" s="789"/>
      <c r="AK264" s="789"/>
      <c r="AL264" s="790"/>
    </row>
    <row r="265" spans="2:38" x14ac:dyDescent="0.45">
      <c r="B265" s="849"/>
      <c r="C265" s="307"/>
      <c r="D265" s="230"/>
      <c r="E265" s="359"/>
      <c r="F265" s="207" t="s">
        <v>4</v>
      </c>
      <c r="G265" s="231" t="s">
        <v>120</v>
      </c>
      <c r="H265" s="209"/>
      <c r="I265" s="966"/>
      <c r="J265" s="792">
        <f>RAP!E43</f>
        <v>90.29</v>
      </c>
      <c r="K265" s="601">
        <v>2</v>
      </c>
      <c r="L265" s="319"/>
      <c r="M265" s="319"/>
      <c r="N265" s="319"/>
      <c r="O265" s="598"/>
      <c r="P265" s="598"/>
      <c r="Q265" s="605"/>
      <c r="R265" s="485"/>
      <c r="S265" s="485"/>
      <c r="T265" s="485"/>
      <c r="U265" s="752">
        <f>SUM(R265:R279)+(SUM(S265:S279)+SUM(T265:T279))</f>
        <v>12506000</v>
      </c>
      <c r="V265" s="754">
        <f>RAP!H43</f>
        <v>14965522.359999999</v>
      </c>
      <c r="W265" s="752">
        <f>V265-U265</f>
        <v>2459522.3599999994</v>
      </c>
      <c r="X265" s="760">
        <f>W265/V265*100</f>
        <v>16.434590793662078</v>
      </c>
      <c r="Y265" s="755">
        <f>SUM(R265:R279)/J265</f>
        <v>64680.474028131568</v>
      </c>
      <c r="Z265" s="757">
        <v>60000</v>
      </c>
      <c r="AA265" s="758">
        <f>J265*Z265</f>
        <v>5417400</v>
      </c>
      <c r="AB265" s="758">
        <f>SUM(S265:S279)+SUM(T265:T279)</f>
        <v>6666000</v>
      </c>
      <c r="AC265" s="752">
        <f>AA265+AB265</f>
        <v>12083400</v>
      </c>
      <c r="AD265" s="752">
        <f>V265-AC265</f>
        <v>2882122.3599999994</v>
      </c>
      <c r="AE265" s="760">
        <f>AD265/V265*100</f>
        <v>19.258414712628845</v>
      </c>
      <c r="AF265" s="755">
        <f>(SUM(R265:R279)+SUM(S265:S279))/J265</f>
        <v>138509.24797873519</v>
      </c>
      <c r="AG265" s="757">
        <v>130000</v>
      </c>
      <c r="AH265" s="758">
        <f>AG265*J265</f>
        <v>11737700</v>
      </c>
      <c r="AI265" s="758">
        <f>SUM(T265:T279)</f>
        <v>0</v>
      </c>
      <c r="AJ265" s="752">
        <f>AH265+AI265</f>
        <v>11737700</v>
      </c>
      <c r="AK265" s="752">
        <f>V265-AJ265</f>
        <v>3227822.3599999994</v>
      </c>
      <c r="AL265" s="760">
        <f>AK265/V265*100</f>
        <v>21.568390881078471</v>
      </c>
    </row>
    <row r="266" spans="2:38" ht="15.5" x14ac:dyDescent="0.45">
      <c r="B266" s="850"/>
      <c r="C266" s="277"/>
      <c r="D266" s="211" t="s">
        <v>107</v>
      </c>
      <c r="E266" s="222">
        <v>0.52</v>
      </c>
      <c r="F266" s="211" t="s">
        <v>108</v>
      </c>
      <c r="G266" s="209" t="s">
        <v>51</v>
      </c>
      <c r="H266" s="209"/>
      <c r="I266" s="966"/>
      <c r="J266" s="475"/>
      <c r="K266" s="602"/>
      <c r="L266" s="433">
        <f>E266*J265/K265</f>
        <v>23.475400000000004</v>
      </c>
      <c r="M266" s="433"/>
      <c r="N266" s="433"/>
      <c r="O266" s="597">
        <v>24</v>
      </c>
      <c r="P266" s="596" t="str">
        <f>F266</f>
        <v>OH</v>
      </c>
      <c r="Q266" s="608">
        <f>Q244</f>
        <v>75000</v>
      </c>
      <c r="R266" s="453">
        <f>O266*Q266*K265</f>
        <v>3600000</v>
      </c>
      <c r="S266" s="453"/>
      <c r="T266" s="453"/>
      <c r="U266" s="753"/>
      <c r="V266" s="753"/>
      <c r="W266" s="753"/>
      <c r="X266" s="761"/>
      <c r="Y266" s="756"/>
      <c r="Z266" s="759"/>
      <c r="AA266" s="759"/>
      <c r="AB266" s="759"/>
      <c r="AC266" s="753"/>
      <c r="AD266" s="753"/>
      <c r="AE266" s="761"/>
      <c r="AF266" s="756"/>
      <c r="AG266" s="759"/>
      <c r="AH266" s="759"/>
      <c r="AI266" s="759"/>
      <c r="AJ266" s="753"/>
      <c r="AK266" s="753"/>
      <c r="AL266" s="761"/>
    </row>
    <row r="267" spans="2:38" ht="15.5" x14ac:dyDescent="0.45">
      <c r="B267" s="850"/>
      <c r="C267" s="277"/>
      <c r="D267" s="211" t="s">
        <v>121</v>
      </c>
      <c r="E267" s="222">
        <v>0.26</v>
      </c>
      <c r="F267" s="211" t="s">
        <v>108</v>
      </c>
      <c r="G267" s="209" t="s">
        <v>56</v>
      </c>
      <c r="H267" s="209"/>
      <c r="I267" s="966"/>
      <c r="J267" s="475"/>
      <c r="K267" s="602"/>
      <c r="L267" s="433">
        <f>E267*J265/K265</f>
        <v>11.737700000000002</v>
      </c>
      <c r="M267" s="433"/>
      <c r="N267" s="433"/>
      <c r="O267" s="597">
        <v>12</v>
      </c>
      <c r="P267" s="596" t="str">
        <f>F267</f>
        <v>OH</v>
      </c>
      <c r="Q267" s="608">
        <f t="shared" ref="Q267:Q273" si="21">Q245</f>
        <v>85000</v>
      </c>
      <c r="R267" s="453">
        <f>O267*Q267*K265</f>
        <v>2040000</v>
      </c>
      <c r="S267" s="453"/>
      <c r="T267" s="453"/>
      <c r="U267" s="753"/>
      <c r="V267" s="753"/>
      <c r="W267" s="753"/>
      <c r="X267" s="761"/>
      <c r="Y267" s="756"/>
      <c r="Z267" s="759"/>
      <c r="AA267" s="759"/>
      <c r="AB267" s="759"/>
      <c r="AC267" s="753"/>
      <c r="AD267" s="753"/>
      <c r="AE267" s="761"/>
      <c r="AF267" s="756"/>
      <c r="AG267" s="759"/>
      <c r="AH267" s="759"/>
      <c r="AI267" s="759"/>
      <c r="AJ267" s="753"/>
      <c r="AK267" s="753"/>
      <c r="AL267" s="761"/>
    </row>
    <row r="268" spans="2:38" ht="15.5" x14ac:dyDescent="0.45">
      <c r="B268" s="850"/>
      <c r="C268" s="277"/>
      <c r="D268" s="211" t="s">
        <v>122</v>
      </c>
      <c r="E268" s="299">
        <v>2.5999999999999999E-2</v>
      </c>
      <c r="F268" s="211" t="s">
        <v>108</v>
      </c>
      <c r="G268" s="209" t="s">
        <v>123</v>
      </c>
      <c r="H268" s="209"/>
      <c r="I268" s="966"/>
      <c r="J268" s="475"/>
      <c r="K268" s="602"/>
      <c r="L268" s="433">
        <f>E268*J265/K265</f>
        <v>1.17377</v>
      </c>
      <c r="M268" s="433"/>
      <c r="N268" s="433"/>
      <c r="O268" s="597">
        <v>0</v>
      </c>
      <c r="P268" s="596" t="str">
        <f>F268</f>
        <v>OH</v>
      </c>
      <c r="Q268" s="608">
        <f t="shared" si="21"/>
        <v>90000</v>
      </c>
      <c r="R268" s="453">
        <f>O268*Q268*K265</f>
        <v>0</v>
      </c>
      <c r="S268" s="453"/>
      <c r="T268" s="453"/>
      <c r="U268" s="753"/>
      <c r="V268" s="753"/>
      <c r="W268" s="753"/>
      <c r="X268" s="761"/>
      <c r="Y268" s="756"/>
      <c r="Z268" s="759"/>
      <c r="AA268" s="759"/>
      <c r="AB268" s="759"/>
      <c r="AC268" s="753"/>
      <c r="AD268" s="753"/>
      <c r="AE268" s="761"/>
      <c r="AF268" s="756"/>
      <c r="AG268" s="759"/>
      <c r="AH268" s="759"/>
      <c r="AI268" s="759"/>
      <c r="AJ268" s="753"/>
      <c r="AK268" s="753"/>
      <c r="AL268" s="761"/>
    </row>
    <row r="269" spans="2:38" ht="15.5" x14ac:dyDescent="0.45">
      <c r="B269" s="850"/>
      <c r="C269" s="277"/>
      <c r="D269" s="253" t="s">
        <v>109</v>
      </c>
      <c r="E269" s="300">
        <v>2.5999999999999999E-2</v>
      </c>
      <c r="F269" s="253" t="s">
        <v>108</v>
      </c>
      <c r="G269" s="229" t="s">
        <v>52</v>
      </c>
      <c r="H269" s="229"/>
      <c r="I269" s="967"/>
      <c r="J269" s="475"/>
      <c r="K269" s="602"/>
      <c r="L269" s="433">
        <f>E269*J265/K265</f>
        <v>1.17377</v>
      </c>
      <c r="M269" s="433"/>
      <c r="N269" s="433"/>
      <c r="O269" s="597">
        <v>1</v>
      </c>
      <c r="P269" s="596" t="str">
        <f>F269</f>
        <v>OH</v>
      </c>
      <c r="Q269" s="608">
        <f t="shared" si="21"/>
        <v>100000</v>
      </c>
      <c r="R269" s="453">
        <f>O269*Q269*K265</f>
        <v>200000</v>
      </c>
      <c r="S269" s="453"/>
      <c r="T269" s="453"/>
      <c r="U269" s="753"/>
      <c r="V269" s="753"/>
      <c r="W269" s="753"/>
      <c r="X269" s="761"/>
      <c r="Y269" s="756"/>
      <c r="Z269" s="759"/>
      <c r="AA269" s="759"/>
      <c r="AB269" s="759"/>
      <c r="AC269" s="753"/>
      <c r="AD269" s="753"/>
      <c r="AE269" s="761"/>
      <c r="AF269" s="756"/>
      <c r="AG269" s="759"/>
      <c r="AH269" s="759"/>
      <c r="AI269" s="759"/>
      <c r="AJ269" s="753"/>
      <c r="AK269" s="753"/>
      <c r="AL269" s="761"/>
    </row>
    <row r="270" spans="2:38" x14ac:dyDescent="0.45">
      <c r="B270" s="850"/>
      <c r="C270" s="277"/>
      <c r="D270" s="230"/>
      <c r="E270" s="361"/>
      <c r="F270" s="207" t="s">
        <v>5</v>
      </c>
      <c r="G270" s="231" t="s">
        <v>139</v>
      </c>
      <c r="H270" s="209"/>
      <c r="I270" s="966"/>
      <c r="J270" s="475"/>
      <c r="K270" s="602"/>
      <c r="L270" s="433"/>
      <c r="M270" s="433"/>
      <c r="N270" s="433"/>
      <c r="O270" s="597"/>
      <c r="P270" s="596"/>
      <c r="Q270" s="608">
        <f t="shared" si="21"/>
        <v>0</v>
      </c>
      <c r="R270" s="453"/>
      <c r="S270" s="453"/>
      <c r="T270" s="453"/>
      <c r="U270" s="753"/>
      <c r="V270" s="753"/>
      <c r="W270" s="753"/>
      <c r="X270" s="761"/>
      <c r="Y270" s="756"/>
      <c r="Z270" s="759"/>
      <c r="AA270" s="759"/>
      <c r="AB270" s="759"/>
      <c r="AC270" s="753"/>
      <c r="AD270" s="753"/>
      <c r="AE270" s="761"/>
      <c r="AF270" s="756"/>
      <c r="AG270" s="759"/>
      <c r="AH270" s="759"/>
      <c r="AI270" s="759"/>
      <c r="AJ270" s="753"/>
      <c r="AK270" s="753"/>
      <c r="AL270" s="761"/>
    </row>
    <row r="271" spans="2:38" x14ac:dyDescent="0.45">
      <c r="B271" s="850"/>
      <c r="C271" s="277"/>
      <c r="D271" s="230"/>
      <c r="E271" s="299">
        <v>2.3E-2</v>
      </c>
      <c r="F271" s="211" t="s">
        <v>65</v>
      </c>
      <c r="G271" s="209" t="s">
        <v>143</v>
      </c>
      <c r="H271" s="209"/>
      <c r="I271" s="966"/>
      <c r="J271" s="475"/>
      <c r="K271" s="602"/>
      <c r="L271" s="433"/>
      <c r="M271" s="433">
        <f>E271*J265</f>
        <v>2.07667</v>
      </c>
      <c r="N271" s="433"/>
      <c r="O271" s="597">
        <v>2</v>
      </c>
      <c r="P271" s="596" t="str">
        <f>F271</f>
        <v>m3</v>
      </c>
      <c r="Q271" s="608">
        <f t="shared" si="21"/>
        <v>3000000</v>
      </c>
      <c r="R271" s="453"/>
      <c r="S271" s="453">
        <f t="shared" ref="S271:S274" si="22">O271*Q271</f>
        <v>6000000</v>
      </c>
      <c r="T271" s="453"/>
      <c r="U271" s="753"/>
      <c r="V271" s="753"/>
      <c r="W271" s="753"/>
      <c r="X271" s="761"/>
      <c r="Y271" s="756"/>
      <c r="Z271" s="759"/>
      <c r="AA271" s="759"/>
      <c r="AB271" s="759"/>
      <c r="AC271" s="753"/>
      <c r="AD271" s="753"/>
      <c r="AE271" s="761"/>
      <c r="AF271" s="756"/>
      <c r="AG271" s="759"/>
      <c r="AH271" s="759"/>
      <c r="AI271" s="759"/>
      <c r="AJ271" s="753"/>
      <c r="AK271" s="753"/>
      <c r="AL271" s="761"/>
    </row>
    <row r="272" spans="2:38" x14ac:dyDescent="0.45">
      <c r="B272" s="850"/>
      <c r="C272" s="277"/>
      <c r="D272" s="230"/>
      <c r="E272" s="298">
        <v>0.3</v>
      </c>
      <c r="F272" s="211" t="s">
        <v>39</v>
      </c>
      <c r="G272" s="209" t="s">
        <v>141</v>
      </c>
      <c r="H272" s="209"/>
      <c r="I272" s="966"/>
      <c r="J272" s="475"/>
      <c r="K272" s="602"/>
      <c r="L272" s="433"/>
      <c r="M272" s="433">
        <f>E272*J265</f>
        <v>27.087</v>
      </c>
      <c r="N272" s="433"/>
      <c r="O272" s="597">
        <v>27</v>
      </c>
      <c r="P272" s="596" t="str">
        <f>F272</f>
        <v>Kg</v>
      </c>
      <c r="Q272" s="608">
        <f t="shared" si="21"/>
        <v>20000</v>
      </c>
      <c r="R272" s="433"/>
      <c r="S272" s="453">
        <f t="shared" si="22"/>
        <v>540000</v>
      </c>
      <c r="T272" s="433"/>
      <c r="U272" s="753"/>
      <c r="V272" s="753"/>
      <c r="W272" s="753"/>
      <c r="X272" s="761"/>
      <c r="Y272" s="756"/>
      <c r="Z272" s="759"/>
      <c r="AA272" s="759"/>
      <c r="AB272" s="759"/>
      <c r="AC272" s="753"/>
      <c r="AD272" s="753"/>
      <c r="AE272" s="761"/>
      <c r="AF272" s="756"/>
      <c r="AG272" s="759"/>
      <c r="AH272" s="759"/>
      <c r="AI272" s="759"/>
      <c r="AJ272" s="753"/>
      <c r="AK272" s="753"/>
      <c r="AL272" s="761"/>
    </row>
    <row r="273" spans="2:38" x14ac:dyDescent="0.45">
      <c r="B273" s="850"/>
      <c r="C273" s="277"/>
      <c r="D273" s="238"/>
      <c r="E273" s="318">
        <v>0.1</v>
      </c>
      <c r="F273" s="253" t="s">
        <v>132</v>
      </c>
      <c r="G273" s="229" t="s">
        <v>142</v>
      </c>
      <c r="H273" s="229"/>
      <c r="I273" s="967"/>
      <c r="J273" s="475"/>
      <c r="K273" s="602"/>
      <c r="L273" s="433"/>
      <c r="M273" s="433">
        <f>E273*J265</f>
        <v>9.0290000000000017</v>
      </c>
      <c r="N273" s="433"/>
      <c r="O273" s="597">
        <v>9</v>
      </c>
      <c r="P273" s="596" t="str">
        <f>F273</f>
        <v>Ltr</v>
      </c>
      <c r="Q273" s="608">
        <f t="shared" si="21"/>
        <v>14000</v>
      </c>
      <c r="R273" s="433"/>
      <c r="S273" s="453">
        <f t="shared" si="22"/>
        <v>126000</v>
      </c>
      <c r="T273" s="433"/>
      <c r="U273" s="753"/>
      <c r="V273" s="753"/>
      <c r="W273" s="753"/>
      <c r="X273" s="761"/>
      <c r="Y273" s="756"/>
      <c r="Z273" s="759"/>
      <c r="AA273" s="759"/>
      <c r="AB273" s="759"/>
      <c r="AC273" s="753"/>
      <c r="AD273" s="753"/>
      <c r="AE273" s="761"/>
      <c r="AF273" s="756"/>
      <c r="AG273" s="759"/>
      <c r="AH273" s="759"/>
      <c r="AI273" s="759"/>
      <c r="AJ273" s="753"/>
      <c r="AK273" s="753"/>
      <c r="AL273" s="761"/>
    </row>
    <row r="274" spans="2:38" x14ac:dyDescent="0.45">
      <c r="B274" s="850"/>
      <c r="C274" s="277"/>
      <c r="D274" s="230"/>
      <c r="E274" s="298"/>
      <c r="F274" s="211"/>
      <c r="G274" s="209"/>
      <c r="H274" s="209"/>
      <c r="I274" s="966"/>
      <c r="J274" s="475"/>
      <c r="K274" s="602"/>
      <c r="L274" s="433"/>
      <c r="M274" s="433">
        <f>E274*J265</f>
        <v>0</v>
      </c>
      <c r="N274" s="433"/>
      <c r="O274" s="597">
        <v>0</v>
      </c>
      <c r="P274" s="596">
        <f>F274</f>
        <v>0</v>
      </c>
      <c r="Q274" s="608">
        <f>Q252</f>
        <v>0</v>
      </c>
      <c r="R274" s="433"/>
      <c r="S274" s="453">
        <f t="shared" si="22"/>
        <v>0</v>
      </c>
      <c r="T274" s="433"/>
      <c r="U274" s="753"/>
      <c r="V274" s="753"/>
      <c r="W274" s="753"/>
      <c r="X274" s="761"/>
      <c r="Y274" s="756"/>
      <c r="Z274" s="759"/>
      <c r="AA274" s="759"/>
      <c r="AB274" s="759"/>
      <c r="AC274" s="753"/>
      <c r="AD274" s="753"/>
      <c r="AE274" s="761"/>
      <c r="AF274" s="756"/>
      <c r="AG274" s="759"/>
      <c r="AH274" s="759"/>
      <c r="AI274" s="759"/>
      <c r="AJ274" s="753"/>
      <c r="AK274" s="753"/>
      <c r="AL274" s="761"/>
    </row>
    <row r="275" spans="2:38" x14ac:dyDescent="0.45">
      <c r="B275" s="813"/>
      <c r="C275" s="277"/>
      <c r="D275" s="211"/>
      <c r="E275" s="346"/>
      <c r="F275" s="207" t="s">
        <v>6</v>
      </c>
      <c r="G275" s="208" t="s">
        <v>111</v>
      </c>
      <c r="H275" s="209"/>
      <c r="I275" s="966"/>
      <c r="J275" s="475"/>
      <c r="K275" s="602"/>
      <c r="L275" s="433"/>
      <c r="M275" s="433"/>
      <c r="N275" s="433"/>
      <c r="O275" s="597"/>
      <c r="P275" s="596"/>
      <c r="Q275" s="608">
        <f>Q253</f>
        <v>0</v>
      </c>
      <c r="R275" s="433"/>
      <c r="S275" s="433"/>
      <c r="T275" s="433"/>
      <c r="U275" s="433"/>
      <c r="V275" s="433"/>
      <c r="W275" s="433"/>
      <c r="X275" s="659"/>
      <c r="Y275" s="661"/>
      <c r="Z275" s="433"/>
      <c r="AA275" s="433"/>
      <c r="AB275" s="433"/>
      <c r="AC275" s="433"/>
      <c r="AD275" s="433"/>
      <c r="AE275" s="644"/>
      <c r="AF275" s="661"/>
      <c r="AG275" s="433"/>
      <c r="AH275" s="433"/>
      <c r="AI275" s="433"/>
      <c r="AJ275" s="433"/>
      <c r="AK275" s="433"/>
      <c r="AL275" s="644"/>
    </row>
    <row r="276" spans="2:38" x14ac:dyDescent="0.45">
      <c r="B276" s="813"/>
      <c r="C276" s="277"/>
      <c r="D276" s="211"/>
      <c r="E276" s="346"/>
      <c r="F276" s="207"/>
      <c r="G276" s="208"/>
      <c r="H276" s="209"/>
      <c r="I276" s="966"/>
      <c r="J276" s="475"/>
      <c r="K276" s="602"/>
      <c r="L276" s="433"/>
      <c r="M276" s="433"/>
      <c r="N276" s="433">
        <f>E276*J265</f>
        <v>0</v>
      </c>
      <c r="O276" s="597">
        <v>0</v>
      </c>
      <c r="P276" s="596">
        <v>0</v>
      </c>
      <c r="Q276" s="608">
        <f>Q254</f>
        <v>0</v>
      </c>
      <c r="R276" s="433"/>
      <c r="S276" s="433"/>
      <c r="T276" s="453">
        <f>O276*Q276</f>
        <v>0</v>
      </c>
      <c r="U276" s="433"/>
      <c r="V276" s="433"/>
      <c r="W276" s="433"/>
      <c r="X276" s="659"/>
      <c r="Y276" s="661"/>
      <c r="Z276" s="433"/>
      <c r="AA276" s="433"/>
      <c r="AB276" s="433"/>
      <c r="AC276" s="433"/>
      <c r="AD276" s="433"/>
      <c r="AE276" s="644"/>
      <c r="AF276" s="661"/>
      <c r="AG276" s="433"/>
      <c r="AH276" s="433"/>
      <c r="AI276" s="433"/>
      <c r="AJ276" s="433"/>
      <c r="AK276" s="433"/>
      <c r="AL276" s="644"/>
    </row>
    <row r="277" spans="2:38" x14ac:dyDescent="0.45">
      <c r="B277" s="813"/>
      <c r="C277" s="277"/>
      <c r="D277" s="211"/>
      <c r="E277" s="346"/>
      <c r="F277" s="207" t="s">
        <v>112</v>
      </c>
      <c r="G277" s="208" t="s">
        <v>113</v>
      </c>
      <c r="H277" s="209"/>
      <c r="I277" s="966"/>
      <c r="J277" s="475"/>
      <c r="K277" s="602"/>
      <c r="L277" s="433"/>
      <c r="M277" s="433"/>
      <c r="N277" s="433"/>
      <c r="O277" s="433"/>
      <c r="P277" s="433"/>
      <c r="Q277" s="595"/>
      <c r="R277" s="433"/>
      <c r="S277" s="433"/>
      <c r="T277" s="433"/>
      <c r="U277" s="433"/>
      <c r="V277" s="433"/>
      <c r="W277" s="433"/>
      <c r="X277" s="659"/>
      <c r="Y277" s="661"/>
      <c r="Z277" s="433"/>
      <c r="AA277" s="433"/>
      <c r="AB277" s="433"/>
      <c r="AC277" s="433"/>
      <c r="AD277" s="433"/>
      <c r="AE277" s="644"/>
      <c r="AF277" s="661"/>
      <c r="AG277" s="433"/>
      <c r="AH277" s="433"/>
      <c r="AI277" s="433"/>
      <c r="AJ277" s="433"/>
      <c r="AK277" s="433"/>
      <c r="AL277" s="644"/>
    </row>
    <row r="278" spans="2:38" x14ac:dyDescent="0.45">
      <c r="B278" s="813"/>
      <c r="C278" s="277"/>
      <c r="D278" s="253"/>
      <c r="E278" s="347"/>
      <c r="F278" s="239" t="s">
        <v>114</v>
      </c>
      <c r="G278" s="257" t="s">
        <v>166</v>
      </c>
      <c r="H278" s="229"/>
      <c r="I278" s="980">
        <v>0.15</v>
      </c>
      <c r="J278" s="475"/>
      <c r="K278" s="602"/>
      <c r="L278" s="433"/>
      <c r="M278" s="433"/>
      <c r="N278" s="433"/>
      <c r="O278" s="433"/>
      <c r="P278" s="433"/>
      <c r="Q278" s="595"/>
      <c r="R278" s="433"/>
      <c r="S278" s="433"/>
      <c r="T278" s="433"/>
      <c r="U278" s="433"/>
      <c r="V278" s="433"/>
      <c r="W278" s="433"/>
      <c r="X278" s="659"/>
      <c r="Y278" s="661"/>
      <c r="Z278" s="433"/>
      <c r="AA278" s="433"/>
      <c r="AB278" s="433"/>
      <c r="AC278" s="433"/>
      <c r="AD278" s="433"/>
      <c r="AE278" s="644"/>
      <c r="AF278" s="661"/>
      <c r="AG278" s="433"/>
      <c r="AH278" s="433"/>
      <c r="AI278" s="433"/>
      <c r="AJ278" s="433"/>
      <c r="AK278" s="433"/>
      <c r="AL278" s="644"/>
    </row>
    <row r="279" spans="2:38" ht="17" thickBot="1" x14ac:dyDescent="0.5">
      <c r="B279" s="830"/>
      <c r="C279" s="831"/>
      <c r="D279" s="852"/>
      <c r="E279" s="833"/>
      <c r="F279" s="834" t="s">
        <v>115</v>
      </c>
      <c r="G279" s="816" t="s">
        <v>127</v>
      </c>
      <c r="H279" s="835"/>
      <c r="I279" s="981"/>
      <c r="J279" s="793"/>
      <c r="K279" s="763"/>
      <c r="L279" s="655"/>
      <c r="M279" s="655"/>
      <c r="N279" s="655"/>
      <c r="O279" s="655"/>
      <c r="P279" s="655"/>
      <c r="Q279" s="654"/>
      <c r="R279" s="655"/>
      <c r="S279" s="655"/>
      <c r="T279" s="655"/>
      <c r="U279" s="655"/>
      <c r="V279" s="655"/>
      <c r="W279" s="655"/>
      <c r="X279" s="660"/>
      <c r="Y279" s="662"/>
      <c r="Z279" s="655"/>
      <c r="AA279" s="655"/>
      <c r="AB279" s="655"/>
      <c r="AC279" s="655"/>
      <c r="AD279" s="655"/>
      <c r="AE279" s="656"/>
      <c r="AF279" s="662"/>
      <c r="AG279" s="655"/>
      <c r="AH279" s="655"/>
      <c r="AI279" s="655"/>
      <c r="AJ279" s="655"/>
      <c r="AK279" s="655"/>
      <c r="AL279" s="656"/>
    </row>
    <row r="280" spans="2:38" x14ac:dyDescent="0.45">
      <c r="D280" s="112"/>
      <c r="E280" s="195"/>
      <c r="G280" s="111"/>
      <c r="H280" s="111"/>
      <c r="I280" s="111"/>
      <c r="Z280" s="657"/>
      <c r="AA280" s="657"/>
      <c r="AB280" s="657"/>
      <c r="AC280" s="657"/>
      <c r="AD280" s="657"/>
      <c r="AE280" s="657"/>
      <c r="AG280" s="657"/>
      <c r="AH280" s="657"/>
      <c r="AI280" s="657"/>
      <c r="AJ280" s="657"/>
      <c r="AK280" s="657"/>
      <c r="AL280" s="657"/>
    </row>
    <row r="281" spans="2:38" ht="17" thickBot="1" x14ac:dyDescent="0.5">
      <c r="B281" s="749" t="s">
        <v>646</v>
      </c>
      <c r="C281" s="750" t="s">
        <v>648</v>
      </c>
      <c r="D281" s="241"/>
      <c r="E281" s="241"/>
      <c r="F281" s="276"/>
      <c r="G281" s="240"/>
      <c r="H281" s="241"/>
      <c r="I281" s="241"/>
      <c r="J281" s="604"/>
      <c r="K281" s="603"/>
      <c r="L281" s="604"/>
      <c r="M281" s="604"/>
      <c r="N281" s="604"/>
      <c r="O281" s="604"/>
      <c r="P281" s="604"/>
      <c r="Q281" s="604"/>
      <c r="R281" s="609"/>
      <c r="S281" s="609"/>
      <c r="T281" s="609"/>
      <c r="U281" s="609"/>
      <c r="V281" s="609"/>
      <c r="W281" s="609"/>
      <c r="X281" s="609"/>
      <c r="Y281" s="609"/>
      <c r="Z281" s="609"/>
      <c r="AA281" s="609"/>
      <c r="AB281" s="609"/>
      <c r="AC281" s="609"/>
      <c r="AD281" s="609"/>
      <c r="AE281" s="609"/>
      <c r="AF281" s="609"/>
      <c r="AG281" s="609"/>
      <c r="AH281" s="609"/>
      <c r="AI281" s="609"/>
      <c r="AJ281" s="609"/>
      <c r="AK281" s="609"/>
      <c r="AL281" s="609"/>
    </row>
    <row r="282" spans="2:38" ht="19.5" customHeight="1" x14ac:dyDescent="0.45">
      <c r="B282" s="1168" t="s">
        <v>99</v>
      </c>
      <c r="C282" s="1171" t="s">
        <v>100</v>
      </c>
      <c r="D282" s="1171" t="s">
        <v>89</v>
      </c>
      <c r="E282" s="1171" t="s">
        <v>101</v>
      </c>
      <c r="F282" s="1171" t="s">
        <v>102</v>
      </c>
      <c r="G282" s="1109" t="s">
        <v>103</v>
      </c>
      <c r="H282" s="1110"/>
      <c r="I282" s="1175"/>
      <c r="J282" s="1152" t="s">
        <v>539</v>
      </c>
      <c r="K282" s="1152"/>
      <c r="L282" s="1152"/>
      <c r="M282" s="1152"/>
      <c r="N282" s="1152"/>
      <c r="O282" s="1152"/>
      <c r="P282" s="1152"/>
      <c r="Q282" s="1152"/>
      <c r="R282" s="1152"/>
      <c r="S282" s="1152"/>
      <c r="T282" s="1152"/>
      <c r="U282" s="1152"/>
      <c r="V282" s="1152"/>
      <c r="W282" s="1152"/>
      <c r="X282" s="1152"/>
      <c r="Y282" s="1153" t="s">
        <v>540</v>
      </c>
      <c r="Z282" s="1154"/>
      <c r="AA282" s="1154"/>
      <c r="AB282" s="1154"/>
      <c r="AC282" s="1154"/>
      <c r="AD282" s="1154"/>
      <c r="AE282" s="1155"/>
      <c r="AF282" s="1156" t="s">
        <v>541</v>
      </c>
      <c r="AG282" s="1157"/>
      <c r="AH282" s="1157"/>
      <c r="AI282" s="1157"/>
      <c r="AJ282" s="1157"/>
      <c r="AK282" s="1157"/>
      <c r="AL282" s="1158"/>
    </row>
    <row r="283" spans="2:38" ht="45" x14ac:dyDescent="0.45">
      <c r="B283" s="1169"/>
      <c r="C283" s="1089"/>
      <c r="D283" s="1089"/>
      <c r="E283" s="1089"/>
      <c r="F283" s="1089"/>
      <c r="G283" s="1026"/>
      <c r="H283" s="1027"/>
      <c r="I283" s="1176"/>
      <c r="J283" s="1173" t="s">
        <v>15</v>
      </c>
      <c r="K283" s="673" t="s">
        <v>493</v>
      </c>
      <c r="L283" s="1161" t="s">
        <v>491</v>
      </c>
      <c r="M283" s="1162"/>
      <c r="N283" s="1162"/>
      <c r="O283" s="1162"/>
      <c r="P283" s="1163"/>
      <c r="Q283" s="674" t="s">
        <v>533</v>
      </c>
      <c r="R283" s="1161" t="s">
        <v>501</v>
      </c>
      <c r="S283" s="1162"/>
      <c r="T283" s="1163"/>
      <c r="U283" s="674" t="s">
        <v>530</v>
      </c>
      <c r="V283" s="674" t="s">
        <v>531</v>
      </c>
      <c r="W283" s="674" t="s">
        <v>578</v>
      </c>
      <c r="X283" s="681" t="s">
        <v>579</v>
      </c>
      <c r="Y283" s="1164" t="s">
        <v>534</v>
      </c>
      <c r="Z283" s="1165"/>
      <c r="AA283" s="663" t="s">
        <v>537</v>
      </c>
      <c r="AB283" s="664" t="s">
        <v>538</v>
      </c>
      <c r="AC283" s="665" t="s">
        <v>530</v>
      </c>
      <c r="AD283" s="665" t="s">
        <v>578</v>
      </c>
      <c r="AE283" s="682" t="s">
        <v>579</v>
      </c>
      <c r="AF283" s="1166" t="s">
        <v>542</v>
      </c>
      <c r="AG283" s="1167"/>
      <c r="AH283" s="737" t="s">
        <v>543</v>
      </c>
      <c r="AI283" s="738" t="s">
        <v>544</v>
      </c>
      <c r="AJ283" s="739" t="s">
        <v>530</v>
      </c>
      <c r="AK283" s="739" t="s">
        <v>578</v>
      </c>
      <c r="AL283" s="740" t="s">
        <v>579</v>
      </c>
    </row>
    <row r="284" spans="2:38" ht="30" x14ac:dyDescent="0.45">
      <c r="B284" s="1170"/>
      <c r="C284" s="1090"/>
      <c r="D284" s="1090"/>
      <c r="E284" s="1090"/>
      <c r="F284" s="1090"/>
      <c r="G284" s="1085"/>
      <c r="H284" s="1086"/>
      <c r="I284" s="1177"/>
      <c r="J284" s="1174"/>
      <c r="K284" s="675" t="s">
        <v>495</v>
      </c>
      <c r="L284" s="676" t="s">
        <v>524</v>
      </c>
      <c r="M284" s="676" t="s">
        <v>525</v>
      </c>
      <c r="N284" s="676" t="s">
        <v>526</v>
      </c>
      <c r="O284" s="675" t="s">
        <v>517</v>
      </c>
      <c r="P284" s="675" t="s">
        <v>290</v>
      </c>
      <c r="Q284" s="675" t="s">
        <v>532</v>
      </c>
      <c r="R284" s="676" t="s">
        <v>527</v>
      </c>
      <c r="S284" s="676" t="s">
        <v>528</v>
      </c>
      <c r="T284" s="677" t="s">
        <v>529</v>
      </c>
      <c r="U284" s="675" t="s">
        <v>502</v>
      </c>
      <c r="V284" s="675" t="s">
        <v>502</v>
      </c>
      <c r="W284" s="675" t="s">
        <v>502</v>
      </c>
      <c r="X284" s="678" t="s">
        <v>504</v>
      </c>
      <c r="Y284" s="666" t="s">
        <v>535</v>
      </c>
      <c r="Z284" s="667" t="s">
        <v>536</v>
      </c>
      <c r="AA284" s="668" t="s">
        <v>532</v>
      </c>
      <c r="AB284" s="668" t="s">
        <v>532</v>
      </c>
      <c r="AC284" s="668" t="s">
        <v>532</v>
      </c>
      <c r="AD284" s="668" t="s">
        <v>532</v>
      </c>
      <c r="AE284" s="669" t="s">
        <v>532</v>
      </c>
      <c r="AF284" s="741" t="s">
        <v>535</v>
      </c>
      <c r="AG284" s="742" t="s">
        <v>536</v>
      </c>
      <c r="AH284" s="743" t="s">
        <v>532</v>
      </c>
      <c r="AI284" s="743" t="s">
        <v>532</v>
      </c>
      <c r="AJ284" s="743" t="s">
        <v>532</v>
      </c>
      <c r="AK284" s="743" t="s">
        <v>532</v>
      </c>
      <c r="AL284" s="744" t="s">
        <v>532</v>
      </c>
    </row>
    <row r="285" spans="2:38" ht="30" x14ac:dyDescent="0.45">
      <c r="B285" s="639" t="s">
        <v>4</v>
      </c>
      <c r="C285" s="600" t="s">
        <v>5</v>
      </c>
      <c r="D285" s="570" t="s">
        <v>6</v>
      </c>
      <c r="E285" s="570" t="s">
        <v>112</v>
      </c>
      <c r="F285" s="570" t="s">
        <v>114</v>
      </c>
      <c r="G285" s="1014" t="s">
        <v>115</v>
      </c>
      <c r="H285" s="1014"/>
      <c r="I285" s="1172"/>
      <c r="J285" s="791" t="s">
        <v>21</v>
      </c>
      <c r="K285" s="675" t="s">
        <v>496</v>
      </c>
      <c r="L285" s="675" t="s">
        <v>497</v>
      </c>
      <c r="M285" s="675" t="s">
        <v>498</v>
      </c>
      <c r="N285" s="675" t="s">
        <v>499</v>
      </c>
      <c r="O285" s="676" t="s">
        <v>552</v>
      </c>
      <c r="P285" s="675" t="s">
        <v>512</v>
      </c>
      <c r="Q285" s="675" t="s">
        <v>503</v>
      </c>
      <c r="R285" s="675" t="s">
        <v>553</v>
      </c>
      <c r="S285" s="675" t="s">
        <v>513</v>
      </c>
      <c r="T285" s="675" t="s">
        <v>514</v>
      </c>
      <c r="U285" s="675" t="s">
        <v>554</v>
      </c>
      <c r="V285" s="675" t="s">
        <v>515</v>
      </c>
      <c r="W285" s="675" t="s">
        <v>555</v>
      </c>
      <c r="X285" s="678" t="s">
        <v>516</v>
      </c>
      <c r="Y285" s="670" t="s">
        <v>556</v>
      </c>
      <c r="Z285" s="671" t="s">
        <v>557</v>
      </c>
      <c r="AA285" s="671" t="s">
        <v>558</v>
      </c>
      <c r="AB285" s="671" t="s">
        <v>559</v>
      </c>
      <c r="AC285" s="671" t="s">
        <v>560</v>
      </c>
      <c r="AD285" s="671" t="s">
        <v>561</v>
      </c>
      <c r="AE285" s="672" t="s">
        <v>562</v>
      </c>
      <c r="AF285" s="745" t="s">
        <v>563</v>
      </c>
      <c r="AG285" s="746" t="s">
        <v>564</v>
      </c>
      <c r="AH285" s="746" t="s">
        <v>565</v>
      </c>
      <c r="AI285" s="746" t="s">
        <v>566</v>
      </c>
      <c r="AJ285" s="746" t="s">
        <v>567</v>
      </c>
      <c r="AK285" s="746" t="s">
        <v>568</v>
      </c>
      <c r="AL285" s="747" t="s">
        <v>569</v>
      </c>
    </row>
    <row r="286" spans="2:38" ht="15.5" x14ac:dyDescent="0.45">
      <c r="B286" s="799">
        <v>17</v>
      </c>
      <c r="C286" s="508" t="s">
        <v>46</v>
      </c>
      <c r="D286" s="797"/>
      <c r="E286" s="521">
        <v>1</v>
      </c>
      <c r="F286" s="583" t="s">
        <v>30</v>
      </c>
      <c r="G286" s="585" t="s">
        <v>93</v>
      </c>
      <c r="H286" s="562"/>
      <c r="I286" s="975"/>
      <c r="J286" s="789"/>
      <c r="K286" s="789"/>
      <c r="L286" s="789"/>
      <c r="M286" s="789"/>
      <c r="N286" s="789"/>
      <c r="O286" s="789"/>
      <c r="P286" s="789"/>
      <c r="Q286" s="789"/>
      <c r="R286" s="789"/>
      <c r="S286" s="789"/>
      <c r="T286" s="789"/>
      <c r="U286" s="789"/>
      <c r="V286" s="789"/>
      <c r="W286" s="789"/>
      <c r="X286" s="789"/>
      <c r="Y286" s="789"/>
      <c r="Z286" s="789"/>
      <c r="AA286" s="789"/>
      <c r="AB286" s="789"/>
      <c r="AC286" s="789"/>
      <c r="AD286" s="789"/>
      <c r="AE286" s="789"/>
      <c r="AF286" s="789"/>
      <c r="AG286" s="789"/>
      <c r="AH286" s="789"/>
      <c r="AI286" s="789"/>
      <c r="AJ286" s="789"/>
      <c r="AK286" s="789"/>
      <c r="AL286" s="790"/>
    </row>
    <row r="287" spans="2:38" x14ac:dyDescent="0.45">
      <c r="B287" s="849"/>
      <c r="C287" s="307"/>
      <c r="D287" s="344"/>
      <c r="E287" s="359"/>
      <c r="F287" s="207" t="s">
        <v>4</v>
      </c>
      <c r="G287" s="231" t="s">
        <v>120</v>
      </c>
      <c r="H287" s="209"/>
      <c r="I287" s="966"/>
      <c r="J287" s="792">
        <f>RAP!E47</f>
        <v>165.31200000000001</v>
      </c>
      <c r="K287" s="601">
        <v>4</v>
      </c>
      <c r="L287" s="319"/>
      <c r="M287" s="319"/>
      <c r="N287" s="319"/>
      <c r="O287" s="598"/>
      <c r="P287" s="598"/>
      <c r="Q287" s="605"/>
      <c r="R287" s="485"/>
      <c r="S287" s="485"/>
      <c r="T287" s="485"/>
      <c r="U287" s="752">
        <f>SUM(R287:R303)+(SUM(S287:S303)+SUM(T287:T303))</f>
        <v>57979500</v>
      </c>
      <c r="V287" s="754">
        <f>RAP!H47</f>
        <v>65970605.229999997</v>
      </c>
      <c r="W287" s="752">
        <f>V287-U287</f>
        <v>7991105.2299999967</v>
      </c>
      <c r="X287" s="760">
        <f>W287/V287*100</f>
        <v>12.113130085952369</v>
      </c>
      <c r="Y287" s="755">
        <f>SUM(R287:R303)/J287</f>
        <v>82026.713124274087</v>
      </c>
      <c r="Z287" s="757">
        <v>80000</v>
      </c>
      <c r="AA287" s="758">
        <f>J287*Z287</f>
        <v>13224960.000000002</v>
      </c>
      <c r="AB287" s="758">
        <f>SUM(S287:S303)+SUM(T287:T303)</f>
        <v>44419500</v>
      </c>
      <c r="AC287" s="752">
        <f>AA287+AB287</f>
        <v>57644460</v>
      </c>
      <c r="AD287" s="752">
        <f>V287-AC287</f>
        <v>8326145.2299999967</v>
      </c>
      <c r="AE287" s="760">
        <f>AD287/V287*100</f>
        <v>12.620992639027207</v>
      </c>
      <c r="AF287" s="755">
        <f>(SUM(R287:R303)+SUM(S287:S303))/J287</f>
        <v>350727.71486643434</v>
      </c>
      <c r="AG287" s="757">
        <v>350000</v>
      </c>
      <c r="AH287" s="758">
        <f>AG287*J287</f>
        <v>57859200.000000007</v>
      </c>
      <c r="AI287" s="758">
        <f>SUM(T287:T303)</f>
        <v>0</v>
      </c>
      <c r="AJ287" s="752">
        <f>AH287+AI287</f>
        <v>57859200.000000007</v>
      </c>
      <c r="AK287" s="752">
        <f>V287-AJ287</f>
        <v>8111405.2299999893</v>
      </c>
      <c r="AL287" s="760">
        <f>AK287/V287*100</f>
        <v>12.295484029167804</v>
      </c>
    </row>
    <row r="288" spans="2:38" ht="15.5" x14ac:dyDescent="0.45">
      <c r="B288" s="850"/>
      <c r="C288" s="277"/>
      <c r="D288" s="279" t="s">
        <v>107</v>
      </c>
      <c r="E288" s="222">
        <v>0.66</v>
      </c>
      <c r="F288" s="211" t="s">
        <v>108</v>
      </c>
      <c r="G288" s="209" t="s">
        <v>51</v>
      </c>
      <c r="H288" s="209"/>
      <c r="I288" s="966"/>
      <c r="J288" s="475"/>
      <c r="K288" s="602"/>
      <c r="L288" s="433">
        <f>E288*J287/K287</f>
        <v>27.276480000000003</v>
      </c>
      <c r="M288" s="433"/>
      <c r="N288" s="433"/>
      <c r="O288" s="597">
        <v>28</v>
      </c>
      <c r="P288" s="596" t="str">
        <f>F288</f>
        <v>OH</v>
      </c>
      <c r="Q288" s="608">
        <f>Q266</f>
        <v>75000</v>
      </c>
      <c r="R288" s="453">
        <f>O288*Q288*K287</f>
        <v>8400000</v>
      </c>
      <c r="S288" s="453"/>
      <c r="T288" s="453"/>
      <c r="U288" s="753"/>
      <c r="V288" s="753"/>
      <c r="W288" s="753"/>
      <c r="X288" s="761"/>
      <c r="Y288" s="756"/>
      <c r="Z288" s="759"/>
      <c r="AA288" s="759"/>
      <c r="AB288" s="759"/>
      <c r="AC288" s="753"/>
      <c r="AD288" s="753"/>
      <c r="AE288" s="761"/>
      <c r="AF288" s="756"/>
      <c r="AG288" s="759"/>
      <c r="AH288" s="759"/>
      <c r="AI288" s="759"/>
      <c r="AJ288" s="753"/>
      <c r="AK288" s="753"/>
      <c r="AL288" s="761"/>
    </row>
    <row r="289" spans="2:38" ht="15.5" x14ac:dyDescent="0.45">
      <c r="B289" s="850"/>
      <c r="C289" s="277"/>
      <c r="D289" s="279" t="s">
        <v>121</v>
      </c>
      <c r="E289" s="222">
        <v>0.33</v>
      </c>
      <c r="F289" s="211" t="s">
        <v>108</v>
      </c>
      <c r="G289" s="209" t="s">
        <v>56</v>
      </c>
      <c r="H289" s="209"/>
      <c r="I289" s="966"/>
      <c r="J289" s="475"/>
      <c r="K289" s="602"/>
      <c r="L289" s="433">
        <f>E289*J287/K287</f>
        <v>13.638240000000001</v>
      </c>
      <c r="M289" s="433"/>
      <c r="N289" s="433"/>
      <c r="O289" s="597">
        <v>14</v>
      </c>
      <c r="P289" s="596" t="str">
        <f>F289</f>
        <v>OH</v>
      </c>
      <c r="Q289" s="608">
        <f t="shared" ref="Q289:Q291" si="23">Q267</f>
        <v>85000</v>
      </c>
      <c r="R289" s="453">
        <f>O289*Q289*K287</f>
        <v>4760000</v>
      </c>
      <c r="S289" s="453"/>
      <c r="T289" s="453"/>
      <c r="U289" s="753"/>
      <c r="V289" s="753"/>
      <c r="W289" s="753"/>
      <c r="X289" s="761"/>
      <c r="Y289" s="756"/>
      <c r="Z289" s="759"/>
      <c r="AA289" s="759"/>
      <c r="AB289" s="759"/>
      <c r="AC289" s="753"/>
      <c r="AD289" s="753"/>
      <c r="AE289" s="761"/>
      <c r="AF289" s="756"/>
      <c r="AG289" s="759"/>
      <c r="AH289" s="759"/>
      <c r="AI289" s="759"/>
      <c r="AJ289" s="753"/>
      <c r="AK289" s="753"/>
      <c r="AL289" s="761"/>
    </row>
    <row r="290" spans="2:38" ht="15.5" x14ac:dyDescent="0.45">
      <c r="B290" s="850"/>
      <c r="C290" s="277"/>
      <c r="D290" s="279" t="s">
        <v>122</v>
      </c>
      <c r="E290" s="299">
        <v>3.3000000000000002E-2</v>
      </c>
      <c r="F290" s="211" t="s">
        <v>108</v>
      </c>
      <c r="G290" s="209" t="s">
        <v>123</v>
      </c>
      <c r="H290" s="209"/>
      <c r="I290" s="966"/>
      <c r="J290" s="475"/>
      <c r="K290" s="602"/>
      <c r="L290" s="433">
        <f>E290*J287/K287</f>
        <v>1.3638240000000001</v>
      </c>
      <c r="M290" s="433"/>
      <c r="N290" s="433"/>
      <c r="O290" s="597">
        <v>0</v>
      </c>
      <c r="P290" s="596" t="str">
        <f>F290</f>
        <v>OH</v>
      </c>
      <c r="Q290" s="608">
        <f t="shared" si="23"/>
        <v>90000</v>
      </c>
      <c r="R290" s="453">
        <f>O290*Q290*K287</f>
        <v>0</v>
      </c>
      <c r="S290" s="453"/>
      <c r="T290" s="453"/>
      <c r="U290" s="753"/>
      <c r="V290" s="753"/>
      <c r="W290" s="753"/>
      <c r="X290" s="761"/>
      <c r="Y290" s="756"/>
      <c r="Z290" s="759"/>
      <c r="AA290" s="759"/>
      <c r="AB290" s="759"/>
      <c r="AC290" s="753"/>
      <c r="AD290" s="753"/>
      <c r="AE290" s="761"/>
      <c r="AF290" s="756"/>
      <c r="AG290" s="759"/>
      <c r="AH290" s="759"/>
      <c r="AI290" s="759"/>
      <c r="AJ290" s="753"/>
      <c r="AK290" s="753"/>
      <c r="AL290" s="761"/>
    </row>
    <row r="291" spans="2:38" ht="15.5" x14ac:dyDescent="0.45">
      <c r="B291" s="850"/>
      <c r="C291" s="277"/>
      <c r="D291" s="343" t="s">
        <v>109</v>
      </c>
      <c r="E291" s="300">
        <v>3.3000000000000002E-2</v>
      </c>
      <c r="F291" s="253" t="s">
        <v>108</v>
      </c>
      <c r="G291" s="229" t="s">
        <v>52</v>
      </c>
      <c r="H291" s="229"/>
      <c r="I291" s="967"/>
      <c r="J291" s="475"/>
      <c r="K291" s="602"/>
      <c r="L291" s="433">
        <f>E291*J287/K287</f>
        <v>1.3638240000000001</v>
      </c>
      <c r="M291" s="433"/>
      <c r="N291" s="433"/>
      <c r="O291" s="597">
        <v>1</v>
      </c>
      <c r="P291" s="596" t="str">
        <f>F291</f>
        <v>OH</v>
      </c>
      <c r="Q291" s="608">
        <f t="shared" si="23"/>
        <v>100000</v>
      </c>
      <c r="R291" s="453">
        <f>O291*Q291*K287</f>
        <v>400000</v>
      </c>
      <c r="S291" s="453"/>
      <c r="T291" s="453"/>
      <c r="U291" s="753"/>
      <c r="V291" s="753"/>
      <c r="W291" s="753"/>
      <c r="X291" s="761"/>
      <c r="Y291" s="756"/>
      <c r="Z291" s="759"/>
      <c r="AA291" s="759"/>
      <c r="AB291" s="759"/>
      <c r="AC291" s="753"/>
      <c r="AD291" s="753"/>
      <c r="AE291" s="761"/>
      <c r="AF291" s="756"/>
      <c r="AG291" s="759"/>
      <c r="AH291" s="759"/>
      <c r="AI291" s="759"/>
      <c r="AJ291" s="753"/>
      <c r="AK291" s="753"/>
      <c r="AL291" s="761"/>
    </row>
    <row r="292" spans="2:38" x14ac:dyDescent="0.45">
      <c r="B292" s="850"/>
      <c r="C292" s="277"/>
      <c r="D292" s="344"/>
      <c r="E292" s="361"/>
      <c r="F292" s="207" t="s">
        <v>5</v>
      </c>
      <c r="G292" s="231" t="s">
        <v>139</v>
      </c>
      <c r="H292" s="209"/>
      <c r="I292" s="966"/>
      <c r="J292" s="475"/>
      <c r="K292" s="602"/>
      <c r="L292" s="433"/>
      <c r="M292" s="433"/>
      <c r="N292" s="433"/>
      <c r="O292" s="597"/>
      <c r="P292" s="596"/>
      <c r="Q292" s="608"/>
      <c r="R292" s="453"/>
      <c r="S292" s="453"/>
      <c r="T292" s="453"/>
      <c r="U292" s="753"/>
      <c r="V292" s="753"/>
      <c r="W292" s="753"/>
      <c r="X292" s="761"/>
      <c r="Y292" s="756"/>
      <c r="Z292" s="759"/>
      <c r="AA292" s="759"/>
      <c r="AB292" s="759"/>
      <c r="AC292" s="753"/>
      <c r="AD292" s="753"/>
      <c r="AE292" s="761"/>
      <c r="AF292" s="756"/>
      <c r="AG292" s="759"/>
      <c r="AH292" s="759"/>
      <c r="AI292" s="759"/>
      <c r="AJ292" s="753"/>
      <c r="AK292" s="753"/>
      <c r="AL292" s="761"/>
    </row>
    <row r="293" spans="2:38" x14ac:dyDescent="0.45">
      <c r="B293" s="850"/>
      <c r="C293" s="277"/>
      <c r="D293" s="344"/>
      <c r="E293" s="222">
        <v>0.04</v>
      </c>
      <c r="F293" s="362" t="s">
        <v>65</v>
      </c>
      <c r="G293" s="363" t="s">
        <v>143</v>
      </c>
      <c r="H293" s="267"/>
      <c r="I293" s="982"/>
      <c r="J293" s="475"/>
      <c r="K293" s="602"/>
      <c r="L293" s="433"/>
      <c r="M293" s="433">
        <f>E293*J287</f>
        <v>6.6124800000000006</v>
      </c>
      <c r="N293" s="433"/>
      <c r="O293" s="597">
        <v>7</v>
      </c>
      <c r="P293" s="596" t="str">
        <f t="shared" ref="P293:P298" si="24">F293</f>
        <v>m3</v>
      </c>
      <c r="Q293" s="608">
        <f>'Harga Bahan RAP'!G28</f>
        <v>3000000</v>
      </c>
      <c r="R293" s="453"/>
      <c r="S293" s="453">
        <f t="shared" ref="S293:S298" si="25">O293*Q293</f>
        <v>21000000</v>
      </c>
      <c r="T293" s="453"/>
      <c r="U293" s="753"/>
      <c r="V293" s="753"/>
      <c r="W293" s="753"/>
      <c r="X293" s="761"/>
      <c r="Y293" s="756"/>
      <c r="Z293" s="759"/>
      <c r="AA293" s="759"/>
      <c r="AB293" s="759"/>
      <c r="AC293" s="753"/>
      <c r="AD293" s="753"/>
      <c r="AE293" s="761"/>
      <c r="AF293" s="756"/>
      <c r="AG293" s="759"/>
      <c r="AH293" s="759"/>
      <c r="AI293" s="759"/>
      <c r="AJ293" s="753"/>
      <c r="AK293" s="753"/>
      <c r="AL293" s="761"/>
    </row>
    <row r="294" spans="2:38" x14ac:dyDescent="0.45">
      <c r="B294" s="850"/>
      <c r="C294" s="277"/>
      <c r="D294" s="344"/>
      <c r="E294" s="298">
        <v>0.4</v>
      </c>
      <c r="F294" s="211" t="s">
        <v>39</v>
      </c>
      <c r="G294" s="209" t="s">
        <v>141</v>
      </c>
      <c r="H294" s="209"/>
      <c r="I294" s="966"/>
      <c r="J294" s="475"/>
      <c r="K294" s="602"/>
      <c r="L294" s="433"/>
      <c r="M294" s="433">
        <f>E294*J287</f>
        <v>66.124800000000008</v>
      </c>
      <c r="N294" s="433"/>
      <c r="O294" s="597">
        <v>67</v>
      </c>
      <c r="P294" s="596" t="str">
        <f t="shared" si="24"/>
        <v>Kg</v>
      </c>
      <c r="Q294" s="608">
        <f>'Harga Bahan RAP'!G122</f>
        <v>20000</v>
      </c>
      <c r="R294" s="433"/>
      <c r="S294" s="453">
        <f t="shared" si="25"/>
        <v>1340000</v>
      </c>
      <c r="T294" s="433"/>
      <c r="U294" s="753"/>
      <c r="V294" s="753"/>
      <c r="W294" s="753"/>
      <c r="X294" s="761"/>
      <c r="Y294" s="756"/>
      <c r="Z294" s="759"/>
      <c r="AA294" s="759"/>
      <c r="AB294" s="759"/>
      <c r="AC294" s="753"/>
      <c r="AD294" s="753"/>
      <c r="AE294" s="761"/>
      <c r="AF294" s="756"/>
      <c r="AG294" s="759"/>
      <c r="AH294" s="759"/>
      <c r="AI294" s="759"/>
      <c r="AJ294" s="753"/>
      <c r="AK294" s="753"/>
      <c r="AL294" s="761"/>
    </row>
    <row r="295" spans="2:38" x14ac:dyDescent="0.45">
      <c r="B295" s="850"/>
      <c r="C295" s="277"/>
      <c r="D295" s="344"/>
      <c r="E295" s="298">
        <v>0.2</v>
      </c>
      <c r="F295" s="211" t="s">
        <v>132</v>
      </c>
      <c r="G295" s="209" t="s">
        <v>142</v>
      </c>
      <c r="H295" s="209"/>
      <c r="I295" s="966"/>
      <c r="J295" s="475"/>
      <c r="K295" s="602"/>
      <c r="L295" s="433"/>
      <c r="M295" s="433">
        <f>E295*J287</f>
        <v>33.062400000000004</v>
      </c>
      <c r="N295" s="433"/>
      <c r="O295" s="597">
        <v>33</v>
      </c>
      <c r="P295" s="596" t="str">
        <f t="shared" si="24"/>
        <v>Ltr</v>
      </c>
      <c r="Q295" s="608">
        <f>'Harga Bahan RAP'!G133</f>
        <v>14000</v>
      </c>
      <c r="R295" s="433"/>
      <c r="S295" s="453">
        <f t="shared" si="25"/>
        <v>462000</v>
      </c>
      <c r="T295" s="433"/>
      <c r="U295" s="753"/>
      <c r="V295" s="753"/>
      <c r="W295" s="753"/>
      <c r="X295" s="761"/>
      <c r="Y295" s="756"/>
      <c r="Z295" s="759"/>
      <c r="AA295" s="759"/>
      <c r="AB295" s="759"/>
      <c r="AC295" s="753"/>
      <c r="AD295" s="753"/>
      <c r="AE295" s="761"/>
      <c r="AF295" s="756"/>
      <c r="AG295" s="759"/>
      <c r="AH295" s="759"/>
      <c r="AI295" s="759"/>
      <c r="AJ295" s="753"/>
      <c r="AK295" s="753"/>
      <c r="AL295" s="761"/>
    </row>
    <row r="296" spans="2:38" x14ac:dyDescent="0.45">
      <c r="B296" s="850"/>
      <c r="C296" s="277"/>
      <c r="D296" s="344"/>
      <c r="E296" s="364">
        <v>1.4999999999999999E-2</v>
      </c>
      <c r="F296" s="211" t="s">
        <v>65</v>
      </c>
      <c r="G296" s="209" t="s">
        <v>152</v>
      </c>
      <c r="H296" s="209"/>
      <c r="I296" s="966"/>
      <c r="J296" s="475"/>
      <c r="K296" s="602"/>
      <c r="L296" s="433"/>
      <c r="M296" s="433">
        <f>E296*J287</f>
        <v>2.4796800000000001</v>
      </c>
      <c r="N296" s="433"/>
      <c r="O296" s="597">
        <v>2.5</v>
      </c>
      <c r="P296" s="596" t="str">
        <f t="shared" si="24"/>
        <v>m3</v>
      </c>
      <c r="Q296" s="608">
        <f>'Harga Bahan RAP'!G29</f>
        <v>3000000</v>
      </c>
      <c r="R296" s="433"/>
      <c r="S296" s="453">
        <f t="shared" si="25"/>
        <v>7500000</v>
      </c>
      <c r="T296" s="433"/>
      <c r="U296" s="753"/>
      <c r="V296" s="753"/>
      <c r="W296" s="753"/>
      <c r="X296" s="761"/>
      <c r="Y296" s="756"/>
      <c r="Z296" s="759"/>
      <c r="AA296" s="759"/>
      <c r="AB296" s="759"/>
      <c r="AC296" s="753"/>
      <c r="AD296" s="753"/>
      <c r="AE296" s="761"/>
      <c r="AF296" s="756"/>
      <c r="AG296" s="759"/>
      <c r="AH296" s="759"/>
      <c r="AI296" s="759"/>
      <c r="AJ296" s="753"/>
      <c r="AK296" s="753"/>
      <c r="AL296" s="761"/>
    </row>
    <row r="297" spans="2:38" x14ac:dyDescent="0.45">
      <c r="B297" s="850"/>
      <c r="C297" s="277"/>
      <c r="D297" s="344"/>
      <c r="E297" s="222">
        <v>0.35</v>
      </c>
      <c r="F297" s="211" t="s">
        <v>133</v>
      </c>
      <c r="G297" s="209" t="s">
        <v>144</v>
      </c>
      <c r="H297" s="209"/>
      <c r="I297" s="966"/>
      <c r="J297" s="475"/>
      <c r="K297" s="602"/>
      <c r="L297" s="433"/>
      <c r="M297" s="433">
        <f>E297*J287</f>
        <v>57.859200000000001</v>
      </c>
      <c r="N297" s="433"/>
      <c r="O297" s="597">
        <v>58</v>
      </c>
      <c r="P297" s="596" t="str">
        <f t="shared" si="24"/>
        <v>Lbr</v>
      </c>
      <c r="Q297" s="608">
        <f>'Harga Bahan RAP'!G76</f>
        <v>115000</v>
      </c>
      <c r="R297" s="433"/>
      <c r="S297" s="453">
        <f t="shared" si="25"/>
        <v>6670000</v>
      </c>
      <c r="T297" s="433"/>
      <c r="U297" s="753"/>
      <c r="V297" s="753"/>
      <c r="W297" s="753"/>
      <c r="X297" s="761"/>
      <c r="Y297" s="756"/>
      <c r="Z297" s="759"/>
      <c r="AA297" s="759"/>
      <c r="AB297" s="759"/>
      <c r="AC297" s="753"/>
      <c r="AD297" s="753"/>
      <c r="AE297" s="761"/>
      <c r="AF297" s="756"/>
      <c r="AG297" s="759"/>
      <c r="AH297" s="759"/>
      <c r="AI297" s="759"/>
      <c r="AJ297" s="753"/>
      <c r="AK297" s="753"/>
      <c r="AL297" s="761"/>
    </row>
    <row r="298" spans="2:38" x14ac:dyDescent="0.45">
      <c r="B298" s="850"/>
      <c r="C298" s="277"/>
      <c r="D298" s="345"/>
      <c r="E298" s="365">
        <v>2</v>
      </c>
      <c r="F298" s="253" t="s">
        <v>145</v>
      </c>
      <c r="G298" s="229" t="s">
        <v>170</v>
      </c>
      <c r="H298" s="229"/>
      <c r="I298" s="967"/>
      <c r="J298" s="475"/>
      <c r="K298" s="602"/>
      <c r="L298" s="433"/>
      <c r="M298" s="433">
        <f>E298*J287</f>
        <v>330.62400000000002</v>
      </c>
      <c r="N298" s="433"/>
      <c r="O298" s="597">
        <v>331</v>
      </c>
      <c r="P298" s="596" t="str">
        <f t="shared" si="24"/>
        <v>Btg</v>
      </c>
      <c r="Q298" s="608">
        <f>'Harga Bahan RAP'!G31</f>
        <v>22500</v>
      </c>
      <c r="R298" s="433"/>
      <c r="S298" s="453">
        <f t="shared" si="25"/>
        <v>7447500</v>
      </c>
      <c r="T298" s="433"/>
      <c r="U298" s="753"/>
      <c r="V298" s="753"/>
      <c r="W298" s="753"/>
      <c r="X298" s="761"/>
      <c r="Y298" s="756"/>
      <c r="Z298" s="759"/>
      <c r="AA298" s="759"/>
      <c r="AB298" s="759"/>
      <c r="AC298" s="753"/>
      <c r="AD298" s="753"/>
      <c r="AE298" s="761"/>
      <c r="AF298" s="756"/>
      <c r="AG298" s="759"/>
      <c r="AH298" s="759"/>
      <c r="AI298" s="759"/>
      <c r="AJ298" s="753"/>
      <c r="AK298" s="753"/>
      <c r="AL298" s="761"/>
    </row>
    <row r="299" spans="2:38" x14ac:dyDescent="0.45">
      <c r="B299" s="813"/>
      <c r="C299" s="277"/>
      <c r="D299" s="279"/>
      <c r="E299" s="346"/>
      <c r="F299" s="207" t="s">
        <v>6</v>
      </c>
      <c r="G299" s="208" t="s">
        <v>111</v>
      </c>
      <c r="H299" s="209"/>
      <c r="I299" s="966"/>
      <c r="J299" s="475"/>
      <c r="K299" s="602"/>
      <c r="L299" s="433"/>
      <c r="M299" s="433"/>
      <c r="N299" s="433"/>
      <c r="O299" s="597"/>
      <c r="P299" s="596"/>
      <c r="Q299" s="608"/>
      <c r="R299" s="433"/>
      <c r="S299" s="433"/>
      <c r="T299" s="433"/>
      <c r="U299" s="433"/>
      <c r="V299" s="433"/>
      <c r="W299" s="433"/>
      <c r="X299" s="659"/>
      <c r="Y299" s="661"/>
      <c r="Z299" s="433"/>
      <c r="AA299" s="433"/>
      <c r="AB299" s="433"/>
      <c r="AC299" s="433"/>
      <c r="AD299" s="433"/>
      <c r="AE299" s="644"/>
      <c r="AF299" s="661"/>
      <c r="AG299" s="433"/>
      <c r="AH299" s="433"/>
      <c r="AI299" s="433"/>
      <c r="AJ299" s="433"/>
      <c r="AK299" s="433"/>
      <c r="AL299" s="644"/>
    </row>
    <row r="300" spans="2:38" x14ac:dyDescent="0.45">
      <c r="B300" s="813"/>
      <c r="C300" s="277"/>
      <c r="D300" s="279"/>
      <c r="E300" s="346"/>
      <c r="F300" s="207"/>
      <c r="G300" s="208"/>
      <c r="H300" s="209"/>
      <c r="I300" s="966"/>
      <c r="J300" s="475"/>
      <c r="K300" s="602"/>
      <c r="L300" s="433"/>
      <c r="M300" s="433"/>
      <c r="N300" s="433">
        <f>E300*J287</f>
        <v>0</v>
      </c>
      <c r="O300" s="597">
        <v>0</v>
      </c>
      <c r="P300" s="596">
        <v>0</v>
      </c>
      <c r="Q300" s="608">
        <f>Q276</f>
        <v>0</v>
      </c>
      <c r="R300" s="433"/>
      <c r="S300" s="433"/>
      <c r="T300" s="453">
        <f>O300*Q300</f>
        <v>0</v>
      </c>
      <c r="U300" s="433"/>
      <c r="V300" s="433"/>
      <c r="W300" s="433"/>
      <c r="X300" s="659"/>
      <c r="Y300" s="661"/>
      <c r="Z300" s="433"/>
      <c r="AA300" s="433"/>
      <c r="AB300" s="433"/>
      <c r="AC300" s="433"/>
      <c r="AD300" s="433"/>
      <c r="AE300" s="644"/>
      <c r="AF300" s="661"/>
      <c r="AG300" s="433"/>
      <c r="AH300" s="433"/>
      <c r="AI300" s="433"/>
      <c r="AJ300" s="433"/>
      <c r="AK300" s="433"/>
      <c r="AL300" s="644"/>
    </row>
    <row r="301" spans="2:38" x14ac:dyDescent="0.45">
      <c r="B301" s="813"/>
      <c r="C301" s="277"/>
      <c r="D301" s="279"/>
      <c r="E301" s="346"/>
      <c r="F301" s="207" t="s">
        <v>112</v>
      </c>
      <c r="G301" s="208" t="s">
        <v>113</v>
      </c>
      <c r="H301" s="209"/>
      <c r="I301" s="966"/>
      <c r="J301" s="475"/>
      <c r="K301" s="602"/>
      <c r="L301" s="433"/>
      <c r="M301" s="433"/>
      <c r="N301" s="433"/>
      <c r="O301" s="433"/>
      <c r="P301" s="433"/>
      <c r="Q301" s="595"/>
      <c r="R301" s="433"/>
      <c r="S301" s="433"/>
      <c r="T301" s="433"/>
      <c r="U301" s="433"/>
      <c r="V301" s="433"/>
      <c r="W301" s="433"/>
      <c r="X301" s="659"/>
      <c r="Y301" s="661"/>
      <c r="Z301" s="433"/>
      <c r="AA301" s="433"/>
      <c r="AB301" s="433"/>
      <c r="AC301" s="433"/>
      <c r="AD301" s="433"/>
      <c r="AE301" s="644"/>
      <c r="AF301" s="661"/>
      <c r="AG301" s="433"/>
      <c r="AH301" s="433"/>
      <c r="AI301" s="433"/>
      <c r="AJ301" s="433"/>
      <c r="AK301" s="433"/>
      <c r="AL301" s="644"/>
    </row>
    <row r="302" spans="2:38" x14ac:dyDescent="0.45">
      <c r="B302" s="813"/>
      <c r="C302" s="277"/>
      <c r="D302" s="343"/>
      <c r="E302" s="347"/>
      <c r="F302" s="239" t="s">
        <v>114</v>
      </c>
      <c r="G302" s="257" t="s">
        <v>166</v>
      </c>
      <c r="H302" s="229"/>
      <c r="I302" s="980">
        <v>0.15</v>
      </c>
      <c r="J302" s="475"/>
      <c r="K302" s="602"/>
      <c r="L302" s="433"/>
      <c r="M302" s="433"/>
      <c r="N302" s="433"/>
      <c r="O302" s="433"/>
      <c r="P302" s="433"/>
      <c r="Q302" s="595"/>
      <c r="R302" s="433"/>
      <c r="S302" s="433"/>
      <c r="T302" s="433"/>
      <c r="U302" s="433"/>
      <c r="V302" s="433"/>
      <c r="W302" s="433"/>
      <c r="X302" s="659"/>
      <c r="Y302" s="661"/>
      <c r="Z302" s="433"/>
      <c r="AA302" s="433"/>
      <c r="AB302" s="433"/>
      <c r="AC302" s="433"/>
      <c r="AD302" s="433"/>
      <c r="AE302" s="644"/>
      <c r="AF302" s="661"/>
      <c r="AG302" s="433"/>
      <c r="AH302" s="433"/>
      <c r="AI302" s="433"/>
      <c r="AJ302" s="433"/>
      <c r="AK302" s="433"/>
      <c r="AL302" s="644"/>
    </row>
    <row r="303" spans="2:38" ht="17" thickBot="1" x14ac:dyDescent="0.5">
      <c r="B303" s="830"/>
      <c r="C303" s="831"/>
      <c r="D303" s="832"/>
      <c r="E303" s="833"/>
      <c r="F303" s="834" t="s">
        <v>115</v>
      </c>
      <c r="G303" s="816" t="s">
        <v>127</v>
      </c>
      <c r="H303" s="835"/>
      <c r="I303" s="981"/>
      <c r="J303" s="793"/>
      <c r="K303" s="763"/>
      <c r="L303" s="655"/>
      <c r="M303" s="655"/>
      <c r="N303" s="655"/>
      <c r="O303" s="655"/>
      <c r="P303" s="655"/>
      <c r="Q303" s="654"/>
      <c r="R303" s="655"/>
      <c r="S303" s="655"/>
      <c r="T303" s="655"/>
      <c r="U303" s="655"/>
      <c r="V303" s="655"/>
      <c r="W303" s="655"/>
      <c r="X303" s="660"/>
      <c r="Y303" s="662"/>
      <c r="Z303" s="655"/>
      <c r="AA303" s="655"/>
      <c r="AB303" s="655"/>
      <c r="AC303" s="655"/>
      <c r="AD303" s="655"/>
      <c r="AE303" s="656"/>
      <c r="AF303" s="662"/>
      <c r="AG303" s="655"/>
      <c r="AH303" s="655"/>
      <c r="AI303" s="655"/>
      <c r="AJ303" s="655"/>
      <c r="AK303" s="655"/>
      <c r="AL303" s="656"/>
    </row>
    <row r="304" spans="2:38" x14ac:dyDescent="0.45">
      <c r="D304" s="112"/>
      <c r="E304" s="195"/>
      <c r="G304" s="111"/>
      <c r="H304" s="111"/>
      <c r="I304" s="111"/>
      <c r="Z304" s="657"/>
      <c r="AA304" s="657"/>
      <c r="AB304" s="657"/>
      <c r="AC304" s="657"/>
      <c r="AD304" s="657"/>
      <c r="AE304" s="657"/>
      <c r="AG304" s="657"/>
      <c r="AH304" s="657"/>
      <c r="AI304" s="657"/>
      <c r="AJ304" s="657"/>
      <c r="AK304" s="657"/>
      <c r="AL304" s="657"/>
    </row>
    <row r="305" spans="2:38" ht="17" thickBot="1" x14ac:dyDescent="0.5">
      <c r="B305" s="749" t="s">
        <v>654</v>
      </c>
      <c r="C305" s="750" t="s">
        <v>655</v>
      </c>
      <c r="D305" s="241"/>
      <c r="E305" s="241"/>
      <c r="F305" s="276"/>
      <c r="G305" s="240"/>
      <c r="H305" s="241"/>
      <c r="I305" s="241"/>
      <c r="J305" s="604"/>
      <c r="K305" s="603"/>
      <c r="L305" s="604"/>
      <c r="M305" s="604"/>
      <c r="N305" s="604"/>
      <c r="O305" s="604"/>
      <c r="P305" s="604"/>
      <c r="Q305" s="604"/>
      <c r="R305" s="609"/>
      <c r="S305" s="609"/>
      <c r="T305" s="609"/>
      <c r="U305" s="609"/>
      <c r="V305" s="609"/>
      <c r="W305" s="609"/>
      <c r="X305" s="609"/>
      <c r="Y305" s="609"/>
      <c r="Z305" s="609"/>
      <c r="AA305" s="609"/>
      <c r="AB305" s="609"/>
      <c r="AC305" s="609"/>
      <c r="AD305" s="609"/>
      <c r="AE305" s="609"/>
      <c r="AF305" s="609"/>
      <c r="AG305" s="609"/>
      <c r="AH305" s="609"/>
      <c r="AI305" s="609"/>
      <c r="AJ305" s="609"/>
      <c r="AK305" s="609"/>
      <c r="AL305" s="609"/>
    </row>
    <row r="306" spans="2:38" ht="19.5" customHeight="1" x14ac:dyDescent="0.45">
      <c r="B306" s="1168" t="s">
        <v>99</v>
      </c>
      <c r="C306" s="1171" t="s">
        <v>100</v>
      </c>
      <c r="D306" s="1171" t="s">
        <v>89</v>
      </c>
      <c r="E306" s="1171" t="s">
        <v>101</v>
      </c>
      <c r="F306" s="1171" t="s">
        <v>102</v>
      </c>
      <c r="G306" s="1109" t="s">
        <v>103</v>
      </c>
      <c r="H306" s="1110"/>
      <c r="I306" s="1175"/>
      <c r="J306" s="1152" t="s">
        <v>539</v>
      </c>
      <c r="K306" s="1152"/>
      <c r="L306" s="1152"/>
      <c r="M306" s="1152"/>
      <c r="N306" s="1152"/>
      <c r="O306" s="1152"/>
      <c r="P306" s="1152"/>
      <c r="Q306" s="1152"/>
      <c r="R306" s="1152"/>
      <c r="S306" s="1152"/>
      <c r="T306" s="1152"/>
      <c r="U306" s="1152"/>
      <c r="V306" s="1152"/>
      <c r="W306" s="1152"/>
      <c r="X306" s="1152"/>
      <c r="Y306" s="1153" t="s">
        <v>540</v>
      </c>
      <c r="Z306" s="1154"/>
      <c r="AA306" s="1154"/>
      <c r="AB306" s="1154"/>
      <c r="AC306" s="1154"/>
      <c r="AD306" s="1154"/>
      <c r="AE306" s="1155"/>
      <c r="AF306" s="1156" t="s">
        <v>541</v>
      </c>
      <c r="AG306" s="1157"/>
      <c r="AH306" s="1157"/>
      <c r="AI306" s="1157"/>
      <c r="AJ306" s="1157"/>
      <c r="AK306" s="1157"/>
      <c r="AL306" s="1158"/>
    </row>
    <row r="307" spans="2:38" ht="45" x14ac:dyDescent="0.45">
      <c r="B307" s="1169"/>
      <c r="C307" s="1089"/>
      <c r="D307" s="1089"/>
      <c r="E307" s="1089"/>
      <c r="F307" s="1089"/>
      <c r="G307" s="1026"/>
      <c r="H307" s="1027"/>
      <c r="I307" s="1176"/>
      <c r="J307" s="1173" t="s">
        <v>15</v>
      </c>
      <c r="K307" s="673" t="s">
        <v>493</v>
      </c>
      <c r="L307" s="1161" t="s">
        <v>491</v>
      </c>
      <c r="M307" s="1162"/>
      <c r="N307" s="1162"/>
      <c r="O307" s="1162"/>
      <c r="P307" s="1163"/>
      <c r="Q307" s="674" t="s">
        <v>533</v>
      </c>
      <c r="R307" s="1161" t="s">
        <v>501</v>
      </c>
      <c r="S307" s="1162"/>
      <c r="T307" s="1163"/>
      <c r="U307" s="674" t="s">
        <v>530</v>
      </c>
      <c r="V307" s="674" t="s">
        <v>531</v>
      </c>
      <c r="W307" s="674" t="s">
        <v>578</v>
      </c>
      <c r="X307" s="681" t="s">
        <v>579</v>
      </c>
      <c r="Y307" s="1164" t="s">
        <v>534</v>
      </c>
      <c r="Z307" s="1165"/>
      <c r="AA307" s="663" t="s">
        <v>537</v>
      </c>
      <c r="AB307" s="664" t="s">
        <v>538</v>
      </c>
      <c r="AC307" s="665" t="s">
        <v>530</v>
      </c>
      <c r="AD307" s="665" t="s">
        <v>578</v>
      </c>
      <c r="AE307" s="682" t="s">
        <v>579</v>
      </c>
      <c r="AF307" s="1166" t="s">
        <v>542</v>
      </c>
      <c r="AG307" s="1167"/>
      <c r="AH307" s="737" t="s">
        <v>543</v>
      </c>
      <c r="AI307" s="738" t="s">
        <v>544</v>
      </c>
      <c r="AJ307" s="739" t="s">
        <v>530</v>
      </c>
      <c r="AK307" s="739" t="s">
        <v>578</v>
      </c>
      <c r="AL307" s="740" t="s">
        <v>579</v>
      </c>
    </row>
    <row r="308" spans="2:38" ht="30" x14ac:dyDescent="0.45">
      <c r="B308" s="1170"/>
      <c r="C308" s="1090"/>
      <c r="D308" s="1090"/>
      <c r="E308" s="1090"/>
      <c r="F308" s="1090"/>
      <c r="G308" s="1085"/>
      <c r="H308" s="1086"/>
      <c r="I308" s="1177"/>
      <c r="J308" s="1174"/>
      <c r="K308" s="675" t="s">
        <v>495</v>
      </c>
      <c r="L308" s="676" t="s">
        <v>524</v>
      </c>
      <c r="M308" s="676" t="s">
        <v>525</v>
      </c>
      <c r="N308" s="676" t="s">
        <v>526</v>
      </c>
      <c r="O308" s="675" t="s">
        <v>517</v>
      </c>
      <c r="P308" s="675" t="s">
        <v>290</v>
      </c>
      <c r="Q308" s="675" t="s">
        <v>532</v>
      </c>
      <c r="R308" s="676" t="s">
        <v>527</v>
      </c>
      <c r="S308" s="676" t="s">
        <v>528</v>
      </c>
      <c r="T308" s="677" t="s">
        <v>529</v>
      </c>
      <c r="U308" s="675" t="s">
        <v>502</v>
      </c>
      <c r="V308" s="675" t="s">
        <v>502</v>
      </c>
      <c r="W308" s="675" t="s">
        <v>502</v>
      </c>
      <c r="X308" s="678" t="s">
        <v>504</v>
      </c>
      <c r="Y308" s="666" t="s">
        <v>535</v>
      </c>
      <c r="Z308" s="667" t="s">
        <v>536</v>
      </c>
      <c r="AA308" s="668" t="s">
        <v>532</v>
      </c>
      <c r="AB308" s="668" t="s">
        <v>532</v>
      </c>
      <c r="AC308" s="668" t="s">
        <v>532</v>
      </c>
      <c r="AD308" s="668" t="s">
        <v>532</v>
      </c>
      <c r="AE308" s="669" t="s">
        <v>532</v>
      </c>
      <c r="AF308" s="741" t="s">
        <v>535</v>
      </c>
      <c r="AG308" s="742" t="s">
        <v>536</v>
      </c>
      <c r="AH308" s="743" t="s">
        <v>532</v>
      </c>
      <c r="AI308" s="743" t="s">
        <v>532</v>
      </c>
      <c r="AJ308" s="743" t="s">
        <v>532</v>
      </c>
      <c r="AK308" s="743" t="s">
        <v>532</v>
      </c>
      <c r="AL308" s="744" t="s">
        <v>532</v>
      </c>
    </row>
    <row r="309" spans="2:38" ht="30" x14ac:dyDescent="0.45">
      <c r="B309" s="639" t="s">
        <v>4</v>
      </c>
      <c r="C309" s="600" t="s">
        <v>5</v>
      </c>
      <c r="D309" s="570" t="s">
        <v>6</v>
      </c>
      <c r="E309" s="570" t="s">
        <v>112</v>
      </c>
      <c r="F309" s="570" t="s">
        <v>114</v>
      </c>
      <c r="G309" s="1014" t="s">
        <v>115</v>
      </c>
      <c r="H309" s="1014"/>
      <c r="I309" s="1172"/>
      <c r="J309" s="791" t="s">
        <v>21</v>
      </c>
      <c r="K309" s="675" t="s">
        <v>496</v>
      </c>
      <c r="L309" s="675" t="s">
        <v>497</v>
      </c>
      <c r="M309" s="675" t="s">
        <v>498</v>
      </c>
      <c r="N309" s="675" t="s">
        <v>499</v>
      </c>
      <c r="O309" s="676" t="s">
        <v>552</v>
      </c>
      <c r="P309" s="675" t="s">
        <v>512</v>
      </c>
      <c r="Q309" s="675" t="s">
        <v>503</v>
      </c>
      <c r="R309" s="675" t="s">
        <v>553</v>
      </c>
      <c r="S309" s="675" t="s">
        <v>513</v>
      </c>
      <c r="T309" s="675" t="s">
        <v>514</v>
      </c>
      <c r="U309" s="675" t="s">
        <v>554</v>
      </c>
      <c r="V309" s="675" t="s">
        <v>515</v>
      </c>
      <c r="W309" s="675" t="s">
        <v>555</v>
      </c>
      <c r="X309" s="678" t="s">
        <v>516</v>
      </c>
      <c r="Y309" s="670" t="s">
        <v>556</v>
      </c>
      <c r="Z309" s="671" t="s">
        <v>557</v>
      </c>
      <c r="AA309" s="671" t="s">
        <v>558</v>
      </c>
      <c r="AB309" s="671" t="s">
        <v>559</v>
      </c>
      <c r="AC309" s="671" t="s">
        <v>560</v>
      </c>
      <c r="AD309" s="671" t="s">
        <v>561</v>
      </c>
      <c r="AE309" s="672" t="s">
        <v>562</v>
      </c>
      <c r="AF309" s="745" t="s">
        <v>563</v>
      </c>
      <c r="AG309" s="746" t="s">
        <v>564</v>
      </c>
      <c r="AH309" s="746" t="s">
        <v>565</v>
      </c>
      <c r="AI309" s="746" t="s">
        <v>566</v>
      </c>
      <c r="AJ309" s="746" t="s">
        <v>567</v>
      </c>
      <c r="AK309" s="746" t="s">
        <v>568</v>
      </c>
      <c r="AL309" s="747" t="s">
        <v>569</v>
      </c>
    </row>
    <row r="310" spans="2:38" ht="15.5" x14ac:dyDescent="0.45">
      <c r="B310" s="812">
        <v>13</v>
      </c>
      <c r="C310" s="439" t="s">
        <v>48</v>
      </c>
      <c r="D310" s="477"/>
      <c r="E310" s="452">
        <v>1</v>
      </c>
      <c r="F310" s="478" t="s">
        <v>30</v>
      </c>
      <c r="G310" s="493" t="s">
        <v>146</v>
      </c>
      <c r="H310" s="458"/>
      <c r="I310" s="972"/>
      <c r="J310" s="789"/>
      <c r="K310" s="789"/>
      <c r="L310" s="789"/>
      <c r="M310" s="789"/>
      <c r="N310" s="789"/>
      <c r="O310" s="789"/>
      <c r="P310" s="789"/>
      <c r="Q310" s="789"/>
      <c r="R310" s="789"/>
      <c r="S310" s="789"/>
      <c r="T310" s="789"/>
      <c r="U310" s="789"/>
      <c r="V310" s="789"/>
      <c r="W310" s="789"/>
      <c r="X310" s="789"/>
      <c r="Y310" s="789"/>
      <c r="Z310" s="789"/>
      <c r="AA310" s="789"/>
      <c r="AB310" s="789"/>
      <c r="AC310" s="789"/>
      <c r="AD310" s="789"/>
      <c r="AE310" s="789"/>
      <c r="AF310" s="789"/>
      <c r="AG310" s="789"/>
      <c r="AH310" s="789"/>
      <c r="AI310" s="789"/>
      <c r="AJ310" s="789"/>
      <c r="AK310" s="789"/>
      <c r="AL310" s="790"/>
    </row>
    <row r="311" spans="2:38" x14ac:dyDescent="0.45">
      <c r="B311" s="849"/>
      <c r="C311" s="307"/>
      <c r="D311" s="344"/>
      <c r="E311" s="359"/>
      <c r="F311" s="207" t="s">
        <v>4</v>
      </c>
      <c r="G311" s="231" t="s">
        <v>120</v>
      </c>
      <c r="H311" s="209"/>
      <c r="I311" s="966"/>
      <c r="J311" s="792">
        <f>RAP!E51</f>
        <v>158.55000000000001</v>
      </c>
      <c r="K311" s="601">
        <v>5</v>
      </c>
      <c r="L311" s="319"/>
      <c r="M311" s="319"/>
      <c r="N311" s="319"/>
      <c r="O311" s="598"/>
      <c r="P311" s="598"/>
      <c r="Q311" s="605"/>
      <c r="R311" s="485"/>
      <c r="S311" s="485"/>
      <c r="T311" s="485"/>
      <c r="U311" s="752">
        <f>SUM(R311:R327)+(SUM(S311:S327)+SUM(T311:T327))</f>
        <v>56840500</v>
      </c>
      <c r="V311" s="754">
        <f>RAP!H51</f>
        <v>63272112.490000002</v>
      </c>
      <c r="W311" s="752">
        <f>V311-U311</f>
        <v>6431612.4900000021</v>
      </c>
      <c r="X311" s="760">
        <f>W311/V311*100</f>
        <v>10.165003564590169</v>
      </c>
      <c r="Y311" s="755">
        <f>SUM(R311:R327)/J311</f>
        <v>82308.420056764415</v>
      </c>
      <c r="Z311" s="757">
        <v>80000</v>
      </c>
      <c r="AA311" s="758">
        <f>J311*Z311</f>
        <v>12684000</v>
      </c>
      <c r="AB311" s="758">
        <f>SUM(S311:S327)+SUM(T311:T327)</f>
        <v>43790500</v>
      </c>
      <c r="AC311" s="752">
        <f>AA311+AB311</f>
        <v>56474500</v>
      </c>
      <c r="AD311" s="752">
        <f>V311-AC311</f>
        <v>6797612.4900000021</v>
      </c>
      <c r="AE311" s="760">
        <f>AD311/V311*100</f>
        <v>10.74345746093802</v>
      </c>
      <c r="AF311" s="755">
        <f>(SUM(R311:R327)+SUM(S311:S327))/J311</f>
        <v>358502.04982655309</v>
      </c>
      <c r="AG311" s="757">
        <v>350000</v>
      </c>
      <c r="AH311" s="758">
        <f>AG311*J311</f>
        <v>55492500.000000007</v>
      </c>
      <c r="AI311" s="758">
        <f>SUM(T311:T327)</f>
        <v>0</v>
      </c>
      <c r="AJ311" s="752">
        <f>AH311+AI311</f>
        <v>55492500.000000007</v>
      </c>
      <c r="AK311" s="752">
        <f>V311-AJ311</f>
        <v>7779612.4899999946</v>
      </c>
      <c r="AL311" s="760">
        <f>AK311/V311*100</f>
        <v>12.295484035292077</v>
      </c>
    </row>
    <row r="312" spans="2:38" ht="15.5" x14ac:dyDescent="0.45">
      <c r="B312" s="850"/>
      <c r="C312" s="277"/>
      <c r="D312" s="279" t="s">
        <v>107</v>
      </c>
      <c r="E312" s="222">
        <v>0.66</v>
      </c>
      <c r="F312" s="211" t="s">
        <v>108</v>
      </c>
      <c r="G312" s="209" t="s">
        <v>51</v>
      </c>
      <c r="H312" s="209"/>
      <c r="I312" s="966"/>
      <c r="J312" s="475"/>
      <c r="K312" s="602"/>
      <c r="L312" s="433">
        <f>E312*J311/K311</f>
        <v>20.928600000000003</v>
      </c>
      <c r="M312" s="433"/>
      <c r="N312" s="433"/>
      <c r="O312" s="597">
        <v>21</v>
      </c>
      <c r="P312" s="596" t="str">
        <f>F312</f>
        <v>OH</v>
      </c>
      <c r="Q312" s="608">
        <f>Q288</f>
        <v>75000</v>
      </c>
      <c r="R312" s="453">
        <f>O312*Q312*K311</f>
        <v>7875000</v>
      </c>
      <c r="S312" s="453"/>
      <c r="T312" s="453"/>
      <c r="U312" s="753"/>
      <c r="V312" s="753"/>
      <c r="W312" s="753"/>
      <c r="X312" s="761"/>
      <c r="Y312" s="756"/>
      <c r="Z312" s="759"/>
      <c r="AA312" s="759"/>
      <c r="AB312" s="759"/>
      <c r="AC312" s="753"/>
      <c r="AD312" s="753"/>
      <c r="AE312" s="761"/>
      <c r="AF312" s="756"/>
      <c r="AG312" s="759"/>
      <c r="AH312" s="759"/>
      <c r="AI312" s="759"/>
      <c r="AJ312" s="753"/>
      <c r="AK312" s="753"/>
      <c r="AL312" s="761"/>
    </row>
    <row r="313" spans="2:38" ht="15.5" x14ac:dyDescent="0.45">
      <c r="B313" s="850"/>
      <c r="C313" s="277"/>
      <c r="D313" s="279" t="s">
        <v>121</v>
      </c>
      <c r="E313" s="222">
        <v>0.33</v>
      </c>
      <c r="F313" s="211" t="s">
        <v>108</v>
      </c>
      <c r="G313" s="209" t="s">
        <v>56</v>
      </c>
      <c r="H313" s="209"/>
      <c r="I313" s="966"/>
      <c r="J313" s="475"/>
      <c r="K313" s="602"/>
      <c r="L313" s="433">
        <f>E313*J311/K311</f>
        <v>10.464300000000001</v>
      </c>
      <c r="M313" s="433"/>
      <c r="N313" s="433"/>
      <c r="O313" s="597">
        <v>11</v>
      </c>
      <c r="P313" s="596" t="str">
        <f>F313</f>
        <v>OH</v>
      </c>
      <c r="Q313" s="608">
        <f t="shared" ref="Q313" si="26">Q289</f>
        <v>85000</v>
      </c>
      <c r="R313" s="453">
        <f>O313*Q313*K311</f>
        <v>4675000</v>
      </c>
      <c r="S313" s="453"/>
      <c r="T313" s="453"/>
      <c r="U313" s="753"/>
      <c r="V313" s="753"/>
      <c r="W313" s="753"/>
      <c r="X313" s="761"/>
      <c r="Y313" s="756"/>
      <c r="Z313" s="759"/>
      <c r="AA313" s="759"/>
      <c r="AB313" s="759"/>
      <c r="AC313" s="753"/>
      <c r="AD313" s="753"/>
      <c r="AE313" s="761"/>
      <c r="AF313" s="756"/>
      <c r="AG313" s="759"/>
      <c r="AH313" s="759"/>
      <c r="AI313" s="759"/>
      <c r="AJ313" s="753"/>
      <c r="AK313" s="753"/>
      <c r="AL313" s="761"/>
    </row>
    <row r="314" spans="2:38" ht="15.5" x14ac:dyDescent="0.45">
      <c r="B314" s="850"/>
      <c r="C314" s="277"/>
      <c r="D314" s="279" t="s">
        <v>122</v>
      </c>
      <c r="E314" s="299">
        <v>3.3000000000000002E-2</v>
      </c>
      <c r="F314" s="211" t="s">
        <v>108</v>
      </c>
      <c r="G314" s="209" t="s">
        <v>123</v>
      </c>
      <c r="H314" s="209"/>
      <c r="I314" s="966"/>
      <c r="J314" s="475"/>
      <c r="K314" s="602"/>
      <c r="L314" s="433">
        <f>E314*J311/K311</f>
        <v>1.0464300000000002</v>
      </c>
      <c r="M314" s="433"/>
      <c r="N314" s="433"/>
      <c r="O314" s="597">
        <v>0</v>
      </c>
      <c r="P314" s="596" t="str">
        <f>F314</f>
        <v>OH</v>
      </c>
      <c r="Q314" s="608">
        <f t="shared" ref="Q314:Q322" si="27">Q290</f>
        <v>90000</v>
      </c>
      <c r="R314" s="453">
        <f>O314*Q314*K311</f>
        <v>0</v>
      </c>
      <c r="S314" s="453"/>
      <c r="T314" s="453"/>
      <c r="U314" s="753"/>
      <c r="V314" s="753"/>
      <c r="W314" s="753"/>
      <c r="X314" s="761"/>
      <c r="Y314" s="756"/>
      <c r="Z314" s="759"/>
      <c r="AA314" s="759"/>
      <c r="AB314" s="759"/>
      <c r="AC314" s="753"/>
      <c r="AD314" s="753"/>
      <c r="AE314" s="761"/>
      <c r="AF314" s="756"/>
      <c r="AG314" s="759"/>
      <c r="AH314" s="759"/>
      <c r="AI314" s="759"/>
      <c r="AJ314" s="753"/>
      <c r="AK314" s="753"/>
      <c r="AL314" s="761"/>
    </row>
    <row r="315" spans="2:38" ht="15.5" x14ac:dyDescent="0.45">
      <c r="B315" s="850"/>
      <c r="C315" s="277"/>
      <c r="D315" s="343" t="s">
        <v>109</v>
      </c>
      <c r="E315" s="300">
        <v>3.3000000000000002E-2</v>
      </c>
      <c r="F315" s="253" t="s">
        <v>108</v>
      </c>
      <c r="G315" s="229" t="s">
        <v>52</v>
      </c>
      <c r="H315" s="229"/>
      <c r="I315" s="967"/>
      <c r="J315" s="475"/>
      <c r="K315" s="602"/>
      <c r="L315" s="433">
        <f>E315*J311/K311</f>
        <v>1.0464300000000002</v>
      </c>
      <c r="M315" s="433"/>
      <c r="N315" s="433"/>
      <c r="O315" s="597">
        <v>1</v>
      </c>
      <c r="P315" s="596" t="str">
        <f>F315</f>
        <v>OH</v>
      </c>
      <c r="Q315" s="608">
        <f t="shared" si="27"/>
        <v>100000</v>
      </c>
      <c r="R315" s="453">
        <f>O315*Q315*K311</f>
        <v>500000</v>
      </c>
      <c r="S315" s="453"/>
      <c r="T315" s="453"/>
      <c r="U315" s="753"/>
      <c r="V315" s="753"/>
      <c r="W315" s="753"/>
      <c r="X315" s="761"/>
      <c r="Y315" s="756"/>
      <c r="Z315" s="759"/>
      <c r="AA315" s="759"/>
      <c r="AB315" s="759"/>
      <c r="AC315" s="753"/>
      <c r="AD315" s="753"/>
      <c r="AE315" s="761"/>
      <c r="AF315" s="756"/>
      <c r="AG315" s="759"/>
      <c r="AH315" s="759"/>
      <c r="AI315" s="759"/>
      <c r="AJ315" s="753"/>
      <c r="AK315" s="753"/>
      <c r="AL315" s="761"/>
    </row>
    <row r="316" spans="2:38" x14ac:dyDescent="0.45">
      <c r="B316" s="850"/>
      <c r="C316" s="277"/>
      <c r="D316" s="344"/>
      <c r="E316" s="361"/>
      <c r="F316" s="207" t="s">
        <v>5</v>
      </c>
      <c r="G316" s="231" t="s">
        <v>139</v>
      </c>
      <c r="H316" s="209"/>
      <c r="I316" s="966"/>
      <c r="J316" s="475"/>
      <c r="K316" s="602"/>
      <c r="L316" s="433"/>
      <c r="M316" s="433"/>
      <c r="N316" s="433"/>
      <c r="O316" s="597"/>
      <c r="P316" s="596"/>
      <c r="Q316" s="608">
        <f t="shared" si="27"/>
        <v>0</v>
      </c>
      <c r="R316" s="453"/>
      <c r="S316" s="453"/>
      <c r="T316" s="453"/>
      <c r="U316" s="753"/>
      <c r="V316" s="753"/>
      <c r="W316" s="753"/>
      <c r="X316" s="761"/>
      <c r="Y316" s="756"/>
      <c r="Z316" s="759"/>
      <c r="AA316" s="759"/>
      <c r="AB316" s="759"/>
      <c r="AC316" s="753"/>
      <c r="AD316" s="753"/>
      <c r="AE316" s="761"/>
      <c r="AF316" s="756"/>
      <c r="AG316" s="759"/>
      <c r="AH316" s="759"/>
      <c r="AI316" s="759"/>
      <c r="AJ316" s="753"/>
      <c r="AK316" s="753"/>
      <c r="AL316" s="761"/>
    </row>
    <row r="317" spans="2:38" ht="15.5" x14ac:dyDescent="0.45">
      <c r="B317" s="850"/>
      <c r="C317" s="277"/>
      <c r="D317" s="339"/>
      <c r="E317" s="366">
        <v>0.04</v>
      </c>
      <c r="F317" s="362" t="s">
        <v>65</v>
      </c>
      <c r="G317" s="367" t="s">
        <v>143</v>
      </c>
      <c r="H317" s="209"/>
      <c r="I317" s="966"/>
      <c r="J317" s="475"/>
      <c r="K317" s="602"/>
      <c r="L317" s="433"/>
      <c r="M317" s="433">
        <f>E317*J311</f>
        <v>6.3420000000000005</v>
      </c>
      <c r="N317" s="433"/>
      <c r="O317" s="597">
        <v>6.5</v>
      </c>
      <c r="P317" s="596" t="str">
        <f t="shared" ref="P317:P322" si="28">F317</f>
        <v>m3</v>
      </c>
      <c r="Q317" s="608">
        <f t="shared" si="27"/>
        <v>3000000</v>
      </c>
      <c r="R317" s="453"/>
      <c r="S317" s="453">
        <f t="shared" ref="S317:S322" si="29">O317*Q317</f>
        <v>19500000</v>
      </c>
      <c r="T317" s="453"/>
      <c r="U317" s="753"/>
      <c r="V317" s="753"/>
      <c r="W317" s="753"/>
      <c r="X317" s="761"/>
      <c r="Y317" s="756"/>
      <c r="Z317" s="759"/>
      <c r="AA317" s="759"/>
      <c r="AB317" s="759"/>
      <c r="AC317" s="753"/>
      <c r="AD317" s="753"/>
      <c r="AE317" s="761"/>
      <c r="AF317" s="756"/>
      <c r="AG317" s="759"/>
      <c r="AH317" s="759"/>
      <c r="AI317" s="759"/>
      <c r="AJ317" s="753"/>
      <c r="AK317" s="753"/>
      <c r="AL317" s="761"/>
    </row>
    <row r="318" spans="2:38" x14ac:dyDescent="0.45">
      <c r="B318" s="850"/>
      <c r="C318" s="277"/>
      <c r="D318" s="344"/>
      <c r="E318" s="298">
        <v>0.4</v>
      </c>
      <c r="F318" s="211" t="s">
        <v>39</v>
      </c>
      <c r="G318" s="209" t="s">
        <v>141</v>
      </c>
      <c r="H318" s="209"/>
      <c r="I318" s="966"/>
      <c r="J318" s="475"/>
      <c r="K318" s="602"/>
      <c r="L318" s="433"/>
      <c r="M318" s="433">
        <f>E318*J311</f>
        <v>63.420000000000009</v>
      </c>
      <c r="N318" s="433"/>
      <c r="O318" s="597">
        <v>63.5</v>
      </c>
      <c r="P318" s="596" t="str">
        <f t="shared" si="28"/>
        <v>Kg</v>
      </c>
      <c r="Q318" s="608">
        <f t="shared" si="27"/>
        <v>20000</v>
      </c>
      <c r="R318" s="433"/>
      <c r="S318" s="453">
        <f t="shared" si="29"/>
        <v>1270000</v>
      </c>
      <c r="T318" s="433"/>
      <c r="U318" s="753"/>
      <c r="V318" s="753"/>
      <c r="W318" s="753"/>
      <c r="X318" s="761"/>
      <c r="Y318" s="756"/>
      <c r="Z318" s="759"/>
      <c r="AA318" s="759"/>
      <c r="AB318" s="759"/>
      <c r="AC318" s="753"/>
      <c r="AD318" s="753"/>
      <c r="AE318" s="761"/>
      <c r="AF318" s="756"/>
      <c r="AG318" s="759"/>
      <c r="AH318" s="759"/>
      <c r="AI318" s="759"/>
      <c r="AJ318" s="753"/>
      <c r="AK318" s="753"/>
      <c r="AL318" s="761"/>
    </row>
    <row r="319" spans="2:38" x14ac:dyDescent="0.45">
      <c r="B319" s="850"/>
      <c r="C319" s="277"/>
      <c r="D319" s="344"/>
      <c r="E319" s="298">
        <v>0.2</v>
      </c>
      <c r="F319" s="211" t="s">
        <v>132</v>
      </c>
      <c r="G319" s="209" t="s">
        <v>142</v>
      </c>
      <c r="H319" s="209"/>
      <c r="I319" s="966"/>
      <c r="J319" s="475"/>
      <c r="K319" s="602"/>
      <c r="L319" s="433"/>
      <c r="M319" s="433">
        <f>E319*J311</f>
        <v>31.710000000000004</v>
      </c>
      <c r="N319" s="433"/>
      <c r="O319" s="597">
        <v>32</v>
      </c>
      <c r="P319" s="596" t="str">
        <f t="shared" si="28"/>
        <v>Ltr</v>
      </c>
      <c r="Q319" s="608">
        <f t="shared" si="27"/>
        <v>14000</v>
      </c>
      <c r="R319" s="433"/>
      <c r="S319" s="453">
        <f t="shared" si="29"/>
        <v>448000</v>
      </c>
      <c r="T319" s="433"/>
      <c r="U319" s="753"/>
      <c r="V319" s="753"/>
      <c r="W319" s="753"/>
      <c r="X319" s="761"/>
      <c r="Y319" s="756"/>
      <c r="Z319" s="759"/>
      <c r="AA319" s="759"/>
      <c r="AB319" s="759"/>
      <c r="AC319" s="753"/>
      <c r="AD319" s="753"/>
      <c r="AE319" s="761"/>
      <c r="AF319" s="756"/>
      <c r="AG319" s="759"/>
      <c r="AH319" s="759"/>
      <c r="AI319" s="759"/>
      <c r="AJ319" s="753"/>
      <c r="AK319" s="753"/>
      <c r="AL319" s="761"/>
    </row>
    <row r="320" spans="2:38" x14ac:dyDescent="0.45">
      <c r="B320" s="850"/>
      <c r="C320" s="277"/>
      <c r="D320" s="344"/>
      <c r="E320" s="299">
        <v>1.7999999999999999E-2</v>
      </c>
      <c r="F320" s="211" t="s">
        <v>65</v>
      </c>
      <c r="G320" s="209" t="s">
        <v>152</v>
      </c>
      <c r="H320" s="209"/>
      <c r="I320" s="966"/>
      <c r="J320" s="475"/>
      <c r="K320" s="602"/>
      <c r="L320" s="433"/>
      <c r="M320" s="433">
        <f>E320*J311</f>
        <v>2.8538999999999999</v>
      </c>
      <c r="N320" s="433"/>
      <c r="O320" s="597">
        <v>3</v>
      </c>
      <c r="P320" s="596" t="str">
        <f t="shared" si="28"/>
        <v>m3</v>
      </c>
      <c r="Q320" s="608">
        <f t="shared" si="27"/>
        <v>3000000</v>
      </c>
      <c r="R320" s="433"/>
      <c r="S320" s="453">
        <f t="shared" si="29"/>
        <v>9000000</v>
      </c>
      <c r="T320" s="433"/>
      <c r="U320" s="753"/>
      <c r="V320" s="753"/>
      <c r="W320" s="753"/>
      <c r="X320" s="761"/>
      <c r="Y320" s="756"/>
      <c r="Z320" s="759"/>
      <c r="AA320" s="759"/>
      <c r="AB320" s="759"/>
      <c r="AC320" s="753"/>
      <c r="AD320" s="753"/>
      <c r="AE320" s="761"/>
      <c r="AF320" s="756"/>
      <c r="AG320" s="759"/>
      <c r="AH320" s="759"/>
      <c r="AI320" s="759"/>
      <c r="AJ320" s="753"/>
      <c r="AK320" s="753"/>
      <c r="AL320" s="761"/>
    </row>
    <row r="321" spans="2:38" x14ac:dyDescent="0.45">
      <c r="B321" s="850"/>
      <c r="C321" s="277"/>
      <c r="D321" s="344"/>
      <c r="E321" s="222">
        <v>0.35</v>
      </c>
      <c r="F321" s="211" t="s">
        <v>133</v>
      </c>
      <c r="G321" s="209" t="s">
        <v>147</v>
      </c>
      <c r="H321" s="209"/>
      <c r="I321" s="966"/>
      <c r="J321" s="475"/>
      <c r="K321" s="602"/>
      <c r="L321" s="433"/>
      <c r="M321" s="433">
        <f>E321*J311</f>
        <v>55.4925</v>
      </c>
      <c r="N321" s="433"/>
      <c r="O321" s="597">
        <v>56</v>
      </c>
      <c r="P321" s="596" t="str">
        <f t="shared" si="28"/>
        <v>Lbr</v>
      </c>
      <c r="Q321" s="608">
        <f t="shared" si="27"/>
        <v>115000</v>
      </c>
      <c r="R321" s="433"/>
      <c r="S321" s="453">
        <f t="shared" si="29"/>
        <v>6440000</v>
      </c>
      <c r="T321" s="433"/>
      <c r="U321" s="753"/>
      <c r="V321" s="753"/>
      <c r="W321" s="753"/>
      <c r="X321" s="761"/>
      <c r="Y321" s="756"/>
      <c r="Z321" s="759"/>
      <c r="AA321" s="759"/>
      <c r="AB321" s="759"/>
      <c r="AC321" s="753"/>
      <c r="AD321" s="753"/>
      <c r="AE321" s="761"/>
      <c r="AF321" s="756"/>
      <c r="AG321" s="759"/>
      <c r="AH321" s="759"/>
      <c r="AI321" s="759"/>
      <c r="AJ321" s="753"/>
      <c r="AK321" s="753"/>
      <c r="AL321" s="761"/>
    </row>
    <row r="322" spans="2:38" x14ac:dyDescent="0.45">
      <c r="B322" s="850"/>
      <c r="C322" s="277"/>
      <c r="D322" s="345"/>
      <c r="E322" s="365">
        <v>2</v>
      </c>
      <c r="F322" s="253" t="s">
        <v>145</v>
      </c>
      <c r="G322" s="229" t="str">
        <f>G298</f>
        <v>Dolken Kayu Galam diameter 8 - 10 cm / 4 m</v>
      </c>
      <c r="H322" s="229"/>
      <c r="I322" s="967"/>
      <c r="J322" s="475"/>
      <c r="K322" s="602"/>
      <c r="L322" s="433"/>
      <c r="M322" s="433">
        <f>E322*J311</f>
        <v>317.10000000000002</v>
      </c>
      <c r="N322" s="433"/>
      <c r="O322" s="597">
        <v>317</v>
      </c>
      <c r="P322" s="596" t="str">
        <f t="shared" si="28"/>
        <v>Btg</v>
      </c>
      <c r="Q322" s="608">
        <f t="shared" si="27"/>
        <v>22500</v>
      </c>
      <c r="R322" s="433"/>
      <c r="S322" s="453">
        <f t="shared" si="29"/>
        <v>7132500</v>
      </c>
      <c r="T322" s="433"/>
      <c r="U322" s="753"/>
      <c r="V322" s="753"/>
      <c r="W322" s="753"/>
      <c r="X322" s="761"/>
      <c r="Y322" s="756"/>
      <c r="Z322" s="759"/>
      <c r="AA322" s="759"/>
      <c r="AB322" s="759"/>
      <c r="AC322" s="753"/>
      <c r="AD322" s="753"/>
      <c r="AE322" s="761"/>
      <c r="AF322" s="756"/>
      <c r="AG322" s="759"/>
      <c r="AH322" s="759"/>
      <c r="AI322" s="759"/>
      <c r="AJ322" s="753"/>
      <c r="AK322" s="753"/>
      <c r="AL322" s="761"/>
    </row>
    <row r="323" spans="2:38" x14ac:dyDescent="0.45">
      <c r="B323" s="813"/>
      <c r="C323" s="277"/>
      <c r="D323" s="279"/>
      <c r="E323" s="346"/>
      <c r="F323" s="207" t="s">
        <v>6</v>
      </c>
      <c r="G323" s="208" t="s">
        <v>111</v>
      </c>
      <c r="H323" s="209"/>
      <c r="I323" s="966"/>
      <c r="J323" s="475"/>
      <c r="K323" s="602"/>
      <c r="L323" s="433"/>
      <c r="M323" s="433"/>
      <c r="N323" s="433"/>
      <c r="O323" s="597"/>
      <c r="P323" s="596"/>
      <c r="Q323" s="608"/>
      <c r="R323" s="433"/>
      <c r="S323" s="433"/>
      <c r="T323" s="433"/>
      <c r="U323" s="433"/>
      <c r="V323" s="433"/>
      <c r="W323" s="433"/>
      <c r="X323" s="659"/>
      <c r="Y323" s="661"/>
      <c r="Z323" s="433"/>
      <c r="AA323" s="433"/>
      <c r="AB323" s="433"/>
      <c r="AC323" s="433"/>
      <c r="AD323" s="433"/>
      <c r="AE323" s="644"/>
      <c r="AF323" s="661"/>
      <c r="AG323" s="433"/>
      <c r="AH323" s="433"/>
      <c r="AI323" s="433"/>
      <c r="AJ323" s="433"/>
      <c r="AK323" s="433"/>
      <c r="AL323" s="644"/>
    </row>
    <row r="324" spans="2:38" x14ac:dyDescent="0.45">
      <c r="B324" s="813"/>
      <c r="C324" s="277"/>
      <c r="D324" s="279"/>
      <c r="E324" s="346"/>
      <c r="F324" s="207"/>
      <c r="G324" s="208"/>
      <c r="H324" s="209"/>
      <c r="I324" s="966"/>
      <c r="J324" s="475"/>
      <c r="K324" s="602"/>
      <c r="L324" s="433"/>
      <c r="M324" s="433"/>
      <c r="N324" s="433">
        <f>E324*J311</f>
        <v>0</v>
      </c>
      <c r="O324" s="597">
        <v>0</v>
      </c>
      <c r="P324" s="596">
        <v>0</v>
      </c>
      <c r="Q324" s="608">
        <f>Q300</f>
        <v>0</v>
      </c>
      <c r="R324" s="433"/>
      <c r="S324" s="433"/>
      <c r="T324" s="453">
        <f>O324*Q324</f>
        <v>0</v>
      </c>
      <c r="U324" s="433"/>
      <c r="V324" s="433"/>
      <c r="W324" s="433"/>
      <c r="X324" s="659"/>
      <c r="Y324" s="661"/>
      <c r="Z324" s="433"/>
      <c r="AA324" s="433"/>
      <c r="AB324" s="433"/>
      <c r="AC324" s="433"/>
      <c r="AD324" s="433"/>
      <c r="AE324" s="644"/>
      <c r="AF324" s="661"/>
      <c r="AG324" s="433"/>
      <c r="AH324" s="433"/>
      <c r="AI324" s="433"/>
      <c r="AJ324" s="433"/>
      <c r="AK324" s="433"/>
      <c r="AL324" s="644"/>
    </row>
    <row r="325" spans="2:38" x14ac:dyDescent="0.45">
      <c r="B325" s="813"/>
      <c r="C325" s="277"/>
      <c r="D325" s="279"/>
      <c r="E325" s="346"/>
      <c r="F325" s="207" t="s">
        <v>112</v>
      </c>
      <c r="G325" s="208" t="s">
        <v>113</v>
      </c>
      <c r="H325" s="209"/>
      <c r="I325" s="966"/>
      <c r="J325" s="475"/>
      <c r="K325" s="602"/>
      <c r="L325" s="433"/>
      <c r="M325" s="433"/>
      <c r="N325" s="433"/>
      <c r="O325" s="433"/>
      <c r="P325" s="433"/>
      <c r="Q325" s="595"/>
      <c r="R325" s="433"/>
      <c r="S325" s="433"/>
      <c r="T325" s="433"/>
      <c r="U325" s="433"/>
      <c r="V325" s="433"/>
      <c r="W325" s="433"/>
      <c r="X325" s="659"/>
      <c r="Y325" s="661"/>
      <c r="Z325" s="433"/>
      <c r="AA325" s="433"/>
      <c r="AB325" s="433"/>
      <c r="AC325" s="433"/>
      <c r="AD325" s="433"/>
      <c r="AE325" s="644"/>
      <c r="AF325" s="661"/>
      <c r="AG325" s="433"/>
      <c r="AH325" s="433"/>
      <c r="AI325" s="433"/>
      <c r="AJ325" s="433"/>
      <c r="AK325" s="433"/>
      <c r="AL325" s="644"/>
    </row>
    <row r="326" spans="2:38" x14ac:dyDescent="0.45">
      <c r="B326" s="813"/>
      <c r="C326" s="277"/>
      <c r="D326" s="343"/>
      <c r="E326" s="347"/>
      <c r="F326" s="239" t="s">
        <v>114</v>
      </c>
      <c r="G326" s="257" t="s">
        <v>166</v>
      </c>
      <c r="H326" s="229"/>
      <c r="I326" s="980">
        <v>0.15</v>
      </c>
      <c r="J326" s="475"/>
      <c r="K326" s="602"/>
      <c r="L326" s="433"/>
      <c r="M326" s="433"/>
      <c r="N326" s="433"/>
      <c r="O326" s="433"/>
      <c r="P326" s="433"/>
      <c r="Q326" s="595"/>
      <c r="R326" s="433"/>
      <c r="S326" s="433"/>
      <c r="T326" s="433"/>
      <c r="U326" s="433"/>
      <c r="V326" s="433"/>
      <c r="W326" s="433"/>
      <c r="X326" s="659"/>
      <c r="Y326" s="661"/>
      <c r="Z326" s="433"/>
      <c r="AA326" s="433"/>
      <c r="AB326" s="433"/>
      <c r="AC326" s="433"/>
      <c r="AD326" s="433"/>
      <c r="AE326" s="644"/>
      <c r="AF326" s="661"/>
      <c r="AG326" s="433"/>
      <c r="AH326" s="433"/>
      <c r="AI326" s="433"/>
      <c r="AJ326" s="433"/>
      <c r="AK326" s="433"/>
      <c r="AL326" s="644"/>
    </row>
    <row r="327" spans="2:38" ht="17" thickBot="1" x14ac:dyDescent="0.5">
      <c r="B327" s="830"/>
      <c r="C327" s="831"/>
      <c r="D327" s="832"/>
      <c r="E327" s="833"/>
      <c r="F327" s="834" t="s">
        <v>115</v>
      </c>
      <c r="G327" s="816" t="s">
        <v>127</v>
      </c>
      <c r="H327" s="835"/>
      <c r="I327" s="981"/>
      <c r="J327" s="793"/>
      <c r="K327" s="763"/>
      <c r="L327" s="655"/>
      <c r="M327" s="655"/>
      <c r="N327" s="655"/>
      <c r="O327" s="655"/>
      <c r="P327" s="655"/>
      <c r="Q327" s="654"/>
      <c r="R327" s="655"/>
      <c r="S327" s="655"/>
      <c r="T327" s="655"/>
      <c r="U327" s="655"/>
      <c r="V327" s="655"/>
      <c r="W327" s="655"/>
      <c r="X327" s="660"/>
      <c r="Y327" s="662"/>
      <c r="Z327" s="655"/>
      <c r="AA327" s="655"/>
      <c r="AB327" s="655"/>
      <c r="AC327" s="655"/>
      <c r="AD327" s="655"/>
      <c r="AE327" s="656"/>
      <c r="AF327" s="662"/>
      <c r="AG327" s="655"/>
      <c r="AH327" s="655"/>
      <c r="AI327" s="655"/>
      <c r="AJ327" s="655"/>
      <c r="AK327" s="655"/>
      <c r="AL327" s="656"/>
    </row>
    <row r="328" spans="2:38" x14ac:dyDescent="0.45">
      <c r="B328" s="294"/>
      <c r="C328" s="229"/>
      <c r="D328" s="275"/>
      <c r="E328" s="851"/>
      <c r="F328" s="276"/>
      <c r="G328" s="257"/>
      <c r="H328" s="229"/>
      <c r="I328" s="229"/>
      <c r="J328" s="609"/>
      <c r="K328" s="782"/>
      <c r="L328" s="609"/>
      <c r="M328" s="609"/>
      <c r="N328" s="609"/>
      <c r="O328" s="609"/>
      <c r="P328" s="609"/>
      <c r="Q328" s="604"/>
      <c r="R328" s="609"/>
      <c r="S328" s="609"/>
      <c r="T328" s="609"/>
      <c r="U328" s="609"/>
      <c r="V328" s="609"/>
      <c r="W328" s="609"/>
      <c r="X328" s="609"/>
      <c r="Y328" s="609"/>
      <c r="Z328" s="609"/>
      <c r="AA328" s="609"/>
      <c r="AB328" s="609"/>
      <c r="AC328" s="609"/>
      <c r="AD328" s="609"/>
      <c r="AE328" s="609"/>
      <c r="AF328" s="609"/>
      <c r="AG328" s="609"/>
      <c r="AH328" s="609"/>
      <c r="AI328" s="609"/>
      <c r="AJ328" s="609"/>
      <c r="AK328" s="609"/>
      <c r="AL328" s="609"/>
    </row>
    <row r="329" spans="2:38" ht="17" thickBot="1" x14ac:dyDescent="0.5">
      <c r="B329" s="749" t="s">
        <v>656</v>
      </c>
      <c r="C329" s="750" t="s">
        <v>657</v>
      </c>
      <c r="D329" s="241"/>
      <c r="E329" s="241"/>
      <c r="F329" s="276"/>
      <c r="G329" s="240"/>
      <c r="H329" s="241"/>
      <c r="I329" s="241"/>
      <c r="J329" s="604"/>
      <c r="K329" s="603"/>
      <c r="L329" s="604"/>
      <c r="M329" s="604"/>
      <c r="N329" s="604"/>
      <c r="O329" s="604"/>
      <c r="P329" s="604"/>
      <c r="Q329" s="604"/>
      <c r="R329" s="609"/>
      <c r="S329" s="609"/>
      <c r="T329" s="609"/>
      <c r="U329" s="609"/>
      <c r="V329" s="609"/>
      <c r="W329" s="609"/>
      <c r="X329" s="609"/>
      <c r="Y329" s="609"/>
      <c r="Z329" s="609"/>
      <c r="AA329" s="609"/>
      <c r="AB329" s="609"/>
      <c r="AC329" s="609"/>
      <c r="AD329" s="609"/>
      <c r="AE329" s="609"/>
      <c r="AF329" s="609"/>
      <c r="AG329" s="609"/>
      <c r="AH329" s="609"/>
      <c r="AI329" s="609"/>
      <c r="AJ329" s="609"/>
      <c r="AK329" s="609"/>
      <c r="AL329" s="609"/>
    </row>
    <row r="330" spans="2:38" ht="19.5" customHeight="1" x14ac:dyDescent="0.45">
      <c r="B330" s="1168" t="s">
        <v>99</v>
      </c>
      <c r="C330" s="1171" t="s">
        <v>100</v>
      </c>
      <c r="D330" s="1171" t="s">
        <v>89</v>
      </c>
      <c r="E330" s="1171" t="s">
        <v>101</v>
      </c>
      <c r="F330" s="1171" t="s">
        <v>102</v>
      </c>
      <c r="G330" s="1109" t="s">
        <v>103</v>
      </c>
      <c r="H330" s="1110"/>
      <c r="I330" s="1175"/>
      <c r="J330" s="1152" t="s">
        <v>539</v>
      </c>
      <c r="K330" s="1152"/>
      <c r="L330" s="1152"/>
      <c r="M330" s="1152"/>
      <c r="N330" s="1152"/>
      <c r="O330" s="1152"/>
      <c r="P330" s="1152"/>
      <c r="Q330" s="1152"/>
      <c r="R330" s="1152"/>
      <c r="S330" s="1152"/>
      <c r="T330" s="1152"/>
      <c r="U330" s="1152"/>
      <c r="V330" s="1152"/>
      <c r="W330" s="1152"/>
      <c r="X330" s="1152"/>
      <c r="Y330" s="1153" t="s">
        <v>540</v>
      </c>
      <c r="Z330" s="1154"/>
      <c r="AA330" s="1154"/>
      <c r="AB330" s="1154"/>
      <c r="AC330" s="1154"/>
      <c r="AD330" s="1154"/>
      <c r="AE330" s="1155"/>
      <c r="AF330" s="1156" t="s">
        <v>541</v>
      </c>
      <c r="AG330" s="1157"/>
      <c r="AH330" s="1157"/>
      <c r="AI330" s="1157"/>
      <c r="AJ330" s="1157"/>
      <c r="AK330" s="1157"/>
      <c r="AL330" s="1158"/>
    </row>
    <row r="331" spans="2:38" ht="45" x14ac:dyDescent="0.45">
      <c r="B331" s="1169"/>
      <c r="C331" s="1089"/>
      <c r="D331" s="1089"/>
      <c r="E331" s="1089"/>
      <c r="F331" s="1089"/>
      <c r="G331" s="1026"/>
      <c r="H331" s="1027"/>
      <c r="I331" s="1176"/>
      <c r="J331" s="1173" t="s">
        <v>15</v>
      </c>
      <c r="K331" s="673" t="s">
        <v>493</v>
      </c>
      <c r="L331" s="1161" t="s">
        <v>491</v>
      </c>
      <c r="M331" s="1162"/>
      <c r="N331" s="1162"/>
      <c r="O331" s="1162"/>
      <c r="P331" s="1163"/>
      <c r="Q331" s="674" t="s">
        <v>533</v>
      </c>
      <c r="R331" s="1161" t="s">
        <v>501</v>
      </c>
      <c r="S331" s="1162"/>
      <c r="T331" s="1163"/>
      <c r="U331" s="674" t="s">
        <v>530</v>
      </c>
      <c r="V331" s="674" t="s">
        <v>531</v>
      </c>
      <c r="W331" s="674" t="s">
        <v>578</v>
      </c>
      <c r="X331" s="681" t="s">
        <v>579</v>
      </c>
      <c r="Y331" s="1164" t="s">
        <v>534</v>
      </c>
      <c r="Z331" s="1165"/>
      <c r="AA331" s="663" t="s">
        <v>537</v>
      </c>
      <c r="AB331" s="664" t="s">
        <v>538</v>
      </c>
      <c r="AC331" s="665" t="s">
        <v>530</v>
      </c>
      <c r="AD331" s="665" t="s">
        <v>578</v>
      </c>
      <c r="AE331" s="682" t="s">
        <v>579</v>
      </c>
      <c r="AF331" s="1166" t="s">
        <v>542</v>
      </c>
      <c r="AG331" s="1167"/>
      <c r="AH331" s="737" t="s">
        <v>543</v>
      </c>
      <c r="AI331" s="738" t="s">
        <v>544</v>
      </c>
      <c r="AJ331" s="739" t="s">
        <v>530</v>
      </c>
      <c r="AK331" s="739" t="s">
        <v>578</v>
      </c>
      <c r="AL331" s="740" t="s">
        <v>579</v>
      </c>
    </row>
    <row r="332" spans="2:38" ht="30" x14ac:dyDescent="0.45">
      <c r="B332" s="1170"/>
      <c r="C332" s="1090"/>
      <c r="D332" s="1090"/>
      <c r="E332" s="1090"/>
      <c r="F332" s="1090"/>
      <c r="G332" s="1085"/>
      <c r="H332" s="1086"/>
      <c r="I332" s="1177"/>
      <c r="J332" s="1174"/>
      <c r="K332" s="675" t="s">
        <v>495</v>
      </c>
      <c r="L332" s="676" t="s">
        <v>524</v>
      </c>
      <c r="M332" s="676" t="s">
        <v>525</v>
      </c>
      <c r="N332" s="676" t="s">
        <v>526</v>
      </c>
      <c r="O332" s="675" t="s">
        <v>517</v>
      </c>
      <c r="P332" s="675" t="s">
        <v>290</v>
      </c>
      <c r="Q332" s="675" t="s">
        <v>532</v>
      </c>
      <c r="R332" s="676" t="s">
        <v>527</v>
      </c>
      <c r="S332" s="676" t="s">
        <v>528</v>
      </c>
      <c r="T332" s="677" t="s">
        <v>529</v>
      </c>
      <c r="U332" s="675" t="s">
        <v>502</v>
      </c>
      <c r="V332" s="675" t="s">
        <v>502</v>
      </c>
      <c r="W332" s="675" t="s">
        <v>502</v>
      </c>
      <c r="X332" s="678" t="s">
        <v>504</v>
      </c>
      <c r="Y332" s="666" t="s">
        <v>535</v>
      </c>
      <c r="Z332" s="667" t="s">
        <v>536</v>
      </c>
      <c r="AA332" s="668" t="s">
        <v>532</v>
      </c>
      <c r="AB332" s="668" t="s">
        <v>532</v>
      </c>
      <c r="AC332" s="668" t="s">
        <v>532</v>
      </c>
      <c r="AD332" s="668" t="s">
        <v>532</v>
      </c>
      <c r="AE332" s="669" t="s">
        <v>532</v>
      </c>
      <c r="AF332" s="741" t="s">
        <v>535</v>
      </c>
      <c r="AG332" s="742" t="s">
        <v>536</v>
      </c>
      <c r="AH332" s="743" t="s">
        <v>532</v>
      </c>
      <c r="AI332" s="743" t="s">
        <v>532</v>
      </c>
      <c r="AJ332" s="743" t="s">
        <v>532</v>
      </c>
      <c r="AK332" s="743" t="s">
        <v>532</v>
      </c>
      <c r="AL332" s="744" t="s">
        <v>532</v>
      </c>
    </row>
    <row r="333" spans="2:38" ht="30" x14ac:dyDescent="0.45">
      <c r="B333" s="639" t="s">
        <v>4</v>
      </c>
      <c r="C333" s="600" t="s">
        <v>5</v>
      </c>
      <c r="D333" s="570" t="s">
        <v>6</v>
      </c>
      <c r="E333" s="570" t="s">
        <v>112</v>
      </c>
      <c r="F333" s="570" t="s">
        <v>114</v>
      </c>
      <c r="G333" s="1014" t="s">
        <v>115</v>
      </c>
      <c r="H333" s="1014"/>
      <c r="I333" s="1172"/>
      <c r="J333" s="791" t="s">
        <v>21</v>
      </c>
      <c r="K333" s="675" t="s">
        <v>496</v>
      </c>
      <c r="L333" s="675" t="s">
        <v>497</v>
      </c>
      <c r="M333" s="675" t="s">
        <v>498</v>
      </c>
      <c r="N333" s="675" t="s">
        <v>499</v>
      </c>
      <c r="O333" s="676" t="s">
        <v>552</v>
      </c>
      <c r="P333" s="675" t="s">
        <v>512</v>
      </c>
      <c r="Q333" s="675" t="s">
        <v>503</v>
      </c>
      <c r="R333" s="675" t="s">
        <v>553</v>
      </c>
      <c r="S333" s="675" t="s">
        <v>513</v>
      </c>
      <c r="T333" s="675" t="s">
        <v>514</v>
      </c>
      <c r="U333" s="675" t="s">
        <v>554</v>
      </c>
      <c r="V333" s="675" t="s">
        <v>515</v>
      </c>
      <c r="W333" s="675" t="s">
        <v>555</v>
      </c>
      <c r="X333" s="678" t="s">
        <v>516</v>
      </c>
      <c r="Y333" s="670" t="s">
        <v>556</v>
      </c>
      <c r="Z333" s="671" t="s">
        <v>557</v>
      </c>
      <c r="AA333" s="671" t="s">
        <v>558</v>
      </c>
      <c r="AB333" s="671" t="s">
        <v>559</v>
      </c>
      <c r="AC333" s="671" t="s">
        <v>560</v>
      </c>
      <c r="AD333" s="671" t="s">
        <v>561</v>
      </c>
      <c r="AE333" s="672" t="s">
        <v>562</v>
      </c>
      <c r="AF333" s="745" t="s">
        <v>563</v>
      </c>
      <c r="AG333" s="746" t="s">
        <v>564</v>
      </c>
      <c r="AH333" s="746" t="s">
        <v>565</v>
      </c>
      <c r="AI333" s="746" t="s">
        <v>566</v>
      </c>
      <c r="AJ333" s="746" t="s">
        <v>567</v>
      </c>
      <c r="AK333" s="746" t="s">
        <v>568</v>
      </c>
      <c r="AL333" s="747" t="s">
        <v>569</v>
      </c>
    </row>
    <row r="334" spans="2:38" ht="15.5" x14ac:dyDescent="0.45">
      <c r="B334" s="764">
        <v>14</v>
      </c>
      <c r="C334" s="508" t="s">
        <v>190</v>
      </c>
      <c r="D334" s="797"/>
      <c r="E334" s="521">
        <v>1</v>
      </c>
      <c r="F334" s="584" t="s">
        <v>31</v>
      </c>
      <c r="G334" s="561" t="s">
        <v>245</v>
      </c>
      <c r="H334" s="562"/>
      <c r="I334" s="975"/>
      <c r="J334" s="789"/>
      <c r="K334" s="789"/>
      <c r="L334" s="789"/>
      <c r="M334" s="789"/>
      <c r="N334" s="789"/>
      <c r="O334" s="789"/>
      <c r="P334" s="789"/>
      <c r="Q334" s="789"/>
      <c r="R334" s="789"/>
      <c r="S334" s="789"/>
      <c r="T334" s="789"/>
      <c r="U334" s="789"/>
      <c r="V334" s="789"/>
      <c r="W334" s="789"/>
      <c r="X334" s="789"/>
      <c r="Y334" s="789"/>
      <c r="Z334" s="789"/>
      <c r="AA334" s="789"/>
      <c r="AB334" s="789"/>
      <c r="AC334" s="789"/>
      <c r="AD334" s="789"/>
      <c r="AE334" s="789"/>
      <c r="AF334" s="789"/>
      <c r="AG334" s="789"/>
      <c r="AH334" s="789"/>
      <c r="AI334" s="789"/>
      <c r="AJ334" s="789"/>
      <c r="AK334" s="789"/>
      <c r="AL334" s="790"/>
    </row>
    <row r="335" spans="2:38" x14ac:dyDescent="0.45">
      <c r="B335" s="849"/>
      <c r="C335" s="307"/>
      <c r="D335" s="344"/>
      <c r="E335" s="359"/>
      <c r="F335" s="207" t="s">
        <v>4</v>
      </c>
      <c r="G335" s="231" t="s">
        <v>120</v>
      </c>
      <c r="H335" s="209"/>
      <c r="I335" s="966"/>
      <c r="J335" s="792">
        <f>RAP!E52</f>
        <v>72.8</v>
      </c>
      <c r="K335" s="601">
        <v>3</v>
      </c>
      <c r="L335" s="319"/>
      <c r="M335" s="319"/>
      <c r="N335" s="319"/>
      <c r="O335" s="598"/>
      <c r="P335" s="598"/>
      <c r="Q335" s="605"/>
      <c r="R335" s="485"/>
      <c r="S335" s="485"/>
      <c r="T335" s="485"/>
      <c r="U335" s="752">
        <f>SUM(R335:R354)+(SUM(S335:S354)+SUM(T335:T354))</f>
        <v>4967000</v>
      </c>
      <c r="V335" s="754">
        <f>RAP!H52</f>
        <v>5721843.4000000004</v>
      </c>
      <c r="W335" s="752">
        <f>V335-U335</f>
        <v>754843.40000000037</v>
      </c>
      <c r="X335" s="760">
        <f>W335/V335*100</f>
        <v>13.192311414884236</v>
      </c>
      <c r="Y335" s="755">
        <f>SUM(R335:R354)/J335</f>
        <v>26991.758241758242</v>
      </c>
      <c r="Z335" s="757">
        <v>25000</v>
      </c>
      <c r="AA335" s="758">
        <f>J335*Z335</f>
        <v>1820000</v>
      </c>
      <c r="AB335" s="758">
        <f>SUM(S335:S354)+SUM(T335:T354)</f>
        <v>3002000</v>
      </c>
      <c r="AC335" s="752">
        <f>AA335+AB335</f>
        <v>4822000</v>
      </c>
      <c r="AD335" s="752">
        <f>V335-AC335</f>
        <v>899843.40000000037</v>
      </c>
      <c r="AE335" s="760">
        <f>AD335/V335*100</f>
        <v>15.726459762949826</v>
      </c>
      <c r="AF335" s="755">
        <f>(SUM(R335:R354)+SUM(S335:S354))/J335</f>
        <v>68228.021978021978</v>
      </c>
      <c r="AG335" s="757">
        <v>65000</v>
      </c>
      <c r="AH335" s="758">
        <f>AG335*J335</f>
        <v>4732000</v>
      </c>
      <c r="AI335" s="758">
        <f>SUM(T335:T354)</f>
        <v>0</v>
      </c>
      <c r="AJ335" s="752">
        <f>AH335+AI335</f>
        <v>4732000</v>
      </c>
      <c r="AK335" s="752">
        <f>V335-AJ335</f>
        <v>989843.40000000037</v>
      </c>
      <c r="AL335" s="760">
        <f>AK335/V335*100</f>
        <v>17.299379427266402</v>
      </c>
    </row>
    <row r="336" spans="2:38" ht="15.5" x14ac:dyDescent="0.45">
      <c r="B336" s="850"/>
      <c r="C336" s="277"/>
      <c r="D336" s="279" t="s">
        <v>107</v>
      </c>
      <c r="E336" s="222">
        <v>0.18</v>
      </c>
      <c r="F336" s="267" t="s">
        <v>108</v>
      </c>
      <c r="G336" s="339" t="s">
        <v>51</v>
      </c>
      <c r="H336" s="209"/>
      <c r="I336" s="966"/>
      <c r="J336" s="475"/>
      <c r="K336" s="602"/>
      <c r="L336" s="433">
        <f>E336*J335/K335</f>
        <v>4.3679999999999994</v>
      </c>
      <c r="M336" s="433"/>
      <c r="N336" s="433"/>
      <c r="O336" s="597">
        <v>4</v>
      </c>
      <c r="P336" s="596" t="str">
        <f t="shared" ref="P336:P341" si="30">F336</f>
        <v>OH</v>
      </c>
      <c r="Q336" s="608">
        <f>'Analisa Upah RAP'!G5</f>
        <v>75000</v>
      </c>
      <c r="R336" s="453">
        <f>O336*Q336*K335</f>
        <v>900000</v>
      </c>
      <c r="S336" s="453"/>
      <c r="T336" s="453"/>
      <c r="U336" s="753"/>
      <c r="V336" s="753"/>
      <c r="W336" s="753"/>
      <c r="X336" s="761"/>
      <c r="Y336" s="756"/>
      <c r="Z336" s="759"/>
      <c r="AA336" s="759"/>
      <c r="AB336" s="759"/>
      <c r="AC336" s="753"/>
      <c r="AD336" s="753"/>
      <c r="AE336" s="761"/>
      <c r="AF336" s="756"/>
      <c r="AG336" s="759"/>
      <c r="AH336" s="759"/>
      <c r="AI336" s="759"/>
      <c r="AJ336" s="753"/>
      <c r="AK336" s="753"/>
      <c r="AL336" s="761"/>
    </row>
    <row r="337" spans="2:38" ht="15.5" x14ac:dyDescent="0.45">
      <c r="B337" s="850"/>
      <c r="C337" s="277"/>
      <c r="D337" s="279" t="str">
        <f>D338</f>
        <v>L.02</v>
      </c>
      <c r="E337" s="222">
        <v>0.02</v>
      </c>
      <c r="F337" s="267" t="s">
        <v>108</v>
      </c>
      <c r="G337" s="339" t="s">
        <v>57</v>
      </c>
      <c r="H337" s="209"/>
      <c r="I337" s="966"/>
      <c r="J337" s="475"/>
      <c r="K337" s="602"/>
      <c r="L337" s="433">
        <f>E337*J335/K335</f>
        <v>0.48533333333333334</v>
      </c>
      <c r="M337" s="433"/>
      <c r="N337" s="433"/>
      <c r="O337" s="597">
        <v>1</v>
      </c>
      <c r="P337" s="596" t="str">
        <f t="shared" si="30"/>
        <v>OH</v>
      </c>
      <c r="Q337" s="608">
        <f>'Analisa Upah RAP'!G7</f>
        <v>85000</v>
      </c>
      <c r="R337" s="453">
        <f>O337*Q337*K335</f>
        <v>255000</v>
      </c>
      <c r="S337" s="453"/>
      <c r="T337" s="453"/>
      <c r="U337" s="753"/>
      <c r="V337" s="753"/>
      <c r="W337" s="753"/>
      <c r="X337" s="761"/>
      <c r="Y337" s="756"/>
      <c r="Z337" s="759"/>
      <c r="AA337" s="759"/>
      <c r="AB337" s="759"/>
      <c r="AC337" s="753"/>
      <c r="AD337" s="753"/>
      <c r="AE337" s="761"/>
      <c r="AF337" s="756"/>
      <c r="AG337" s="759"/>
      <c r="AH337" s="759"/>
      <c r="AI337" s="759"/>
      <c r="AJ337" s="753"/>
      <c r="AK337" s="753"/>
      <c r="AL337" s="761"/>
    </row>
    <row r="338" spans="2:38" ht="15.5" x14ac:dyDescent="0.45">
      <c r="B338" s="850"/>
      <c r="C338" s="277"/>
      <c r="D338" s="279" t="s">
        <v>121</v>
      </c>
      <c r="E338" s="222">
        <v>0.02</v>
      </c>
      <c r="F338" s="267" t="s">
        <v>108</v>
      </c>
      <c r="G338" s="339" t="s">
        <v>56</v>
      </c>
      <c r="H338" s="209"/>
      <c r="I338" s="966"/>
      <c r="J338" s="475"/>
      <c r="K338" s="602"/>
      <c r="L338" s="433">
        <f>E338*J335/K335</f>
        <v>0.48533333333333334</v>
      </c>
      <c r="M338" s="433"/>
      <c r="N338" s="433"/>
      <c r="O338" s="597">
        <v>1</v>
      </c>
      <c r="P338" s="596" t="str">
        <f t="shared" si="30"/>
        <v>OH</v>
      </c>
      <c r="Q338" s="608">
        <f>'Analisa Upah RAP'!G6</f>
        <v>85000</v>
      </c>
      <c r="R338" s="453">
        <f>O338*Q338*K335</f>
        <v>255000</v>
      </c>
      <c r="S338" s="453"/>
      <c r="T338" s="453"/>
      <c r="U338" s="753"/>
      <c r="V338" s="753"/>
      <c r="W338" s="753"/>
      <c r="X338" s="761"/>
      <c r="Y338" s="756"/>
      <c r="Z338" s="759"/>
      <c r="AA338" s="759"/>
      <c r="AB338" s="759"/>
      <c r="AC338" s="753"/>
      <c r="AD338" s="753"/>
      <c r="AE338" s="761"/>
      <c r="AF338" s="756"/>
      <c r="AG338" s="759"/>
      <c r="AH338" s="759"/>
      <c r="AI338" s="759"/>
      <c r="AJ338" s="753"/>
      <c r="AK338" s="753"/>
      <c r="AL338" s="761"/>
    </row>
    <row r="339" spans="2:38" ht="15.5" x14ac:dyDescent="0.45">
      <c r="B339" s="850"/>
      <c r="C339" s="277"/>
      <c r="D339" s="279" t="str">
        <f>D338</f>
        <v>L.02</v>
      </c>
      <c r="E339" s="222">
        <v>0.02</v>
      </c>
      <c r="F339" s="267" t="s">
        <v>108</v>
      </c>
      <c r="G339" s="339" t="s">
        <v>58</v>
      </c>
      <c r="H339" s="209"/>
      <c r="I339" s="966"/>
      <c r="J339" s="475"/>
      <c r="K339" s="602"/>
      <c r="L339" s="433">
        <f>E339*J335/K335</f>
        <v>0.48533333333333334</v>
      </c>
      <c r="M339" s="433"/>
      <c r="N339" s="433"/>
      <c r="O339" s="597">
        <v>1</v>
      </c>
      <c r="P339" s="596" t="str">
        <f t="shared" si="30"/>
        <v>OH</v>
      </c>
      <c r="Q339" s="608">
        <f>'Analisa Upah RAP'!G8</f>
        <v>85000</v>
      </c>
      <c r="R339" s="453">
        <f>O339*Q339*K335</f>
        <v>255000</v>
      </c>
      <c r="S339" s="453"/>
      <c r="T339" s="453"/>
      <c r="U339" s="753"/>
      <c r="V339" s="753"/>
      <c r="W339" s="753"/>
      <c r="X339" s="761"/>
      <c r="Y339" s="756"/>
      <c r="Z339" s="759"/>
      <c r="AA339" s="759"/>
      <c r="AB339" s="759"/>
      <c r="AC339" s="753"/>
      <c r="AD339" s="753"/>
      <c r="AE339" s="761"/>
      <c r="AF339" s="756"/>
      <c r="AG339" s="759"/>
      <c r="AH339" s="759"/>
      <c r="AI339" s="759"/>
      <c r="AJ339" s="753"/>
      <c r="AK339" s="753"/>
      <c r="AL339" s="761"/>
    </row>
    <row r="340" spans="2:38" ht="15.5" x14ac:dyDescent="0.45">
      <c r="B340" s="850"/>
      <c r="C340" s="277"/>
      <c r="D340" s="279" t="s">
        <v>122</v>
      </c>
      <c r="E340" s="299">
        <v>6.0000000000000001E-3</v>
      </c>
      <c r="F340" s="267" t="s">
        <v>108</v>
      </c>
      <c r="G340" s="339" t="s">
        <v>123</v>
      </c>
      <c r="H340" s="209"/>
      <c r="I340" s="966"/>
      <c r="J340" s="475"/>
      <c r="K340" s="602"/>
      <c r="L340" s="433">
        <f>E340*J335/K335</f>
        <v>0.14559999999999998</v>
      </c>
      <c r="M340" s="433"/>
      <c r="N340" s="433"/>
      <c r="O340" s="597">
        <v>0</v>
      </c>
      <c r="P340" s="596" t="str">
        <f t="shared" si="30"/>
        <v>OH</v>
      </c>
      <c r="Q340" s="608">
        <f>'Analisa Upah RAP'!G11</f>
        <v>90000</v>
      </c>
      <c r="R340" s="453">
        <f>O340*Q340*K335</f>
        <v>0</v>
      </c>
      <c r="S340" s="453"/>
      <c r="T340" s="453"/>
      <c r="U340" s="753"/>
      <c r="V340" s="753"/>
      <c r="W340" s="753"/>
      <c r="X340" s="761"/>
      <c r="Y340" s="756"/>
      <c r="Z340" s="759"/>
      <c r="AA340" s="759"/>
      <c r="AB340" s="759"/>
      <c r="AC340" s="753"/>
      <c r="AD340" s="753"/>
      <c r="AE340" s="761"/>
      <c r="AF340" s="756"/>
      <c r="AG340" s="759"/>
      <c r="AH340" s="759"/>
      <c r="AI340" s="759"/>
      <c r="AJ340" s="753"/>
      <c r="AK340" s="753"/>
      <c r="AL340" s="761"/>
    </row>
    <row r="341" spans="2:38" ht="15.5" x14ac:dyDescent="0.45">
      <c r="B341" s="850"/>
      <c r="C341" s="277"/>
      <c r="D341" s="343" t="s">
        <v>109</v>
      </c>
      <c r="E341" s="358">
        <v>8.9999999999999993E-3</v>
      </c>
      <c r="F341" s="275" t="s">
        <v>108</v>
      </c>
      <c r="G341" s="351" t="s">
        <v>52</v>
      </c>
      <c r="H341" s="229"/>
      <c r="I341" s="967"/>
      <c r="J341" s="475"/>
      <c r="K341" s="602"/>
      <c r="L341" s="433">
        <f>E341*J335/K335</f>
        <v>0.21839999999999996</v>
      </c>
      <c r="M341" s="433"/>
      <c r="N341" s="433"/>
      <c r="O341" s="597">
        <v>1</v>
      </c>
      <c r="P341" s="596" t="str">
        <f t="shared" si="30"/>
        <v>OH</v>
      </c>
      <c r="Q341" s="608">
        <f>'Analisa Upah RAP'!G12</f>
        <v>100000</v>
      </c>
      <c r="R341" s="453">
        <f>O341*Q341*K335</f>
        <v>300000</v>
      </c>
      <c r="S341" s="453"/>
      <c r="T341" s="453"/>
      <c r="U341" s="753"/>
      <c r="V341" s="753"/>
      <c r="W341" s="753"/>
      <c r="X341" s="761"/>
      <c r="Y341" s="756"/>
      <c r="Z341" s="759"/>
      <c r="AA341" s="759"/>
      <c r="AB341" s="759"/>
      <c r="AC341" s="753"/>
      <c r="AD341" s="753"/>
      <c r="AE341" s="761"/>
      <c r="AF341" s="756"/>
      <c r="AG341" s="759"/>
      <c r="AH341" s="759"/>
      <c r="AI341" s="759"/>
      <c r="AJ341" s="753"/>
      <c r="AK341" s="753"/>
      <c r="AL341" s="761"/>
    </row>
    <row r="342" spans="2:38" x14ac:dyDescent="0.45">
      <c r="B342" s="850"/>
      <c r="C342" s="277"/>
      <c r="D342" s="344"/>
      <c r="E342" s="361"/>
      <c r="F342" s="285" t="s">
        <v>5</v>
      </c>
      <c r="G342" s="353" t="s">
        <v>139</v>
      </c>
      <c r="H342" s="209"/>
      <c r="I342" s="966"/>
      <c r="J342" s="475"/>
      <c r="K342" s="602"/>
      <c r="L342" s="433"/>
      <c r="M342" s="433"/>
      <c r="N342" s="433"/>
      <c r="O342" s="597"/>
      <c r="P342" s="596"/>
      <c r="Q342" s="608"/>
      <c r="R342" s="453"/>
      <c r="S342" s="453"/>
      <c r="T342" s="453"/>
      <c r="U342" s="753"/>
      <c r="V342" s="753"/>
      <c r="W342" s="753"/>
      <c r="X342" s="761"/>
      <c r="Y342" s="756"/>
      <c r="Z342" s="759"/>
      <c r="AA342" s="759"/>
      <c r="AB342" s="759"/>
      <c r="AC342" s="753"/>
      <c r="AD342" s="753"/>
      <c r="AE342" s="761"/>
      <c r="AF342" s="756"/>
      <c r="AG342" s="759"/>
      <c r="AH342" s="759"/>
      <c r="AI342" s="759"/>
      <c r="AJ342" s="753"/>
      <c r="AK342" s="753"/>
      <c r="AL342" s="761"/>
    </row>
    <row r="343" spans="2:38" x14ac:dyDescent="0.45">
      <c r="B343" s="850"/>
      <c r="C343" s="277"/>
      <c r="D343" s="344"/>
      <c r="E343" s="299">
        <v>2E-3</v>
      </c>
      <c r="F343" s="267" t="s">
        <v>65</v>
      </c>
      <c r="G343" s="339" t="s">
        <v>140</v>
      </c>
      <c r="H343" s="209"/>
      <c r="I343" s="966"/>
      <c r="J343" s="475"/>
      <c r="K343" s="602"/>
      <c r="L343" s="433"/>
      <c r="M343" s="433">
        <f>E343*J335</f>
        <v>0.14560000000000001</v>
      </c>
      <c r="N343" s="433"/>
      <c r="O343" s="597">
        <v>0</v>
      </c>
      <c r="P343" s="596" t="str">
        <f t="shared" ref="P343:P349" si="31">F343</f>
        <v>m3</v>
      </c>
      <c r="Q343" s="608">
        <f>'Harga Bahan RAP'!G28</f>
        <v>3000000</v>
      </c>
      <c r="R343" s="453"/>
      <c r="S343" s="453">
        <f>O343*Q343</f>
        <v>0</v>
      </c>
      <c r="T343" s="453"/>
      <c r="U343" s="753"/>
      <c r="V343" s="753"/>
      <c r="W343" s="753"/>
      <c r="X343" s="761"/>
      <c r="Y343" s="756"/>
      <c r="Z343" s="759"/>
      <c r="AA343" s="759"/>
      <c r="AB343" s="759"/>
      <c r="AC343" s="753"/>
      <c r="AD343" s="753"/>
      <c r="AE343" s="761"/>
      <c r="AF343" s="756"/>
      <c r="AG343" s="759"/>
      <c r="AH343" s="759"/>
      <c r="AI343" s="759"/>
      <c r="AJ343" s="753"/>
      <c r="AK343" s="753"/>
      <c r="AL343" s="761"/>
    </row>
    <row r="344" spans="2:38" x14ac:dyDescent="0.45">
      <c r="B344" s="850"/>
      <c r="C344" s="277"/>
      <c r="D344" s="344"/>
      <c r="E344" s="222">
        <v>0.01</v>
      </c>
      <c r="F344" s="267" t="s">
        <v>39</v>
      </c>
      <c r="G344" s="339" t="s">
        <v>148</v>
      </c>
      <c r="H344" s="209"/>
      <c r="I344" s="966"/>
      <c r="J344" s="475"/>
      <c r="K344" s="602"/>
      <c r="L344" s="433"/>
      <c r="M344" s="433">
        <f>E344*J335</f>
        <v>0.72799999999999998</v>
      </c>
      <c r="N344" s="433"/>
      <c r="O344" s="597">
        <v>0.5</v>
      </c>
      <c r="P344" s="596" t="str">
        <f t="shared" si="31"/>
        <v>Kg</v>
      </c>
      <c r="Q344" s="608">
        <f>'Harga Bahan RAP'!G122</f>
        <v>20000</v>
      </c>
      <c r="R344" s="433"/>
      <c r="S344" s="453">
        <f t="shared" ref="S344:S349" si="32">O344*Q344</f>
        <v>10000</v>
      </c>
      <c r="T344" s="433"/>
      <c r="U344" s="753"/>
      <c r="V344" s="753"/>
      <c r="W344" s="753"/>
      <c r="X344" s="761"/>
      <c r="Y344" s="756"/>
      <c r="Z344" s="759"/>
      <c r="AA344" s="759"/>
      <c r="AB344" s="759"/>
      <c r="AC344" s="753"/>
      <c r="AD344" s="753"/>
      <c r="AE344" s="761"/>
      <c r="AF344" s="756"/>
      <c r="AG344" s="759"/>
      <c r="AH344" s="759"/>
      <c r="AI344" s="759"/>
      <c r="AJ344" s="753"/>
      <c r="AK344" s="753"/>
      <c r="AL344" s="761"/>
    </row>
    <row r="345" spans="2:38" x14ac:dyDescent="0.45">
      <c r="B345" s="850"/>
      <c r="C345" s="277"/>
      <c r="D345" s="344"/>
      <c r="E345" s="280">
        <v>3</v>
      </c>
      <c r="F345" s="211" t="s">
        <v>39</v>
      </c>
      <c r="G345" s="209" t="s">
        <v>149</v>
      </c>
      <c r="H345" s="209"/>
      <c r="I345" s="966"/>
      <c r="J345" s="475"/>
      <c r="K345" s="602"/>
      <c r="L345" s="433"/>
      <c r="M345" s="433">
        <f>E345*J335</f>
        <v>218.39999999999998</v>
      </c>
      <c r="N345" s="433"/>
      <c r="O345" s="597">
        <v>219</v>
      </c>
      <c r="P345" s="596" t="str">
        <f t="shared" si="31"/>
        <v>Kg</v>
      </c>
      <c r="Q345" s="608">
        <f>'Harga Bahan RAP'!G48</f>
        <v>10500</v>
      </c>
      <c r="R345" s="433"/>
      <c r="S345" s="453">
        <f t="shared" si="32"/>
        <v>2299500</v>
      </c>
      <c r="T345" s="433"/>
      <c r="U345" s="753"/>
      <c r="V345" s="753"/>
      <c r="W345" s="753"/>
      <c r="X345" s="761"/>
      <c r="Y345" s="756"/>
      <c r="Z345" s="759"/>
      <c r="AA345" s="759"/>
      <c r="AB345" s="759"/>
      <c r="AC345" s="753"/>
      <c r="AD345" s="753"/>
      <c r="AE345" s="761"/>
      <c r="AF345" s="756"/>
      <c r="AG345" s="759"/>
      <c r="AH345" s="759"/>
      <c r="AI345" s="759"/>
      <c r="AJ345" s="753"/>
      <c r="AK345" s="753"/>
      <c r="AL345" s="761"/>
    </row>
    <row r="346" spans="2:38" x14ac:dyDescent="0.45">
      <c r="B346" s="850"/>
      <c r="C346" s="277"/>
      <c r="D346" s="344"/>
      <c r="E346" s="299">
        <v>4.4999999999999998E-2</v>
      </c>
      <c r="F346" s="267" t="s">
        <v>39</v>
      </c>
      <c r="G346" s="339" t="s">
        <v>137</v>
      </c>
      <c r="H346" s="209"/>
      <c r="I346" s="966"/>
      <c r="J346" s="475"/>
      <c r="K346" s="602"/>
      <c r="L346" s="433"/>
      <c r="M346" s="433">
        <f>E346*J335</f>
        <v>3.2759999999999998</v>
      </c>
      <c r="N346" s="433"/>
      <c r="O346" s="597">
        <v>3</v>
      </c>
      <c r="P346" s="596" t="str">
        <f t="shared" si="31"/>
        <v>Kg</v>
      </c>
      <c r="Q346" s="608">
        <f>'Harga Bahan RAP'!G51</f>
        <v>17500</v>
      </c>
      <c r="R346" s="433"/>
      <c r="S346" s="453">
        <f t="shared" si="32"/>
        <v>52500</v>
      </c>
      <c r="T346" s="433"/>
      <c r="U346" s="753"/>
      <c r="V346" s="753"/>
      <c r="W346" s="753"/>
      <c r="X346" s="761"/>
      <c r="Y346" s="756"/>
      <c r="Z346" s="759"/>
      <c r="AA346" s="759"/>
      <c r="AB346" s="759"/>
      <c r="AC346" s="753"/>
      <c r="AD346" s="753"/>
      <c r="AE346" s="761"/>
      <c r="AF346" s="756"/>
      <c r="AG346" s="759"/>
      <c r="AH346" s="759"/>
      <c r="AI346" s="759"/>
      <c r="AJ346" s="753"/>
      <c r="AK346" s="753"/>
      <c r="AL346" s="761"/>
    </row>
    <row r="347" spans="2:38" x14ac:dyDescent="0.45">
      <c r="B347" s="850"/>
      <c r="C347" s="277"/>
      <c r="D347" s="836"/>
      <c r="E347" s="818">
        <f>4/40</f>
        <v>0.1</v>
      </c>
      <c r="F347" s="819" t="s">
        <v>347</v>
      </c>
      <c r="G347" s="842" t="s">
        <v>129</v>
      </c>
      <c r="H347" s="821"/>
      <c r="I347" s="977"/>
      <c r="J347" s="475"/>
      <c r="K347" s="602"/>
      <c r="L347" s="433"/>
      <c r="M347" s="433">
        <f>E347*J335</f>
        <v>7.28</v>
      </c>
      <c r="N347" s="433"/>
      <c r="O347" s="597">
        <v>7</v>
      </c>
      <c r="P347" s="596" t="str">
        <f t="shared" si="31"/>
        <v>Zak</v>
      </c>
      <c r="Q347" s="608">
        <f>'Harga Bahan RAP'!G11</f>
        <v>45000</v>
      </c>
      <c r="R347" s="433"/>
      <c r="S347" s="453">
        <f t="shared" si="32"/>
        <v>315000</v>
      </c>
      <c r="T347" s="433"/>
      <c r="U347" s="753"/>
      <c r="V347" s="753"/>
      <c r="W347" s="753"/>
      <c r="X347" s="761"/>
      <c r="Y347" s="756"/>
      <c r="Z347" s="759"/>
      <c r="AA347" s="759"/>
      <c r="AB347" s="759"/>
      <c r="AC347" s="753"/>
      <c r="AD347" s="753"/>
      <c r="AE347" s="761"/>
      <c r="AF347" s="756"/>
      <c r="AG347" s="759"/>
      <c r="AH347" s="759"/>
      <c r="AI347" s="759"/>
      <c r="AJ347" s="753"/>
      <c r="AK347" s="753"/>
      <c r="AL347" s="761"/>
    </row>
    <row r="348" spans="2:38" x14ac:dyDescent="0.45">
      <c r="B348" s="850"/>
      <c r="C348" s="277"/>
      <c r="D348" s="344"/>
      <c r="E348" s="299">
        <v>6.0000000000000001E-3</v>
      </c>
      <c r="F348" s="267" t="s">
        <v>65</v>
      </c>
      <c r="G348" s="339" t="s">
        <v>150</v>
      </c>
      <c r="H348" s="209"/>
      <c r="I348" s="966"/>
      <c r="J348" s="475"/>
      <c r="K348" s="602"/>
      <c r="L348" s="433"/>
      <c r="M348" s="433">
        <f>E348*J335</f>
        <v>0.43679999999999997</v>
      </c>
      <c r="N348" s="433"/>
      <c r="O348" s="597">
        <v>0.5</v>
      </c>
      <c r="P348" s="596" t="str">
        <f t="shared" si="31"/>
        <v>m3</v>
      </c>
      <c r="Q348" s="608">
        <f>'Harga Bahan RAP'!G9</f>
        <v>325000</v>
      </c>
      <c r="R348" s="433"/>
      <c r="S348" s="453">
        <f t="shared" si="32"/>
        <v>162500</v>
      </c>
      <c r="T348" s="433"/>
      <c r="U348" s="753"/>
      <c r="V348" s="753"/>
      <c r="W348" s="753"/>
      <c r="X348" s="761"/>
      <c r="Y348" s="756"/>
      <c r="Z348" s="759"/>
      <c r="AA348" s="759"/>
      <c r="AB348" s="759"/>
      <c r="AC348" s="753"/>
      <c r="AD348" s="753"/>
      <c r="AE348" s="761"/>
      <c r="AF348" s="756"/>
      <c r="AG348" s="759"/>
      <c r="AH348" s="759"/>
      <c r="AI348" s="759"/>
      <c r="AJ348" s="753"/>
      <c r="AK348" s="753"/>
      <c r="AL348" s="761"/>
    </row>
    <row r="349" spans="2:38" x14ac:dyDescent="0.45">
      <c r="B349" s="850"/>
      <c r="C349" s="277"/>
      <c r="D349" s="371"/>
      <c r="E349" s="303">
        <v>8.9999999999999993E-3</v>
      </c>
      <c r="F349" s="372" t="s">
        <v>65</v>
      </c>
      <c r="G349" s="373" t="s">
        <v>151</v>
      </c>
      <c r="H349" s="374"/>
      <c r="I349" s="983"/>
      <c r="J349" s="475"/>
      <c r="K349" s="602"/>
      <c r="L349" s="433"/>
      <c r="M349" s="433">
        <f>E349*J335</f>
        <v>0.65519999999999989</v>
      </c>
      <c r="N349" s="433"/>
      <c r="O349" s="597">
        <v>0.5</v>
      </c>
      <c r="P349" s="596" t="str">
        <f t="shared" si="31"/>
        <v>m3</v>
      </c>
      <c r="Q349" s="608">
        <f>'Harga Bahan RAP'!G7</f>
        <v>325000</v>
      </c>
      <c r="R349" s="433"/>
      <c r="S349" s="453">
        <f t="shared" si="32"/>
        <v>162500</v>
      </c>
      <c r="T349" s="433"/>
      <c r="U349" s="753"/>
      <c r="V349" s="753"/>
      <c r="W349" s="753"/>
      <c r="X349" s="853"/>
      <c r="Y349" s="756"/>
      <c r="Z349" s="759"/>
      <c r="AA349" s="759"/>
      <c r="AB349" s="759"/>
      <c r="AC349" s="753"/>
      <c r="AD349" s="753"/>
      <c r="AE349" s="761"/>
      <c r="AF349" s="756"/>
      <c r="AG349" s="759"/>
      <c r="AH349" s="759"/>
      <c r="AI349" s="759"/>
      <c r="AJ349" s="753"/>
      <c r="AK349" s="753"/>
      <c r="AL349" s="761"/>
    </row>
    <row r="350" spans="2:38" x14ac:dyDescent="0.45">
      <c r="B350" s="813"/>
      <c r="C350" s="277"/>
      <c r="D350" s="279"/>
      <c r="E350" s="346"/>
      <c r="F350" s="207" t="s">
        <v>6</v>
      </c>
      <c r="G350" s="208" t="s">
        <v>111</v>
      </c>
      <c r="H350" s="209"/>
      <c r="I350" s="966"/>
      <c r="J350" s="475"/>
      <c r="K350" s="602"/>
      <c r="L350" s="433"/>
      <c r="M350" s="433"/>
      <c r="N350" s="433"/>
      <c r="O350" s="597"/>
      <c r="P350" s="596"/>
      <c r="Q350" s="608"/>
      <c r="R350" s="433"/>
      <c r="S350" s="433"/>
      <c r="T350" s="433"/>
      <c r="U350" s="433"/>
      <c r="V350" s="433"/>
      <c r="W350" s="433"/>
      <c r="X350" s="659"/>
      <c r="Y350" s="661"/>
      <c r="Z350" s="433"/>
      <c r="AA350" s="433"/>
      <c r="AB350" s="433"/>
      <c r="AC350" s="433"/>
      <c r="AD350" s="433"/>
      <c r="AE350" s="644"/>
      <c r="AF350" s="661"/>
      <c r="AG350" s="433"/>
      <c r="AH350" s="433"/>
      <c r="AI350" s="433"/>
      <c r="AJ350" s="433"/>
      <c r="AK350" s="433"/>
      <c r="AL350" s="644"/>
    </row>
    <row r="351" spans="2:38" x14ac:dyDescent="0.45">
      <c r="B351" s="813"/>
      <c r="C351" s="277"/>
      <c r="D351" s="279"/>
      <c r="E351" s="346"/>
      <c r="F351" s="207"/>
      <c r="G351" s="208"/>
      <c r="H351" s="209"/>
      <c r="I351" s="966"/>
      <c r="J351" s="475"/>
      <c r="K351" s="602"/>
      <c r="L351" s="433"/>
      <c r="M351" s="433"/>
      <c r="N351" s="433">
        <f>E351*J335</f>
        <v>0</v>
      </c>
      <c r="O351" s="597">
        <v>0</v>
      </c>
      <c r="P351" s="596">
        <v>0</v>
      </c>
      <c r="Q351" s="608">
        <f>Q324</f>
        <v>0</v>
      </c>
      <c r="R351" s="433"/>
      <c r="S351" s="433"/>
      <c r="T351" s="453">
        <f>O351*Q351</f>
        <v>0</v>
      </c>
      <c r="U351" s="433"/>
      <c r="V351" s="433"/>
      <c r="W351" s="433"/>
      <c r="X351" s="659"/>
      <c r="Y351" s="661"/>
      <c r="Z351" s="433"/>
      <c r="AA351" s="433"/>
      <c r="AB351" s="433"/>
      <c r="AC351" s="433"/>
      <c r="AD351" s="433"/>
      <c r="AE351" s="644"/>
      <c r="AF351" s="661"/>
      <c r="AG351" s="433"/>
      <c r="AH351" s="433"/>
      <c r="AI351" s="433"/>
      <c r="AJ351" s="433"/>
      <c r="AK351" s="433"/>
      <c r="AL351" s="644"/>
    </row>
    <row r="352" spans="2:38" x14ac:dyDescent="0.45">
      <c r="B352" s="813"/>
      <c r="C352" s="277"/>
      <c r="D352" s="279"/>
      <c r="E352" s="346"/>
      <c r="F352" s="207" t="s">
        <v>112</v>
      </c>
      <c r="G352" s="208" t="s">
        <v>113</v>
      </c>
      <c r="H352" s="209"/>
      <c r="I352" s="966"/>
      <c r="J352" s="475"/>
      <c r="K352" s="602"/>
      <c r="L352" s="433"/>
      <c r="M352" s="433"/>
      <c r="N352" s="433"/>
      <c r="O352" s="433"/>
      <c r="P352" s="433"/>
      <c r="Q352" s="595"/>
      <c r="R352" s="433"/>
      <c r="S352" s="433"/>
      <c r="T352" s="433"/>
      <c r="U352" s="433"/>
      <c r="V352" s="433"/>
      <c r="W352" s="433"/>
      <c r="X352" s="659"/>
      <c r="Y352" s="661"/>
      <c r="Z352" s="433"/>
      <c r="AA352" s="433"/>
      <c r="AB352" s="433"/>
      <c r="AC352" s="433"/>
      <c r="AD352" s="433"/>
      <c r="AE352" s="644"/>
      <c r="AF352" s="661"/>
      <c r="AG352" s="433"/>
      <c r="AH352" s="433"/>
      <c r="AI352" s="433"/>
      <c r="AJ352" s="433"/>
      <c r="AK352" s="433"/>
      <c r="AL352" s="644"/>
    </row>
    <row r="353" spans="2:38" x14ac:dyDescent="0.45">
      <c r="B353" s="813"/>
      <c r="C353" s="277"/>
      <c r="D353" s="343"/>
      <c r="E353" s="347"/>
      <c r="F353" s="239" t="s">
        <v>114</v>
      </c>
      <c r="G353" s="257" t="s">
        <v>166</v>
      </c>
      <c r="H353" s="229"/>
      <c r="I353" s="980">
        <v>0.15</v>
      </c>
      <c r="J353" s="475"/>
      <c r="K353" s="602"/>
      <c r="L353" s="433"/>
      <c r="M353" s="433"/>
      <c r="N353" s="433"/>
      <c r="O353" s="433"/>
      <c r="P353" s="433"/>
      <c r="Q353" s="595"/>
      <c r="R353" s="433"/>
      <c r="S353" s="433"/>
      <c r="T353" s="433"/>
      <c r="U353" s="433"/>
      <c r="V353" s="433"/>
      <c r="W353" s="433"/>
      <c r="X353" s="659"/>
      <c r="Y353" s="661"/>
      <c r="Z353" s="433"/>
      <c r="AA353" s="433"/>
      <c r="AB353" s="433"/>
      <c r="AC353" s="433"/>
      <c r="AD353" s="433"/>
      <c r="AE353" s="644"/>
      <c r="AF353" s="661"/>
      <c r="AG353" s="433"/>
      <c r="AH353" s="433"/>
      <c r="AI353" s="433"/>
      <c r="AJ353" s="433"/>
      <c r="AK353" s="433"/>
      <c r="AL353" s="644"/>
    </row>
    <row r="354" spans="2:38" ht="17" thickBot="1" x14ac:dyDescent="0.5">
      <c r="B354" s="830"/>
      <c r="C354" s="831"/>
      <c r="D354" s="832"/>
      <c r="E354" s="833"/>
      <c r="F354" s="834" t="s">
        <v>115</v>
      </c>
      <c r="G354" s="816" t="s">
        <v>127</v>
      </c>
      <c r="H354" s="835"/>
      <c r="I354" s="981"/>
      <c r="J354" s="793"/>
      <c r="K354" s="763"/>
      <c r="L354" s="655"/>
      <c r="M354" s="655"/>
      <c r="N354" s="655"/>
      <c r="O354" s="655"/>
      <c r="P354" s="655"/>
      <c r="Q354" s="654"/>
      <c r="R354" s="655"/>
      <c r="S354" s="655"/>
      <c r="T354" s="655"/>
      <c r="U354" s="655"/>
      <c r="V354" s="655"/>
      <c r="W354" s="655"/>
      <c r="X354" s="660"/>
      <c r="Y354" s="662"/>
      <c r="Z354" s="655"/>
      <c r="AA354" s="655"/>
      <c r="AB354" s="655"/>
      <c r="AC354" s="655"/>
      <c r="AD354" s="655"/>
      <c r="AE354" s="656"/>
      <c r="AF354" s="662"/>
      <c r="AG354" s="655"/>
      <c r="AH354" s="655"/>
      <c r="AI354" s="655"/>
      <c r="AJ354" s="655"/>
      <c r="AK354" s="655"/>
      <c r="AL354" s="656"/>
    </row>
    <row r="355" spans="2:38" x14ac:dyDescent="0.45">
      <c r="B355" s="294"/>
      <c r="C355" s="229"/>
      <c r="D355" s="275"/>
      <c r="E355" s="851"/>
      <c r="F355" s="276"/>
      <c r="G355" s="257"/>
      <c r="H355" s="229"/>
      <c r="I355" s="229"/>
      <c r="J355" s="609"/>
      <c r="K355" s="782"/>
      <c r="L355" s="609"/>
      <c r="M355" s="609"/>
      <c r="N355" s="609"/>
      <c r="O355" s="609"/>
      <c r="P355" s="609"/>
      <c r="Q355" s="604"/>
      <c r="R355" s="609"/>
      <c r="S355" s="609"/>
      <c r="T355" s="609"/>
      <c r="U355" s="609"/>
      <c r="V355" s="609"/>
      <c r="W355" s="609"/>
      <c r="X355" s="609"/>
      <c r="Y355" s="609"/>
      <c r="Z355" s="609"/>
      <c r="AA355" s="609"/>
      <c r="AB355" s="609"/>
      <c r="AC355" s="609"/>
      <c r="AD355" s="609"/>
      <c r="AE355" s="609"/>
      <c r="AF355" s="609"/>
      <c r="AG355" s="609"/>
      <c r="AH355" s="609"/>
      <c r="AI355" s="609"/>
      <c r="AJ355" s="609"/>
      <c r="AK355" s="609"/>
      <c r="AL355" s="609"/>
    </row>
    <row r="356" spans="2:38" ht="17" thickBot="1" x14ac:dyDescent="0.5">
      <c r="B356" s="749" t="s">
        <v>658</v>
      </c>
      <c r="C356" s="750" t="s">
        <v>659</v>
      </c>
      <c r="D356" s="241"/>
      <c r="E356" s="241"/>
      <c r="F356" s="276"/>
      <c r="G356" s="240"/>
      <c r="H356" s="241"/>
      <c r="I356" s="241"/>
      <c r="J356" s="604"/>
      <c r="K356" s="603"/>
      <c r="L356" s="604"/>
      <c r="M356" s="604"/>
      <c r="N356" s="604"/>
      <c r="O356" s="604"/>
      <c r="P356" s="604"/>
      <c r="Q356" s="604"/>
      <c r="R356" s="609"/>
      <c r="S356" s="609"/>
      <c r="T356" s="609"/>
      <c r="U356" s="609"/>
      <c r="V356" s="609"/>
      <c r="W356" s="609"/>
      <c r="X356" s="609"/>
      <c r="Y356" s="609"/>
      <c r="Z356" s="609"/>
      <c r="AA356" s="609"/>
      <c r="AB356" s="609"/>
      <c r="AC356" s="609"/>
      <c r="AD356" s="609"/>
      <c r="AE356" s="609"/>
      <c r="AF356" s="609"/>
      <c r="AG356" s="609"/>
      <c r="AH356" s="609"/>
      <c r="AI356" s="609"/>
      <c r="AJ356" s="609"/>
      <c r="AK356" s="609"/>
      <c r="AL356" s="609"/>
    </row>
    <row r="357" spans="2:38" ht="19.5" customHeight="1" x14ac:dyDescent="0.45">
      <c r="B357" s="1168" t="s">
        <v>99</v>
      </c>
      <c r="C357" s="1171" t="s">
        <v>100</v>
      </c>
      <c r="D357" s="1171" t="s">
        <v>89</v>
      </c>
      <c r="E357" s="1171" t="s">
        <v>101</v>
      </c>
      <c r="F357" s="1171" t="s">
        <v>102</v>
      </c>
      <c r="G357" s="1109" t="s">
        <v>103</v>
      </c>
      <c r="H357" s="1110"/>
      <c r="I357" s="1175"/>
      <c r="J357" s="1152" t="s">
        <v>539</v>
      </c>
      <c r="K357" s="1152"/>
      <c r="L357" s="1152"/>
      <c r="M357" s="1152"/>
      <c r="N357" s="1152"/>
      <c r="O357" s="1152"/>
      <c r="P357" s="1152"/>
      <c r="Q357" s="1152"/>
      <c r="R357" s="1152"/>
      <c r="S357" s="1152"/>
      <c r="T357" s="1152"/>
      <c r="U357" s="1152"/>
      <c r="V357" s="1152"/>
      <c r="W357" s="1152"/>
      <c r="X357" s="1152"/>
      <c r="Y357" s="1153" t="s">
        <v>540</v>
      </c>
      <c r="Z357" s="1154"/>
      <c r="AA357" s="1154"/>
      <c r="AB357" s="1154"/>
      <c r="AC357" s="1154"/>
      <c r="AD357" s="1154"/>
      <c r="AE357" s="1155"/>
      <c r="AF357" s="1156" t="s">
        <v>541</v>
      </c>
      <c r="AG357" s="1157"/>
      <c r="AH357" s="1157"/>
      <c r="AI357" s="1157"/>
      <c r="AJ357" s="1157"/>
      <c r="AK357" s="1157"/>
      <c r="AL357" s="1158"/>
    </row>
    <row r="358" spans="2:38" ht="45" x14ac:dyDescent="0.45">
      <c r="B358" s="1169"/>
      <c r="C358" s="1089"/>
      <c r="D358" s="1089"/>
      <c r="E358" s="1089"/>
      <c r="F358" s="1089"/>
      <c r="G358" s="1026"/>
      <c r="H358" s="1027"/>
      <c r="I358" s="1176"/>
      <c r="J358" s="1173" t="s">
        <v>15</v>
      </c>
      <c r="K358" s="673" t="s">
        <v>493</v>
      </c>
      <c r="L358" s="1161" t="s">
        <v>491</v>
      </c>
      <c r="M358" s="1162"/>
      <c r="N358" s="1162"/>
      <c r="O358" s="1162"/>
      <c r="P358" s="1163"/>
      <c r="Q358" s="674" t="s">
        <v>533</v>
      </c>
      <c r="R358" s="1161" t="s">
        <v>501</v>
      </c>
      <c r="S358" s="1162"/>
      <c r="T358" s="1163"/>
      <c r="U358" s="674" t="s">
        <v>530</v>
      </c>
      <c r="V358" s="674" t="s">
        <v>531</v>
      </c>
      <c r="W358" s="674" t="s">
        <v>578</v>
      </c>
      <c r="X358" s="681" t="s">
        <v>579</v>
      </c>
      <c r="Y358" s="1164" t="s">
        <v>534</v>
      </c>
      <c r="Z358" s="1165"/>
      <c r="AA358" s="663" t="s">
        <v>537</v>
      </c>
      <c r="AB358" s="664" t="s">
        <v>538</v>
      </c>
      <c r="AC358" s="665" t="s">
        <v>530</v>
      </c>
      <c r="AD358" s="665" t="s">
        <v>578</v>
      </c>
      <c r="AE358" s="682" t="s">
        <v>579</v>
      </c>
      <c r="AF358" s="1166" t="s">
        <v>542</v>
      </c>
      <c r="AG358" s="1167"/>
      <c r="AH358" s="737" t="s">
        <v>543</v>
      </c>
      <c r="AI358" s="738" t="s">
        <v>544</v>
      </c>
      <c r="AJ358" s="739" t="s">
        <v>530</v>
      </c>
      <c r="AK358" s="739" t="s">
        <v>578</v>
      </c>
      <c r="AL358" s="740" t="s">
        <v>579</v>
      </c>
    </row>
    <row r="359" spans="2:38" ht="30" x14ac:dyDescent="0.45">
      <c r="B359" s="1170"/>
      <c r="C359" s="1090"/>
      <c r="D359" s="1090"/>
      <c r="E359" s="1090"/>
      <c r="F359" s="1090"/>
      <c r="G359" s="1085"/>
      <c r="H359" s="1086"/>
      <c r="I359" s="1177"/>
      <c r="J359" s="1174"/>
      <c r="K359" s="675" t="s">
        <v>495</v>
      </c>
      <c r="L359" s="676" t="s">
        <v>524</v>
      </c>
      <c r="M359" s="676" t="s">
        <v>525</v>
      </c>
      <c r="N359" s="676" t="s">
        <v>526</v>
      </c>
      <c r="O359" s="675" t="s">
        <v>517</v>
      </c>
      <c r="P359" s="675" t="s">
        <v>290</v>
      </c>
      <c r="Q359" s="675" t="s">
        <v>532</v>
      </c>
      <c r="R359" s="676" t="s">
        <v>527</v>
      </c>
      <c r="S359" s="676" t="s">
        <v>528</v>
      </c>
      <c r="T359" s="677" t="s">
        <v>529</v>
      </c>
      <c r="U359" s="675" t="s">
        <v>502</v>
      </c>
      <c r="V359" s="675" t="s">
        <v>502</v>
      </c>
      <c r="W359" s="675" t="s">
        <v>502</v>
      </c>
      <c r="X359" s="678" t="s">
        <v>504</v>
      </c>
      <c r="Y359" s="666" t="s">
        <v>535</v>
      </c>
      <c r="Z359" s="667" t="s">
        <v>536</v>
      </c>
      <c r="AA359" s="668" t="s">
        <v>532</v>
      </c>
      <c r="AB359" s="668" t="s">
        <v>532</v>
      </c>
      <c r="AC359" s="668" t="s">
        <v>532</v>
      </c>
      <c r="AD359" s="668" t="s">
        <v>532</v>
      </c>
      <c r="AE359" s="669" t="s">
        <v>532</v>
      </c>
      <c r="AF359" s="741" t="s">
        <v>535</v>
      </c>
      <c r="AG359" s="742" t="s">
        <v>536</v>
      </c>
      <c r="AH359" s="743" t="s">
        <v>532</v>
      </c>
      <c r="AI359" s="743" t="s">
        <v>532</v>
      </c>
      <c r="AJ359" s="743" t="s">
        <v>532</v>
      </c>
      <c r="AK359" s="743" t="s">
        <v>532</v>
      </c>
      <c r="AL359" s="744" t="s">
        <v>532</v>
      </c>
    </row>
    <row r="360" spans="2:38" ht="30" x14ac:dyDescent="0.45">
      <c r="B360" s="639" t="s">
        <v>4</v>
      </c>
      <c r="C360" s="600" t="s">
        <v>5</v>
      </c>
      <c r="D360" s="570" t="s">
        <v>6</v>
      </c>
      <c r="E360" s="570" t="s">
        <v>112</v>
      </c>
      <c r="F360" s="570" t="s">
        <v>114</v>
      </c>
      <c r="G360" s="1014" t="s">
        <v>115</v>
      </c>
      <c r="H360" s="1014"/>
      <c r="I360" s="1172"/>
      <c r="J360" s="791" t="s">
        <v>21</v>
      </c>
      <c r="K360" s="675" t="s">
        <v>496</v>
      </c>
      <c r="L360" s="675" t="s">
        <v>497</v>
      </c>
      <c r="M360" s="675" t="s">
        <v>498</v>
      </c>
      <c r="N360" s="675" t="s">
        <v>499</v>
      </c>
      <c r="O360" s="676" t="s">
        <v>552</v>
      </c>
      <c r="P360" s="675" t="s">
        <v>512</v>
      </c>
      <c r="Q360" s="675" t="s">
        <v>503</v>
      </c>
      <c r="R360" s="675" t="s">
        <v>553</v>
      </c>
      <c r="S360" s="675" t="s">
        <v>513</v>
      </c>
      <c r="T360" s="675" t="s">
        <v>514</v>
      </c>
      <c r="U360" s="675" t="s">
        <v>554</v>
      </c>
      <c r="V360" s="675" t="s">
        <v>515</v>
      </c>
      <c r="W360" s="675" t="s">
        <v>555</v>
      </c>
      <c r="X360" s="678" t="s">
        <v>516</v>
      </c>
      <c r="Y360" s="670" t="s">
        <v>556</v>
      </c>
      <c r="Z360" s="671" t="s">
        <v>557</v>
      </c>
      <c r="AA360" s="671" t="s">
        <v>558</v>
      </c>
      <c r="AB360" s="671" t="s">
        <v>559</v>
      </c>
      <c r="AC360" s="671" t="s">
        <v>560</v>
      </c>
      <c r="AD360" s="671" t="s">
        <v>561</v>
      </c>
      <c r="AE360" s="672" t="s">
        <v>562</v>
      </c>
      <c r="AF360" s="745" t="s">
        <v>563</v>
      </c>
      <c r="AG360" s="746" t="s">
        <v>564</v>
      </c>
      <c r="AH360" s="746" t="s">
        <v>565</v>
      </c>
      <c r="AI360" s="746" t="s">
        <v>566</v>
      </c>
      <c r="AJ360" s="746" t="s">
        <v>567</v>
      </c>
      <c r="AK360" s="746" t="s">
        <v>568</v>
      </c>
      <c r="AL360" s="747" t="s">
        <v>569</v>
      </c>
    </row>
    <row r="361" spans="2:38" ht="15.5" x14ac:dyDescent="0.45">
      <c r="B361" s="640">
        <v>15</v>
      </c>
      <c r="C361" s="439" t="s">
        <v>28</v>
      </c>
      <c r="D361" s="477"/>
      <c r="E361" s="452">
        <v>1</v>
      </c>
      <c r="F361" s="486" t="s">
        <v>31</v>
      </c>
      <c r="G361" s="487" t="s">
        <v>94</v>
      </c>
      <c r="H361" s="458"/>
      <c r="I361" s="972"/>
      <c r="J361" s="789"/>
      <c r="K361" s="789"/>
      <c r="L361" s="789"/>
      <c r="M361" s="789"/>
      <c r="N361" s="789"/>
      <c r="O361" s="789"/>
      <c r="P361" s="789"/>
      <c r="Q361" s="789"/>
      <c r="R361" s="789"/>
      <c r="S361" s="789"/>
      <c r="T361" s="789"/>
      <c r="U361" s="789"/>
      <c r="V361" s="789"/>
      <c r="W361" s="789"/>
      <c r="X361" s="789"/>
      <c r="Y361" s="789"/>
      <c r="Z361" s="789"/>
      <c r="AA361" s="789"/>
      <c r="AB361" s="789"/>
      <c r="AC361" s="789"/>
      <c r="AD361" s="789"/>
      <c r="AE361" s="789"/>
      <c r="AF361" s="789"/>
      <c r="AG361" s="789"/>
      <c r="AH361" s="789"/>
      <c r="AI361" s="789"/>
      <c r="AJ361" s="789"/>
      <c r="AK361" s="789"/>
      <c r="AL361" s="790"/>
    </row>
    <row r="362" spans="2:38" x14ac:dyDescent="0.45">
      <c r="B362" s="849"/>
      <c r="C362" s="307"/>
      <c r="D362" s="344"/>
      <c r="E362" s="359"/>
      <c r="F362" s="207" t="s">
        <v>4</v>
      </c>
      <c r="G362" s="231" t="s">
        <v>120</v>
      </c>
      <c r="H362" s="209"/>
      <c r="I362" s="966"/>
      <c r="J362" s="792">
        <f>RAP!E53</f>
        <v>64.84</v>
      </c>
      <c r="K362" s="601">
        <v>3</v>
      </c>
      <c r="L362" s="319"/>
      <c r="M362" s="319"/>
      <c r="N362" s="319"/>
      <c r="O362" s="598"/>
      <c r="P362" s="598"/>
      <c r="Q362" s="605"/>
      <c r="R362" s="485"/>
      <c r="S362" s="485"/>
      <c r="T362" s="485"/>
      <c r="U362" s="752">
        <f>SUM(R362:R381)+(SUM(S362:S381)+SUM(T362:T381))</f>
        <v>5855750</v>
      </c>
      <c r="V362" s="754">
        <f>RAP!H53</f>
        <v>7148828.8399999999</v>
      </c>
      <c r="W362" s="752">
        <f>V362-U362</f>
        <v>1293078.8399999999</v>
      </c>
      <c r="X362" s="760">
        <f>W362/V362*100</f>
        <v>18.087981527335039</v>
      </c>
      <c r="Y362" s="755">
        <f>SUM(R362:R381)/J362</f>
        <v>37245.527452190006</v>
      </c>
      <c r="Z362" s="757">
        <v>25000</v>
      </c>
      <c r="AA362" s="758">
        <f>J362*Z362</f>
        <v>1621000</v>
      </c>
      <c r="AB362" s="758">
        <f>SUM(S362:S381)+SUM(T362:T381)</f>
        <v>3440750</v>
      </c>
      <c r="AC362" s="752">
        <f>AA362+AB362</f>
        <v>5061750</v>
      </c>
      <c r="AD362" s="752">
        <f>V362-AC362</f>
        <v>2087078.8399999999</v>
      </c>
      <c r="AE362" s="760">
        <f>AD362/V362*100</f>
        <v>29.194695896509948</v>
      </c>
      <c r="AF362" s="755">
        <f>(SUM(R362:R381)+SUM(S362:S381))/J362</f>
        <v>90310.764959901295</v>
      </c>
      <c r="AG362" s="757">
        <v>65000</v>
      </c>
      <c r="AH362" s="758">
        <f>AG362*J362</f>
        <v>4214600</v>
      </c>
      <c r="AI362" s="758">
        <f>SUM(T362:T381)</f>
        <v>0</v>
      </c>
      <c r="AJ362" s="752">
        <f>AH362+AI362</f>
        <v>4214600</v>
      </c>
      <c r="AK362" s="752">
        <f>V362-AJ362</f>
        <v>2934228.84</v>
      </c>
      <c r="AL362" s="760">
        <f>AK362/V362*100</f>
        <v>41.044888689767539</v>
      </c>
    </row>
    <row r="363" spans="2:38" ht="15.5" x14ac:dyDescent="0.45">
      <c r="B363" s="850"/>
      <c r="C363" s="277"/>
      <c r="D363" s="279" t="s">
        <v>107</v>
      </c>
      <c r="E363" s="299">
        <v>0.29699999999999999</v>
      </c>
      <c r="F363" s="267" t="s">
        <v>108</v>
      </c>
      <c r="G363" s="339" t="s">
        <v>51</v>
      </c>
      <c r="H363" s="209"/>
      <c r="I363" s="966"/>
      <c r="J363" s="475"/>
      <c r="K363" s="602"/>
      <c r="L363" s="433">
        <f>E363*J362/K362</f>
        <v>6.4191600000000006</v>
      </c>
      <c r="M363" s="433"/>
      <c r="N363" s="433"/>
      <c r="O363" s="597">
        <v>6</v>
      </c>
      <c r="P363" s="596" t="str">
        <f t="shared" ref="P363:P368" si="33">F363</f>
        <v>OH</v>
      </c>
      <c r="Q363" s="608">
        <f>Q336</f>
        <v>75000</v>
      </c>
      <c r="R363" s="453">
        <f>O363*Q363*K362</f>
        <v>1350000</v>
      </c>
      <c r="S363" s="453"/>
      <c r="T363" s="453"/>
      <c r="U363" s="753"/>
      <c r="V363" s="753"/>
      <c r="W363" s="753"/>
      <c r="X363" s="761"/>
      <c r="Y363" s="756"/>
      <c r="Z363" s="759"/>
      <c r="AA363" s="759"/>
      <c r="AB363" s="759"/>
      <c r="AC363" s="753"/>
      <c r="AD363" s="753"/>
      <c r="AE363" s="761"/>
      <c r="AF363" s="756"/>
      <c r="AG363" s="759"/>
      <c r="AH363" s="759"/>
      <c r="AI363" s="759"/>
      <c r="AJ363" s="753"/>
      <c r="AK363" s="753"/>
      <c r="AL363" s="761"/>
    </row>
    <row r="364" spans="2:38" ht="15.5" x14ac:dyDescent="0.45">
      <c r="B364" s="850"/>
      <c r="C364" s="277"/>
      <c r="D364" s="279" t="str">
        <f>D365</f>
        <v>L.02</v>
      </c>
      <c r="E364" s="299">
        <v>3.3000000000000002E-2</v>
      </c>
      <c r="F364" s="267" t="s">
        <v>108</v>
      </c>
      <c r="G364" s="339" t="s">
        <v>57</v>
      </c>
      <c r="H364" s="209"/>
      <c r="I364" s="966"/>
      <c r="J364" s="475"/>
      <c r="K364" s="602"/>
      <c r="L364" s="433">
        <f>E364*J362/K362</f>
        <v>0.71323999999999999</v>
      </c>
      <c r="M364" s="433"/>
      <c r="N364" s="433"/>
      <c r="O364" s="597">
        <v>1</v>
      </c>
      <c r="P364" s="596" t="str">
        <f t="shared" si="33"/>
        <v>OH</v>
      </c>
      <c r="Q364" s="608">
        <f t="shared" ref="Q364:Q376" si="34">Q337</f>
        <v>85000</v>
      </c>
      <c r="R364" s="453">
        <f>O364*Q364*K362</f>
        <v>255000</v>
      </c>
      <c r="S364" s="453"/>
      <c r="T364" s="453"/>
      <c r="U364" s="753"/>
      <c r="V364" s="753"/>
      <c r="W364" s="753"/>
      <c r="X364" s="761"/>
      <c r="Y364" s="756"/>
      <c r="Z364" s="759"/>
      <c r="AA364" s="759"/>
      <c r="AB364" s="759"/>
      <c r="AC364" s="753"/>
      <c r="AD364" s="753"/>
      <c r="AE364" s="761"/>
      <c r="AF364" s="756"/>
      <c r="AG364" s="759"/>
      <c r="AH364" s="759"/>
      <c r="AI364" s="759"/>
      <c r="AJ364" s="753"/>
      <c r="AK364" s="753"/>
      <c r="AL364" s="761"/>
    </row>
    <row r="365" spans="2:38" ht="15.5" x14ac:dyDescent="0.45">
      <c r="B365" s="850"/>
      <c r="C365" s="277"/>
      <c r="D365" s="279" t="s">
        <v>121</v>
      </c>
      <c r="E365" s="299">
        <v>3.3000000000000002E-2</v>
      </c>
      <c r="F365" s="267" t="s">
        <v>108</v>
      </c>
      <c r="G365" s="339" t="s">
        <v>56</v>
      </c>
      <c r="H365" s="209"/>
      <c r="I365" s="966"/>
      <c r="J365" s="475"/>
      <c r="K365" s="602"/>
      <c r="L365" s="433">
        <f>E365*J362/K362</f>
        <v>0.71323999999999999</v>
      </c>
      <c r="M365" s="433"/>
      <c r="N365" s="433"/>
      <c r="O365" s="597">
        <v>1</v>
      </c>
      <c r="P365" s="596" t="str">
        <f t="shared" si="33"/>
        <v>OH</v>
      </c>
      <c r="Q365" s="608">
        <f t="shared" si="34"/>
        <v>85000</v>
      </c>
      <c r="R365" s="453">
        <f>O365*Q365*K362</f>
        <v>255000</v>
      </c>
      <c r="S365" s="453"/>
      <c r="T365" s="453"/>
      <c r="U365" s="753"/>
      <c r="V365" s="753"/>
      <c r="W365" s="753"/>
      <c r="X365" s="761"/>
      <c r="Y365" s="756"/>
      <c r="Z365" s="759"/>
      <c r="AA365" s="759"/>
      <c r="AB365" s="759"/>
      <c r="AC365" s="753"/>
      <c r="AD365" s="753"/>
      <c r="AE365" s="761"/>
      <c r="AF365" s="756"/>
      <c r="AG365" s="759"/>
      <c r="AH365" s="759"/>
      <c r="AI365" s="759"/>
      <c r="AJ365" s="753"/>
      <c r="AK365" s="753"/>
      <c r="AL365" s="761"/>
    </row>
    <row r="366" spans="2:38" ht="15.5" x14ac:dyDescent="0.45">
      <c r="B366" s="850"/>
      <c r="C366" s="277"/>
      <c r="D366" s="279" t="str">
        <f>D365</f>
        <v>L.02</v>
      </c>
      <c r="E366" s="299">
        <v>3.3000000000000002E-2</v>
      </c>
      <c r="F366" s="267" t="s">
        <v>108</v>
      </c>
      <c r="G366" s="339" t="s">
        <v>58</v>
      </c>
      <c r="H366" s="209"/>
      <c r="I366" s="966"/>
      <c r="J366" s="475"/>
      <c r="K366" s="602"/>
      <c r="L366" s="433">
        <f>E366*J362/K362</f>
        <v>0.71323999999999999</v>
      </c>
      <c r="M366" s="433"/>
      <c r="N366" s="433"/>
      <c r="O366" s="597">
        <v>1</v>
      </c>
      <c r="P366" s="596" t="str">
        <f t="shared" si="33"/>
        <v>OH</v>
      </c>
      <c r="Q366" s="608">
        <f t="shared" si="34"/>
        <v>85000</v>
      </c>
      <c r="R366" s="453">
        <f>O366*Q366*K362</f>
        <v>255000</v>
      </c>
      <c r="S366" s="453"/>
      <c r="T366" s="453"/>
      <c r="U366" s="753"/>
      <c r="V366" s="753"/>
      <c r="W366" s="753"/>
      <c r="X366" s="761"/>
      <c r="Y366" s="756"/>
      <c r="Z366" s="759"/>
      <c r="AA366" s="759"/>
      <c r="AB366" s="759"/>
      <c r="AC366" s="753"/>
      <c r="AD366" s="753"/>
      <c r="AE366" s="761"/>
      <c r="AF366" s="756"/>
      <c r="AG366" s="759"/>
      <c r="AH366" s="759"/>
      <c r="AI366" s="759"/>
      <c r="AJ366" s="753"/>
      <c r="AK366" s="753"/>
      <c r="AL366" s="761"/>
    </row>
    <row r="367" spans="2:38" ht="15.5" x14ac:dyDescent="0.45">
      <c r="B367" s="850"/>
      <c r="C367" s="277"/>
      <c r="D367" s="279" t="s">
        <v>122</v>
      </c>
      <c r="E367" s="222">
        <v>0.01</v>
      </c>
      <c r="F367" s="267" t="s">
        <v>108</v>
      </c>
      <c r="G367" s="339" t="s">
        <v>123</v>
      </c>
      <c r="H367" s="209"/>
      <c r="I367" s="966"/>
      <c r="J367" s="475"/>
      <c r="K367" s="602"/>
      <c r="L367" s="433">
        <f>E367*J362/K362</f>
        <v>0.21613333333333337</v>
      </c>
      <c r="M367" s="433"/>
      <c r="N367" s="433"/>
      <c r="O367" s="597">
        <v>0</v>
      </c>
      <c r="P367" s="596" t="str">
        <f t="shared" si="33"/>
        <v>OH</v>
      </c>
      <c r="Q367" s="608">
        <f t="shared" si="34"/>
        <v>90000</v>
      </c>
      <c r="R367" s="453">
        <f>O367*Q367*K362</f>
        <v>0</v>
      </c>
      <c r="S367" s="453"/>
      <c r="T367" s="453"/>
      <c r="U367" s="753"/>
      <c r="V367" s="753"/>
      <c r="W367" s="753"/>
      <c r="X367" s="761"/>
      <c r="Y367" s="756"/>
      <c r="Z367" s="759"/>
      <c r="AA367" s="759"/>
      <c r="AB367" s="759"/>
      <c r="AC367" s="753"/>
      <c r="AD367" s="753"/>
      <c r="AE367" s="761"/>
      <c r="AF367" s="756"/>
      <c r="AG367" s="759"/>
      <c r="AH367" s="759"/>
      <c r="AI367" s="759"/>
      <c r="AJ367" s="753"/>
      <c r="AK367" s="753"/>
      <c r="AL367" s="761"/>
    </row>
    <row r="368" spans="2:38" ht="15.5" x14ac:dyDescent="0.45">
      <c r="B368" s="850"/>
      <c r="C368" s="277"/>
      <c r="D368" s="343" t="s">
        <v>109</v>
      </c>
      <c r="E368" s="358">
        <v>1.4999999999999999E-2</v>
      </c>
      <c r="F368" s="275" t="s">
        <v>108</v>
      </c>
      <c r="G368" s="351" t="s">
        <v>52</v>
      </c>
      <c r="H368" s="229"/>
      <c r="I368" s="967"/>
      <c r="J368" s="475"/>
      <c r="K368" s="602"/>
      <c r="L368" s="433">
        <f>E368*J362/K362</f>
        <v>0.32419999999999999</v>
      </c>
      <c r="M368" s="433"/>
      <c r="N368" s="433"/>
      <c r="O368" s="597">
        <v>1</v>
      </c>
      <c r="P368" s="596" t="str">
        <f t="shared" si="33"/>
        <v>OH</v>
      </c>
      <c r="Q368" s="608">
        <f t="shared" si="34"/>
        <v>100000</v>
      </c>
      <c r="R368" s="453">
        <f>O368*Q368*K362</f>
        <v>300000</v>
      </c>
      <c r="S368" s="453"/>
      <c r="T368" s="453"/>
      <c r="U368" s="753"/>
      <c r="V368" s="753"/>
      <c r="W368" s="753"/>
      <c r="X368" s="761"/>
      <c r="Y368" s="756"/>
      <c r="Z368" s="759"/>
      <c r="AA368" s="759"/>
      <c r="AB368" s="759"/>
      <c r="AC368" s="753"/>
      <c r="AD368" s="753"/>
      <c r="AE368" s="761"/>
      <c r="AF368" s="756"/>
      <c r="AG368" s="759"/>
      <c r="AH368" s="759"/>
      <c r="AI368" s="759"/>
      <c r="AJ368" s="753"/>
      <c r="AK368" s="753"/>
      <c r="AL368" s="761"/>
    </row>
    <row r="369" spans="2:38" x14ac:dyDescent="0.45">
      <c r="B369" s="850"/>
      <c r="C369" s="277"/>
      <c r="D369" s="344"/>
      <c r="E369" s="361"/>
      <c r="F369" s="285" t="s">
        <v>5</v>
      </c>
      <c r="G369" s="353" t="s">
        <v>139</v>
      </c>
      <c r="H369" s="209"/>
      <c r="I369" s="966"/>
      <c r="J369" s="475"/>
      <c r="K369" s="602"/>
      <c r="L369" s="433"/>
      <c r="M369" s="433"/>
      <c r="N369" s="433"/>
      <c r="O369" s="597"/>
      <c r="P369" s="596"/>
      <c r="Q369" s="608">
        <f t="shared" si="34"/>
        <v>0</v>
      </c>
      <c r="R369" s="453"/>
      <c r="S369" s="453"/>
      <c r="T369" s="453"/>
      <c r="U369" s="753"/>
      <c r="V369" s="753"/>
      <c r="W369" s="753"/>
      <c r="X369" s="761"/>
      <c r="Y369" s="756"/>
      <c r="Z369" s="759"/>
      <c r="AA369" s="759"/>
      <c r="AB369" s="759"/>
      <c r="AC369" s="753"/>
      <c r="AD369" s="753"/>
      <c r="AE369" s="761"/>
      <c r="AF369" s="756"/>
      <c r="AG369" s="759"/>
      <c r="AH369" s="759"/>
      <c r="AI369" s="759"/>
      <c r="AJ369" s="753"/>
      <c r="AK369" s="753"/>
      <c r="AL369" s="761"/>
    </row>
    <row r="370" spans="2:38" x14ac:dyDescent="0.45">
      <c r="B370" s="850"/>
      <c r="C370" s="277"/>
      <c r="D370" s="344"/>
      <c r="E370" s="299">
        <v>3.0000000000000001E-3</v>
      </c>
      <c r="F370" s="267" t="s">
        <v>65</v>
      </c>
      <c r="G370" s="339" t="s">
        <v>140</v>
      </c>
      <c r="H370" s="209"/>
      <c r="I370" s="966"/>
      <c r="J370" s="475"/>
      <c r="K370" s="602"/>
      <c r="L370" s="433"/>
      <c r="M370" s="433">
        <f>E370*J362</f>
        <v>0.19452000000000003</v>
      </c>
      <c r="N370" s="433"/>
      <c r="O370" s="597">
        <v>0</v>
      </c>
      <c r="P370" s="596" t="str">
        <f t="shared" ref="P370:P376" si="35">F370</f>
        <v>m3</v>
      </c>
      <c r="Q370" s="608">
        <f t="shared" si="34"/>
        <v>3000000</v>
      </c>
      <c r="R370" s="453"/>
      <c r="S370" s="453">
        <f>O370*Q370</f>
        <v>0</v>
      </c>
      <c r="T370" s="453"/>
      <c r="U370" s="753"/>
      <c r="V370" s="753"/>
      <c r="W370" s="753"/>
      <c r="X370" s="761"/>
      <c r="Y370" s="756"/>
      <c r="Z370" s="759"/>
      <c r="AA370" s="759"/>
      <c r="AB370" s="759"/>
      <c r="AC370" s="753"/>
      <c r="AD370" s="753"/>
      <c r="AE370" s="761"/>
      <c r="AF370" s="756"/>
      <c r="AG370" s="759"/>
      <c r="AH370" s="759"/>
      <c r="AI370" s="759"/>
      <c r="AJ370" s="753"/>
      <c r="AK370" s="753"/>
      <c r="AL370" s="761"/>
    </row>
    <row r="371" spans="2:38" x14ac:dyDescent="0.45">
      <c r="B371" s="850"/>
      <c r="C371" s="277"/>
      <c r="D371" s="344"/>
      <c r="E371" s="222">
        <v>0.02</v>
      </c>
      <c r="F371" s="267" t="s">
        <v>39</v>
      </c>
      <c r="G371" s="339" t="s">
        <v>148</v>
      </c>
      <c r="H371" s="209"/>
      <c r="I371" s="966"/>
      <c r="J371" s="475"/>
      <c r="K371" s="602"/>
      <c r="L371" s="433"/>
      <c r="M371" s="433">
        <f>E371*J362</f>
        <v>1.2968000000000002</v>
      </c>
      <c r="N371" s="433"/>
      <c r="O371" s="597">
        <v>1.5</v>
      </c>
      <c r="P371" s="596" t="str">
        <f t="shared" si="35"/>
        <v>Kg</v>
      </c>
      <c r="Q371" s="608">
        <f t="shared" si="34"/>
        <v>20000</v>
      </c>
      <c r="R371" s="433"/>
      <c r="S371" s="453">
        <f t="shared" ref="S371:S376" si="36">O371*Q371</f>
        <v>30000</v>
      </c>
      <c r="T371" s="433"/>
      <c r="U371" s="753"/>
      <c r="V371" s="753"/>
      <c r="W371" s="753"/>
      <c r="X371" s="761"/>
      <c r="Y371" s="756"/>
      <c r="Z371" s="759"/>
      <c r="AA371" s="759"/>
      <c r="AB371" s="759"/>
      <c r="AC371" s="753"/>
      <c r="AD371" s="753"/>
      <c r="AE371" s="761"/>
      <c r="AF371" s="756"/>
      <c r="AG371" s="759"/>
      <c r="AH371" s="759"/>
      <c r="AI371" s="759"/>
      <c r="AJ371" s="753"/>
      <c r="AK371" s="753"/>
      <c r="AL371" s="761"/>
    </row>
    <row r="372" spans="2:38" x14ac:dyDescent="0.45">
      <c r="B372" s="850"/>
      <c r="C372" s="277"/>
      <c r="D372" s="344"/>
      <c r="E372" s="298">
        <v>3.6</v>
      </c>
      <c r="F372" s="211" t="s">
        <v>39</v>
      </c>
      <c r="G372" s="209" t="s">
        <v>149</v>
      </c>
      <c r="H372" s="209"/>
      <c r="I372" s="966"/>
      <c r="J372" s="475"/>
      <c r="K372" s="602"/>
      <c r="L372" s="433"/>
      <c r="M372" s="433">
        <f>E372*J362</f>
        <v>233.42400000000001</v>
      </c>
      <c r="N372" s="433"/>
      <c r="O372" s="597">
        <v>234</v>
      </c>
      <c r="P372" s="596" t="str">
        <f t="shared" si="35"/>
        <v>Kg</v>
      </c>
      <c r="Q372" s="608">
        <f t="shared" si="34"/>
        <v>10500</v>
      </c>
      <c r="R372" s="433"/>
      <c r="S372" s="453">
        <f t="shared" si="36"/>
        <v>2457000</v>
      </c>
      <c r="T372" s="433"/>
      <c r="U372" s="753"/>
      <c r="V372" s="753"/>
      <c r="W372" s="753"/>
      <c r="X372" s="761"/>
      <c r="Y372" s="756"/>
      <c r="Z372" s="759"/>
      <c r="AA372" s="759"/>
      <c r="AB372" s="759"/>
      <c r="AC372" s="753"/>
      <c r="AD372" s="753"/>
      <c r="AE372" s="761"/>
      <c r="AF372" s="756"/>
      <c r="AG372" s="759"/>
      <c r="AH372" s="759"/>
      <c r="AI372" s="759"/>
      <c r="AJ372" s="753"/>
      <c r="AK372" s="753"/>
      <c r="AL372" s="761"/>
    </row>
    <row r="373" spans="2:38" x14ac:dyDescent="0.45">
      <c r="B373" s="850"/>
      <c r="C373" s="277"/>
      <c r="D373" s="344"/>
      <c r="E373" s="222">
        <v>0.05</v>
      </c>
      <c r="F373" s="267" t="s">
        <v>39</v>
      </c>
      <c r="G373" s="339" t="s">
        <v>137</v>
      </c>
      <c r="H373" s="209"/>
      <c r="I373" s="966"/>
      <c r="J373" s="475"/>
      <c r="K373" s="602"/>
      <c r="L373" s="433"/>
      <c r="M373" s="433">
        <f>E373*J362</f>
        <v>3.2420000000000004</v>
      </c>
      <c r="N373" s="433"/>
      <c r="O373" s="597">
        <v>3.5</v>
      </c>
      <c r="P373" s="596" t="str">
        <f t="shared" si="35"/>
        <v>Kg</v>
      </c>
      <c r="Q373" s="608">
        <f t="shared" si="34"/>
        <v>17500</v>
      </c>
      <c r="R373" s="433"/>
      <c r="S373" s="453">
        <f t="shared" si="36"/>
        <v>61250</v>
      </c>
      <c r="T373" s="433"/>
      <c r="U373" s="753"/>
      <c r="V373" s="753"/>
      <c r="W373" s="753"/>
      <c r="X373" s="761"/>
      <c r="Y373" s="756"/>
      <c r="Z373" s="759"/>
      <c r="AA373" s="759"/>
      <c r="AB373" s="759"/>
      <c r="AC373" s="753"/>
      <c r="AD373" s="753"/>
      <c r="AE373" s="761"/>
      <c r="AF373" s="756"/>
      <c r="AG373" s="759"/>
      <c r="AH373" s="759"/>
      <c r="AI373" s="759"/>
      <c r="AJ373" s="753"/>
      <c r="AK373" s="753"/>
      <c r="AL373" s="761"/>
    </row>
    <row r="374" spans="2:38" x14ac:dyDescent="0.45">
      <c r="B374" s="850"/>
      <c r="C374" s="277"/>
      <c r="D374" s="836"/>
      <c r="E374" s="818">
        <f>5.5/40</f>
        <v>0.13750000000000001</v>
      </c>
      <c r="F374" s="819" t="s">
        <v>347</v>
      </c>
      <c r="G374" s="842" t="s">
        <v>129</v>
      </c>
      <c r="H374" s="821"/>
      <c r="I374" s="977"/>
      <c r="J374" s="475"/>
      <c r="K374" s="602"/>
      <c r="L374" s="433"/>
      <c r="M374" s="433">
        <f>E374*J362</f>
        <v>8.9155000000000015</v>
      </c>
      <c r="N374" s="433"/>
      <c r="O374" s="597">
        <v>9</v>
      </c>
      <c r="P374" s="596" t="str">
        <f t="shared" si="35"/>
        <v>Zak</v>
      </c>
      <c r="Q374" s="608">
        <f t="shared" si="34"/>
        <v>45000</v>
      </c>
      <c r="R374" s="433"/>
      <c r="S374" s="453">
        <f t="shared" si="36"/>
        <v>405000</v>
      </c>
      <c r="T374" s="433"/>
      <c r="U374" s="753"/>
      <c r="V374" s="753"/>
      <c r="W374" s="753"/>
      <c r="X374" s="761"/>
      <c r="Y374" s="756"/>
      <c r="Z374" s="759"/>
      <c r="AA374" s="759"/>
      <c r="AB374" s="759"/>
      <c r="AC374" s="753"/>
      <c r="AD374" s="753"/>
      <c r="AE374" s="761"/>
      <c r="AF374" s="756"/>
      <c r="AG374" s="759"/>
      <c r="AH374" s="759"/>
      <c r="AI374" s="759"/>
      <c r="AJ374" s="753"/>
      <c r="AK374" s="753"/>
      <c r="AL374" s="761"/>
    </row>
    <row r="375" spans="2:38" x14ac:dyDescent="0.45">
      <c r="B375" s="850"/>
      <c r="C375" s="277"/>
      <c r="D375" s="344"/>
      <c r="E375" s="299">
        <v>8.9999999999999993E-3</v>
      </c>
      <c r="F375" s="267" t="s">
        <v>65</v>
      </c>
      <c r="G375" s="339" t="s">
        <v>150</v>
      </c>
      <c r="H375" s="209"/>
      <c r="I375" s="966"/>
      <c r="J375" s="475"/>
      <c r="K375" s="602"/>
      <c r="L375" s="433"/>
      <c r="M375" s="433">
        <f>E375*J362</f>
        <v>0.58355999999999997</v>
      </c>
      <c r="N375" s="433"/>
      <c r="O375" s="597">
        <v>0.5</v>
      </c>
      <c r="P375" s="596" t="str">
        <f t="shared" si="35"/>
        <v>m3</v>
      </c>
      <c r="Q375" s="608">
        <f t="shared" si="34"/>
        <v>325000</v>
      </c>
      <c r="R375" s="433"/>
      <c r="S375" s="453">
        <f t="shared" si="36"/>
        <v>162500</v>
      </c>
      <c r="T375" s="433"/>
      <c r="U375" s="753"/>
      <c r="V375" s="753"/>
      <c r="W375" s="753"/>
      <c r="X375" s="761"/>
      <c r="Y375" s="756"/>
      <c r="Z375" s="759"/>
      <c r="AA375" s="759"/>
      <c r="AB375" s="759"/>
      <c r="AC375" s="753"/>
      <c r="AD375" s="753"/>
      <c r="AE375" s="761"/>
      <c r="AF375" s="756"/>
      <c r="AG375" s="759"/>
      <c r="AH375" s="759"/>
      <c r="AI375" s="759"/>
      <c r="AJ375" s="753"/>
      <c r="AK375" s="753"/>
      <c r="AL375" s="761"/>
    </row>
    <row r="376" spans="2:38" x14ac:dyDescent="0.45">
      <c r="B376" s="850"/>
      <c r="C376" s="277"/>
      <c r="D376" s="371"/>
      <c r="E376" s="303">
        <v>1.4999999999999999E-2</v>
      </c>
      <c r="F376" s="372" t="s">
        <v>65</v>
      </c>
      <c r="G376" s="373" t="s">
        <v>151</v>
      </c>
      <c r="H376" s="374"/>
      <c r="I376" s="983"/>
      <c r="J376" s="475"/>
      <c r="K376" s="602"/>
      <c r="L376" s="433"/>
      <c r="M376" s="433">
        <f>E376*J362</f>
        <v>0.97260000000000002</v>
      </c>
      <c r="N376" s="433"/>
      <c r="O376" s="597">
        <v>1</v>
      </c>
      <c r="P376" s="596" t="str">
        <f t="shared" si="35"/>
        <v>m3</v>
      </c>
      <c r="Q376" s="608">
        <f t="shared" si="34"/>
        <v>325000</v>
      </c>
      <c r="R376" s="433"/>
      <c r="S376" s="453">
        <f t="shared" si="36"/>
        <v>325000</v>
      </c>
      <c r="T376" s="433"/>
      <c r="U376" s="753"/>
      <c r="V376" s="753"/>
      <c r="W376" s="753"/>
      <c r="X376" s="853"/>
      <c r="Y376" s="756"/>
      <c r="Z376" s="759"/>
      <c r="AA376" s="759"/>
      <c r="AB376" s="759"/>
      <c r="AC376" s="753"/>
      <c r="AD376" s="753"/>
      <c r="AE376" s="761"/>
      <c r="AF376" s="756"/>
      <c r="AG376" s="759"/>
      <c r="AH376" s="759"/>
      <c r="AI376" s="759"/>
      <c r="AJ376" s="753"/>
      <c r="AK376" s="753"/>
      <c r="AL376" s="761"/>
    </row>
    <row r="377" spans="2:38" x14ac:dyDescent="0.45">
      <c r="B377" s="813"/>
      <c r="C377" s="277"/>
      <c r="D377" s="279"/>
      <c r="E377" s="346"/>
      <c r="F377" s="207" t="s">
        <v>6</v>
      </c>
      <c r="G377" s="208" t="s">
        <v>111</v>
      </c>
      <c r="H377" s="209"/>
      <c r="I377" s="966"/>
      <c r="J377" s="475"/>
      <c r="K377" s="602"/>
      <c r="L377" s="433"/>
      <c r="M377" s="433"/>
      <c r="N377" s="433"/>
      <c r="O377" s="597"/>
      <c r="P377" s="596"/>
      <c r="Q377" s="608"/>
      <c r="R377" s="433"/>
      <c r="S377" s="433"/>
      <c r="T377" s="433"/>
      <c r="U377" s="433"/>
      <c r="V377" s="433"/>
      <c r="W377" s="433"/>
      <c r="X377" s="659"/>
      <c r="Y377" s="661"/>
      <c r="Z377" s="433"/>
      <c r="AA377" s="433"/>
      <c r="AB377" s="433"/>
      <c r="AC377" s="433"/>
      <c r="AD377" s="433"/>
      <c r="AE377" s="644"/>
      <c r="AF377" s="661"/>
      <c r="AG377" s="433"/>
      <c r="AH377" s="433"/>
      <c r="AI377" s="433"/>
      <c r="AJ377" s="433"/>
      <c r="AK377" s="433"/>
      <c r="AL377" s="644"/>
    </row>
    <row r="378" spans="2:38" x14ac:dyDescent="0.45">
      <c r="B378" s="813"/>
      <c r="C378" s="277"/>
      <c r="D378" s="279"/>
      <c r="E378" s="346"/>
      <c r="F378" s="207"/>
      <c r="G378" s="208"/>
      <c r="H378" s="209"/>
      <c r="I378" s="966"/>
      <c r="J378" s="475"/>
      <c r="K378" s="602"/>
      <c r="L378" s="433"/>
      <c r="M378" s="433"/>
      <c r="N378" s="433">
        <f>E378*J362</f>
        <v>0</v>
      </c>
      <c r="O378" s="597">
        <v>0</v>
      </c>
      <c r="P378" s="596">
        <v>0</v>
      </c>
      <c r="Q378" s="608">
        <f>Q351</f>
        <v>0</v>
      </c>
      <c r="R378" s="433"/>
      <c r="S378" s="433"/>
      <c r="T378" s="453">
        <f>O378*Q378</f>
        <v>0</v>
      </c>
      <c r="U378" s="433"/>
      <c r="V378" s="433"/>
      <c r="W378" s="433"/>
      <c r="X378" s="659"/>
      <c r="Y378" s="661"/>
      <c r="Z378" s="433"/>
      <c r="AA378" s="433"/>
      <c r="AB378" s="433"/>
      <c r="AC378" s="433"/>
      <c r="AD378" s="433"/>
      <c r="AE378" s="644"/>
      <c r="AF378" s="661"/>
      <c r="AG378" s="433"/>
      <c r="AH378" s="433"/>
      <c r="AI378" s="433"/>
      <c r="AJ378" s="433"/>
      <c r="AK378" s="433"/>
      <c r="AL378" s="644"/>
    </row>
    <row r="379" spans="2:38" x14ac:dyDescent="0.45">
      <c r="B379" s="813"/>
      <c r="C379" s="277"/>
      <c r="D379" s="279"/>
      <c r="E379" s="346"/>
      <c r="F379" s="207" t="s">
        <v>112</v>
      </c>
      <c r="G379" s="208" t="s">
        <v>113</v>
      </c>
      <c r="H379" s="209"/>
      <c r="I379" s="966"/>
      <c r="J379" s="475"/>
      <c r="K379" s="602"/>
      <c r="L379" s="433"/>
      <c r="M379" s="433"/>
      <c r="N379" s="433"/>
      <c r="O379" s="433"/>
      <c r="P379" s="433"/>
      <c r="Q379" s="595"/>
      <c r="R379" s="433"/>
      <c r="S379" s="433"/>
      <c r="T379" s="433"/>
      <c r="U379" s="433"/>
      <c r="V379" s="433"/>
      <c r="W379" s="433"/>
      <c r="X379" s="659"/>
      <c r="Y379" s="661"/>
      <c r="Z379" s="433"/>
      <c r="AA379" s="433"/>
      <c r="AB379" s="433"/>
      <c r="AC379" s="433"/>
      <c r="AD379" s="433"/>
      <c r="AE379" s="644"/>
      <c r="AF379" s="661"/>
      <c r="AG379" s="433"/>
      <c r="AH379" s="433"/>
      <c r="AI379" s="433"/>
      <c r="AJ379" s="433"/>
      <c r="AK379" s="433"/>
      <c r="AL379" s="644"/>
    </row>
    <row r="380" spans="2:38" x14ac:dyDescent="0.45">
      <c r="B380" s="813"/>
      <c r="C380" s="277"/>
      <c r="D380" s="343"/>
      <c r="E380" s="347"/>
      <c r="F380" s="239" t="s">
        <v>114</v>
      </c>
      <c r="G380" s="257" t="s">
        <v>166</v>
      </c>
      <c r="H380" s="229"/>
      <c r="I380" s="980">
        <v>0.15</v>
      </c>
      <c r="J380" s="475"/>
      <c r="K380" s="602"/>
      <c r="L380" s="433"/>
      <c r="M380" s="433"/>
      <c r="N380" s="433"/>
      <c r="O380" s="433"/>
      <c r="P380" s="433"/>
      <c r="Q380" s="595"/>
      <c r="R380" s="433"/>
      <c r="S380" s="433"/>
      <c r="T380" s="433"/>
      <c r="U380" s="433"/>
      <c r="V380" s="433"/>
      <c r="W380" s="433"/>
      <c r="X380" s="659"/>
      <c r="Y380" s="661"/>
      <c r="Z380" s="433"/>
      <c r="AA380" s="433"/>
      <c r="AB380" s="433"/>
      <c r="AC380" s="433"/>
      <c r="AD380" s="433"/>
      <c r="AE380" s="644"/>
      <c r="AF380" s="661"/>
      <c r="AG380" s="433"/>
      <c r="AH380" s="433"/>
      <c r="AI380" s="433"/>
      <c r="AJ380" s="433"/>
      <c r="AK380" s="433"/>
      <c r="AL380" s="644"/>
    </row>
    <row r="381" spans="2:38" ht="17" thickBot="1" x14ac:dyDescent="0.5">
      <c r="B381" s="830"/>
      <c r="C381" s="831"/>
      <c r="D381" s="832"/>
      <c r="E381" s="833"/>
      <c r="F381" s="834" t="s">
        <v>115</v>
      </c>
      <c r="G381" s="816" t="s">
        <v>127</v>
      </c>
      <c r="H381" s="835"/>
      <c r="I381" s="981"/>
      <c r="J381" s="793"/>
      <c r="K381" s="763"/>
      <c r="L381" s="655"/>
      <c r="M381" s="655"/>
      <c r="N381" s="655"/>
      <c r="O381" s="655"/>
      <c r="P381" s="655"/>
      <c r="Q381" s="654"/>
      <c r="R381" s="655"/>
      <c r="S381" s="655"/>
      <c r="T381" s="655"/>
      <c r="U381" s="655"/>
      <c r="V381" s="655"/>
      <c r="W381" s="655"/>
      <c r="X381" s="660"/>
      <c r="Y381" s="662"/>
      <c r="Z381" s="655"/>
      <c r="AA381" s="655"/>
      <c r="AB381" s="655"/>
      <c r="AC381" s="655"/>
      <c r="AD381" s="655"/>
      <c r="AE381" s="656"/>
      <c r="AF381" s="662"/>
      <c r="AG381" s="655"/>
      <c r="AH381" s="655"/>
      <c r="AI381" s="655"/>
      <c r="AJ381" s="655"/>
      <c r="AK381" s="655"/>
      <c r="AL381" s="656"/>
    </row>
  </sheetData>
  <mergeCells count="244">
    <mergeCell ref="G360:I360"/>
    <mergeCell ref="B357:B359"/>
    <mergeCell ref="C357:C359"/>
    <mergeCell ref="D357:D359"/>
    <mergeCell ref="E357:E359"/>
    <mergeCell ref="F357:F359"/>
    <mergeCell ref="G357:I359"/>
    <mergeCell ref="J357:X357"/>
    <mergeCell ref="Y357:AE357"/>
    <mergeCell ref="AF357:AL357"/>
    <mergeCell ref="J358:J359"/>
    <mergeCell ref="L358:P358"/>
    <mergeCell ref="R358:T358"/>
    <mergeCell ref="Y358:Z358"/>
    <mergeCell ref="AF358:AG358"/>
    <mergeCell ref="G333:I333"/>
    <mergeCell ref="J330:X330"/>
    <mergeCell ref="Y330:AE330"/>
    <mergeCell ref="AF330:AL330"/>
    <mergeCell ref="J331:J332"/>
    <mergeCell ref="L331:P331"/>
    <mergeCell ref="R331:T331"/>
    <mergeCell ref="Y331:Z331"/>
    <mergeCell ref="AF331:AG331"/>
    <mergeCell ref="G309:I309"/>
    <mergeCell ref="B330:B332"/>
    <mergeCell ref="C330:C332"/>
    <mergeCell ref="D330:D332"/>
    <mergeCell ref="E330:E332"/>
    <mergeCell ref="F330:F332"/>
    <mergeCell ref="G330:I332"/>
    <mergeCell ref="J306:X306"/>
    <mergeCell ref="Y306:AE306"/>
    <mergeCell ref="AF306:AL306"/>
    <mergeCell ref="J307:J308"/>
    <mergeCell ref="L307:P307"/>
    <mergeCell ref="R307:T307"/>
    <mergeCell ref="Y307:Z307"/>
    <mergeCell ref="AF307:AG307"/>
    <mergeCell ref="G285:I285"/>
    <mergeCell ref="B306:B308"/>
    <mergeCell ref="C306:C308"/>
    <mergeCell ref="D306:D308"/>
    <mergeCell ref="E306:E308"/>
    <mergeCell ref="F306:F308"/>
    <mergeCell ref="G306:I308"/>
    <mergeCell ref="B282:B284"/>
    <mergeCell ref="C282:C284"/>
    <mergeCell ref="D282:D284"/>
    <mergeCell ref="E282:E284"/>
    <mergeCell ref="F282:F284"/>
    <mergeCell ref="G282:I284"/>
    <mergeCell ref="J260:X260"/>
    <mergeCell ref="Y260:AE260"/>
    <mergeCell ref="AF260:AL260"/>
    <mergeCell ref="J261:J262"/>
    <mergeCell ref="L261:P261"/>
    <mergeCell ref="R261:T261"/>
    <mergeCell ref="Y261:Z261"/>
    <mergeCell ref="AF261:AG261"/>
    <mergeCell ref="J282:X282"/>
    <mergeCell ref="Y282:AE282"/>
    <mergeCell ref="AF282:AL282"/>
    <mergeCell ref="J283:J284"/>
    <mergeCell ref="L283:P283"/>
    <mergeCell ref="R283:T283"/>
    <mergeCell ref="Y283:Z283"/>
    <mergeCell ref="AF283:AG283"/>
    <mergeCell ref="G263:I263"/>
    <mergeCell ref="G241:I241"/>
    <mergeCell ref="B260:B262"/>
    <mergeCell ref="C260:C262"/>
    <mergeCell ref="D260:D262"/>
    <mergeCell ref="E260:E262"/>
    <mergeCell ref="F260:F262"/>
    <mergeCell ref="G260:I262"/>
    <mergeCell ref="G238:I240"/>
    <mergeCell ref="J238:X238"/>
    <mergeCell ref="B238:B240"/>
    <mergeCell ref="C238:C240"/>
    <mergeCell ref="D238:D240"/>
    <mergeCell ref="E238:E240"/>
    <mergeCell ref="F238:F240"/>
    <mergeCell ref="Y238:AE238"/>
    <mergeCell ref="AF238:AL238"/>
    <mergeCell ref="J239:J240"/>
    <mergeCell ref="L239:P239"/>
    <mergeCell ref="R239:T239"/>
    <mergeCell ref="Y239:Z239"/>
    <mergeCell ref="AF239:AG239"/>
    <mergeCell ref="J150:X150"/>
    <mergeCell ref="Y150:AE150"/>
    <mergeCell ref="AF150:AL150"/>
    <mergeCell ref="J151:J152"/>
    <mergeCell ref="L151:P151"/>
    <mergeCell ref="R151:T151"/>
    <mergeCell ref="Y151:Z151"/>
    <mergeCell ref="AF151:AG151"/>
    <mergeCell ref="Y216:AE216"/>
    <mergeCell ref="AF216:AL216"/>
    <mergeCell ref="Y217:Z217"/>
    <mergeCell ref="AF217:AG217"/>
    <mergeCell ref="Y194:AE194"/>
    <mergeCell ref="AF194:AL194"/>
    <mergeCell ref="Y195:Z195"/>
    <mergeCell ref="AF195:AG195"/>
    <mergeCell ref="G219:I219"/>
    <mergeCell ref="B150:B152"/>
    <mergeCell ref="C150:C152"/>
    <mergeCell ref="D150:D152"/>
    <mergeCell ref="E150:E152"/>
    <mergeCell ref="F150:F152"/>
    <mergeCell ref="G150:I152"/>
    <mergeCell ref="G153:I153"/>
    <mergeCell ref="J216:X216"/>
    <mergeCell ref="J217:J218"/>
    <mergeCell ref="L217:P217"/>
    <mergeCell ref="R217:T217"/>
    <mergeCell ref="G197:I197"/>
    <mergeCell ref="B216:B218"/>
    <mergeCell ref="C216:C218"/>
    <mergeCell ref="D216:D218"/>
    <mergeCell ref="E216:E218"/>
    <mergeCell ref="F216:F218"/>
    <mergeCell ref="G216:I218"/>
    <mergeCell ref="J194:X194"/>
    <mergeCell ref="J195:J196"/>
    <mergeCell ref="L195:P195"/>
    <mergeCell ref="R195:T195"/>
    <mergeCell ref="G175:I175"/>
    <mergeCell ref="B194:B196"/>
    <mergeCell ref="C194:C196"/>
    <mergeCell ref="D194:D196"/>
    <mergeCell ref="E194:E196"/>
    <mergeCell ref="F194:F196"/>
    <mergeCell ref="G194:I196"/>
    <mergeCell ref="J172:X172"/>
    <mergeCell ref="Y172:AE172"/>
    <mergeCell ref="AF172:AL172"/>
    <mergeCell ref="J173:J174"/>
    <mergeCell ref="L173:P173"/>
    <mergeCell ref="R173:T173"/>
    <mergeCell ref="Y173:Z173"/>
    <mergeCell ref="AF173:AG173"/>
    <mergeCell ref="G130:I130"/>
    <mergeCell ref="B172:B174"/>
    <mergeCell ref="C172:C174"/>
    <mergeCell ref="D172:D174"/>
    <mergeCell ref="E172:E174"/>
    <mergeCell ref="F172:F174"/>
    <mergeCell ref="G172:I174"/>
    <mergeCell ref="AF105:AG105"/>
    <mergeCell ref="G107:I107"/>
    <mergeCell ref="B127:B129"/>
    <mergeCell ref="C127:C129"/>
    <mergeCell ref="D127:D129"/>
    <mergeCell ref="E127:E129"/>
    <mergeCell ref="F127:F129"/>
    <mergeCell ref="G127:I129"/>
    <mergeCell ref="J127:X127"/>
    <mergeCell ref="Y127:AE127"/>
    <mergeCell ref="AF127:AL127"/>
    <mergeCell ref="J128:J129"/>
    <mergeCell ref="L128:P128"/>
    <mergeCell ref="R128:T128"/>
    <mergeCell ref="Y128:Z128"/>
    <mergeCell ref="AF128:AG128"/>
    <mergeCell ref="AF104:AL104"/>
    <mergeCell ref="J105:J106"/>
    <mergeCell ref="L105:P105"/>
    <mergeCell ref="R105:T105"/>
    <mergeCell ref="Y105:Z105"/>
    <mergeCell ref="R36:T36"/>
    <mergeCell ref="Y36:Z36"/>
    <mergeCell ref="AF36:AG36"/>
    <mergeCell ref="B12:B14"/>
    <mergeCell ref="C12:C14"/>
    <mergeCell ref="G84:I84"/>
    <mergeCell ref="B104:B106"/>
    <mergeCell ref="C104:C106"/>
    <mergeCell ref="D104:D106"/>
    <mergeCell ref="E104:E106"/>
    <mergeCell ref="F104:F106"/>
    <mergeCell ref="G104:I106"/>
    <mergeCell ref="J104:X104"/>
    <mergeCell ref="Y104:AE104"/>
    <mergeCell ref="AF12:AL12"/>
    <mergeCell ref="J13:J14"/>
    <mergeCell ref="L13:P13"/>
    <mergeCell ref="B58:B60"/>
    <mergeCell ref="C58:C60"/>
    <mergeCell ref="D58:D60"/>
    <mergeCell ref="E58:E60"/>
    <mergeCell ref="F58:F60"/>
    <mergeCell ref="R13:T13"/>
    <mergeCell ref="Y13:Z13"/>
    <mergeCell ref="G38:I38"/>
    <mergeCell ref="B81:B83"/>
    <mergeCell ref="C81:C83"/>
    <mergeCell ref="D81:D83"/>
    <mergeCell ref="E81:E83"/>
    <mergeCell ref="F81:F83"/>
    <mergeCell ref="G81:I83"/>
    <mergeCell ref="J81:X81"/>
    <mergeCell ref="Y81:AE81"/>
    <mergeCell ref="AF81:AL81"/>
    <mergeCell ref="J82:J83"/>
    <mergeCell ref="L82:P82"/>
    <mergeCell ref="R82:T82"/>
    <mergeCell ref="Y82:Z82"/>
    <mergeCell ref="AF82:AG82"/>
    <mergeCell ref="B35:B37"/>
    <mergeCell ref="C35:C37"/>
    <mergeCell ref="D35:D37"/>
    <mergeCell ref="E35:E37"/>
    <mergeCell ref="F35:F37"/>
    <mergeCell ref="G35:I37"/>
    <mergeCell ref="J35:X35"/>
    <mergeCell ref="Y35:AE35"/>
    <mergeCell ref="E12:E14"/>
    <mergeCell ref="F12:F14"/>
    <mergeCell ref="G12:I14"/>
    <mergeCell ref="J12:X12"/>
    <mergeCell ref="Y12:AE12"/>
    <mergeCell ref="J36:J37"/>
    <mergeCell ref="L36:P36"/>
    <mergeCell ref="D12:D14"/>
    <mergeCell ref="E16:E17"/>
    <mergeCell ref="F16:F17"/>
    <mergeCell ref="R59:T59"/>
    <mergeCell ref="Y59:Z59"/>
    <mergeCell ref="AF59:AG59"/>
    <mergeCell ref="E39:E40"/>
    <mergeCell ref="F39:F40"/>
    <mergeCell ref="G61:I61"/>
    <mergeCell ref="G58:I60"/>
    <mergeCell ref="AF13:AG13"/>
    <mergeCell ref="G15:I15"/>
    <mergeCell ref="J58:X58"/>
    <mergeCell ref="Y58:AE58"/>
    <mergeCell ref="AF58:AL58"/>
    <mergeCell ref="J59:J60"/>
    <mergeCell ref="L59:P59"/>
    <mergeCell ref="AF35:AL35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4C8B-BA16-4281-8FCB-3EC79CFF39C1}">
  <sheetPr>
    <tabColor rgb="FFFFFF00"/>
  </sheetPr>
  <dimension ref="A1:AL80"/>
  <sheetViews>
    <sheetView view="pageBreakPreview" topLeftCell="A13" zoomScale="72" zoomScaleNormal="100" zoomScaleSheetLayoutView="72" workbookViewId="0">
      <selection activeCell="J17" sqref="J17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RAP!B55</f>
        <v>PEKERJAAN DINDING, PLESTERAN DAN PARTISI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x14ac:dyDescent="0.45">
      <c r="D11" s="112"/>
      <c r="E11" s="195"/>
      <c r="G11" s="111"/>
      <c r="H11" s="111"/>
      <c r="I11" s="111"/>
      <c r="Z11" s="657"/>
      <c r="AA11" s="657"/>
      <c r="AB11" s="657"/>
      <c r="AC11" s="657"/>
      <c r="AD11" s="657"/>
      <c r="AE11" s="657"/>
      <c r="AG11" s="657"/>
      <c r="AH11" s="657"/>
      <c r="AI11" s="657"/>
      <c r="AJ11" s="657"/>
      <c r="AK11" s="657"/>
      <c r="AL11" s="657"/>
    </row>
    <row r="12" spans="2:38" ht="17" thickBot="1" x14ac:dyDescent="0.5">
      <c r="B12" s="749" t="s">
        <v>660</v>
      </c>
      <c r="C12" s="750" t="str">
        <f>RAP!B56</f>
        <v>Pasangan Bata Merah tebal 1/2 bata 1 PC : 4 PC</v>
      </c>
      <c r="D12" s="241"/>
      <c r="E12" s="241"/>
      <c r="F12" s="276"/>
      <c r="G12" s="240"/>
      <c r="H12" s="241"/>
      <c r="I12" s="241"/>
      <c r="J12" s="604"/>
      <c r="K12" s="603"/>
      <c r="L12" s="604"/>
      <c r="M12" s="604"/>
      <c r="N12" s="604"/>
      <c r="O12" s="604"/>
      <c r="P12" s="604"/>
      <c r="Q12" s="604"/>
      <c r="R12" s="609"/>
      <c r="S12" s="609"/>
      <c r="T12" s="609"/>
      <c r="U12" s="609"/>
      <c r="V12" s="609"/>
      <c r="W12" s="609"/>
      <c r="X12" s="609"/>
      <c r="Y12" s="609"/>
      <c r="Z12" s="609"/>
      <c r="AA12" s="609"/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  <c r="AL12" s="609"/>
    </row>
    <row r="13" spans="2:38" ht="19.5" customHeight="1" x14ac:dyDescent="0.45">
      <c r="B13" s="1168" t="s">
        <v>99</v>
      </c>
      <c r="C13" s="1171" t="s">
        <v>100</v>
      </c>
      <c r="D13" s="1171" t="s">
        <v>89</v>
      </c>
      <c r="E13" s="1171" t="s">
        <v>101</v>
      </c>
      <c r="F13" s="1171" t="s">
        <v>102</v>
      </c>
      <c r="G13" s="1109" t="s">
        <v>103</v>
      </c>
      <c r="H13" s="1110"/>
      <c r="I13" s="1175"/>
      <c r="J13" s="1152" t="s">
        <v>539</v>
      </c>
      <c r="K13" s="1152"/>
      <c r="L13" s="1152"/>
      <c r="M13" s="1152"/>
      <c r="N13" s="1152"/>
      <c r="O13" s="1152"/>
      <c r="P13" s="1152"/>
      <c r="Q13" s="1152"/>
      <c r="R13" s="1152"/>
      <c r="S13" s="1152"/>
      <c r="T13" s="1152"/>
      <c r="U13" s="1152"/>
      <c r="V13" s="1152"/>
      <c r="W13" s="1152"/>
      <c r="X13" s="1152"/>
      <c r="Y13" s="1153" t="s">
        <v>540</v>
      </c>
      <c r="Z13" s="1154"/>
      <c r="AA13" s="1154"/>
      <c r="AB13" s="1154"/>
      <c r="AC13" s="1154"/>
      <c r="AD13" s="1154"/>
      <c r="AE13" s="1155"/>
      <c r="AF13" s="1156" t="s">
        <v>541</v>
      </c>
      <c r="AG13" s="1157"/>
      <c r="AH13" s="1157"/>
      <c r="AI13" s="1157"/>
      <c r="AJ13" s="1157"/>
      <c r="AK13" s="1157"/>
      <c r="AL13" s="1158"/>
    </row>
    <row r="14" spans="2:38" ht="45" x14ac:dyDescent="0.45">
      <c r="B14" s="1169"/>
      <c r="C14" s="1089"/>
      <c r="D14" s="1089"/>
      <c r="E14" s="1089"/>
      <c r="F14" s="1089"/>
      <c r="G14" s="1026"/>
      <c r="H14" s="1027"/>
      <c r="I14" s="1176"/>
      <c r="J14" s="1173" t="s">
        <v>15</v>
      </c>
      <c r="K14" s="673" t="s">
        <v>493</v>
      </c>
      <c r="L14" s="1161" t="s">
        <v>491</v>
      </c>
      <c r="M14" s="1162"/>
      <c r="N14" s="1162"/>
      <c r="O14" s="1162"/>
      <c r="P14" s="1163"/>
      <c r="Q14" s="674" t="s">
        <v>533</v>
      </c>
      <c r="R14" s="1161" t="s">
        <v>501</v>
      </c>
      <c r="S14" s="1162"/>
      <c r="T14" s="1163"/>
      <c r="U14" s="674" t="s">
        <v>530</v>
      </c>
      <c r="V14" s="674" t="s">
        <v>531</v>
      </c>
      <c r="W14" s="674" t="s">
        <v>578</v>
      </c>
      <c r="X14" s="681" t="s">
        <v>579</v>
      </c>
      <c r="Y14" s="1164" t="s">
        <v>534</v>
      </c>
      <c r="Z14" s="1165"/>
      <c r="AA14" s="663" t="s">
        <v>537</v>
      </c>
      <c r="AB14" s="664" t="s">
        <v>538</v>
      </c>
      <c r="AC14" s="665" t="s">
        <v>530</v>
      </c>
      <c r="AD14" s="665" t="s">
        <v>578</v>
      </c>
      <c r="AE14" s="682" t="s">
        <v>579</v>
      </c>
      <c r="AF14" s="1166" t="s">
        <v>542</v>
      </c>
      <c r="AG14" s="1167"/>
      <c r="AH14" s="737" t="s">
        <v>543</v>
      </c>
      <c r="AI14" s="738" t="s">
        <v>544</v>
      </c>
      <c r="AJ14" s="739" t="s">
        <v>530</v>
      </c>
      <c r="AK14" s="739" t="s">
        <v>578</v>
      </c>
      <c r="AL14" s="740" t="s">
        <v>579</v>
      </c>
    </row>
    <row r="15" spans="2:38" ht="30" x14ac:dyDescent="0.45">
      <c r="B15" s="1170"/>
      <c r="C15" s="1090"/>
      <c r="D15" s="1090"/>
      <c r="E15" s="1090"/>
      <c r="F15" s="1090"/>
      <c r="G15" s="1085"/>
      <c r="H15" s="1086"/>
      <c r="I15" s="1177"/>
      <c r="J15" s="1174"/>
      <c r="K15" s="675" t="s">
        <v>495</v>
      </c>
      <c r="L15" s="676" t="s">
        <v>524</v>
      </c>
      <c r="M15" s="676" t="s">
        <v>525</v>
      </c>
      <c r="N15" s="676" t="s">
        <v>526</v>
      </c>
      <c r="O15" s="675" t="s">
        <v>517</v>
      </c>
      <c r="P15" s="675" t="s">
        <v>290</v>
      </c>
      <c r="Q15" s="675" t="s">
        <v>532</v>
      </c>
      <c r="R15" s="676" t="s">
        <v>527</v>
      </c>
      <c r="S15" s="676" t="s">
        <v>528</v>
      </c>
      <c r="T15" s="677" t="s">
        <v>529</v>
      </c>
      <c r="U15" s="675" t="s">
        <v>502</v>
      </c>
      <c r="V15" s="675" t="s">
        <v>502</v>
      </c>
      <c r="W15" s="675" t="s">
        <v>502</v>
      </c>
      <c r="X15" s="678" t="s">
        <v>504</v>
      </c>
      <c r="Y15" s="666" t="s">
        <v>535</v>
      </c>
      <c r="Z15" s="667" t="s">
        <v>536</v>
      </c>
      <c r="AA15" s="668" t="s">
        <v>532</v>
      </c>
      <c r="AB15" s="668" t="s">
        <v>532</v>
      </c>
      <c r="AC15" s="668" t="s">
        <v>532</v>
      </c>
      <c r="AD15" s="668" t="s">
        <v>532</v>
      </c>
      <c r="AE15" s="669" t="s">
        <v>532</v>
      </c>
      <c r="AF15" s="741" t="s">
        <v>535</v>
      </c>
      <c r="AG15" s="742" t="s">
        <v>536</v>
      </c>
      <c r="AH15" s="743" t="s">
        <v>532</v>
      </c>
      <c r="AI15" s="743" t="s">
        <v>532</v>
      </c>
      <c r="AJ15" s="743" t="s">
        <v>532</v>
      </c>
      <c r="AK15" s="743" t="s">
        <v>532</v>
      </c>
      <c r="AL15" s="744" t="s">
        <v>532</v>
      </c>
    </row>
    <row r="16" spans="2:38" ht="30" x14ac:dyDescent="0.45">
      <c r="B16" s="639" t="s">
        <v>4</v>
      </c>
      <c r="C16" s="600" t="s">
        <v>5</v>
      </c>
      <c r="D16" s="570" t="s">
        <v>6</v>
      </c>
      <c r="E16" s="570" t="s">
        <v>112</v>
      </c>
      <c r="F16" s="570" t="s">
        <v>114</v>
      </c>
      <c r="G16" s="1014" t="s">
        <v>115</v>
      </c>
      <c r="H16" s="1014"/>
      <c r="I16" s="1172"/>
      <c r="J16" s="791" t="s">
        <v>21</v>
      </c>
      <c r="K16" s="675" t="s">
        <v>496</v>
      </c>
      <c r="L16" s="675" t="s">
        <v>497</v>
      </c>
      <c r="M16" s="675" t="s">
        <v>498</v>
      </c>
      <c r="N16" s="675" t="s">
        <v>499</v>
      </c>
      <c r="O16" s="676" t="s">
        <v>552</v>
      </c>
      <c r="P16" s="675" t="s">
        <v>512</v>
      </c>
      <c r="Q16" s="675" t="s">
        <v>503</v>
      </c>
      <c r="R16" s="675" t="s">
        <v>553</v>
      </c>
      <c r="S16" s="675" t="s">
        <v>513</v>
      </c>
      <c r="T16" s="675" t="s">
        <v>514</v>
      </c>
      <c r="U16" s="675" t="s">
        <v>554</v>
      </c>
      <c r="V16" s="675" t="s">
        <v>515</v>
      </c>
      <c r="W16" s="675" t="s">
        <v>555</v>
      </c>
      <c r="X16" s="678" t="s">
        <v>516</v>
      </c>
      <c r="Y16" s="670" t="s">
        <v>556</v>
      </c>
      <c r="Z16" s="671" t="s">
        <v>557</v>
      </c>
      <c r="AA16" s="671" t="s">
        <v>558</v>
      </c>
      <c r="AB16" s="671" t="s">
        <v>559</v>
      </c>
      <c r="AC16" s="671" t="s">
        <v>560</v>
      </c>
      <c r="AD16" s="671" t="s">
        <v>561</v>
      </c>
      <c r="AE16" s="672" t="s">
        <v>562</v>
      </c>
      <c r="AF16" s="745" t="s">
        <v>563</v>
      </c>
      <c r="AG16" s="746" t="s">
        <v>564</v>
      </c>
      <c r="AH16" s="746" t="s">
        <v>565</v>
      </c>
      <c r="AI16" s="746" t="s">
        <v>566</v>
      </c>
      <c r="AJ16" s="746" t="s">
        <v>567</v>
      </c>
      <c r="AK16" s="746" t="s">
        <v>568</v>
      </c>
      <c r="AL16" s="747" t="s">
        <v>569</v>
      </c>
    </row>
    <row r="17" spans="2:38" ht="15.5" x14ac:dyDescent="0.45">
      <c r="B17" s="1180">
        <v>1</v>
      </c>
      <c r="C17" s="1182" t="s">
        <v>25</v>
      </c>
      <c r="D17" s="854"/>
      <c r="E17" s="1183">
        <v>1</v>
      </c>
      <c r="F17" s="1184" t="s">
        <v>30</v>
      </c>
      <c r="G17" s="855" t="s">
        <v>441</v>
      </c>
      <c r="H17" s="856"/>
      <c r="I17" s="984"/>
      <c r="J17" s="828"/>
      <c r="K17" s="828"/>
      <c r="L17" s="828"/>
      <c r="M17" s="828"/>
      <c r="N17" s="828"/>
      <c r="O17" s="828"/>
      <c r="P17" s="828"/>
      <c r="Q17" s="828"/>
      <c r="R17" s="828"/>
      <c r="S17" s="828"/>
      <c r="T17" s="828"/>
      <c r="U17" s="828"/>
      <c r="V17" s="828"/>
      <c r="W17" s="828"/>
      <c r="X17" s="828"/>
      <c r="Y17" s="828"/>
      <c r="Z17" s="828"/>
      <c r="AA17" s="828"/>
      <c r="AB17" s="828"/>
      <c r="AC17" s="828"/>
      <c r="AD17" s="828"/>
      <c r="AE17" s="828"/>
      <c r="AF17" s="828"/>
      <c r="AG17" s="828"/>
      <c r="AH17" s="828"/>
      <c r="AI17" s="828"/>
      <c r="AJ17" s="828"/>
      <c r="AK17" s="828"/>
      <c r="AL17" s="828"/>
    </row>
    <row r="18" spans="2:38" ht="15.5" x14ac:dyDescent="0.45">
      <c r="B18" s="1181"/>
      <c r="C18" s="1078"/>
      <c r="D18" s="499"/>
      <c r="E18" s="1084"/>
      <c r="F18" s="1076"/>
      <c r="G18" s="500" t="s">
        <v>176</v>
      </c>
      <c r="H18" s="501"/>
      <c r="I18" s="985"/>
      <c r="J18" s="789"/>
      <c r="K18" s="789"/>
      <c r="L18" s="789"/>
      <c r="M18" s="789"/>
      <c r="N18" s="789"/>
      <c r="O18" s="789"/>
      <c r="P18" s="789"/>
      <c r="Q18" s="789"/>
      <c r="R18" s="789"/>
      <c r="S18" s="789"/>
      <c r="T18" s="789"/>
      <c r="U18" s="789"/>
      <c r="V18" s="789"/>
      <c r="W18" s="789"/>
      <c r="X18" s="789"/>
      <c r="Y18" s="789"/>
      <c r="Z18" s="789"/>
      <c r="AA18" s="789"/>
      <c r="AB18" s="789"/>
      <c r="AC18" s="789"/>
      <c r="AD18" s="789"/>
      <c r="AE18" s="789"/>
      <c r="AF18" s="789"/>
      <c r="AG18" s="789"/>
      <c r="AH18" s="789"/>
      <c r="AI18" s="789"/>
      <c r="AJ18" s="789"/>
      <c r="AK18" s="789"/>
      <c r="AL18" s="790"/>
    </row>
    <row r="19" spans="2:38" ht="15.5" x14ac:dyDescent="0.45">
      <c r="B19" s="876"/>
      <c r="C19" s="307"/>
      <c r="D19" s="211"/>
      <c r="E19" s="308"/>
      <c r="F19" s="207" t="s">
        <v>4</v>
      </c>
      <c r="G19" s="213" t="s">
        <v>120</v>
      </c>
      <c r="H19" s="209"/>
      <c r="I19" s="966"/>
      <c r="J19" s="792">
        <f>RAP!E56</f>
        <v>290.97480000000002</v>
      </c>
      <c r="K19" s="601">
        <v>4</v>
      </c>
      <c r="L19" s="319"/>
      <c r="M19" s="319"/>
      <c r="N19" s="319"/>
      <c r="O19" s="598"/>
      <c r="P19" s="598"/>
      <c r="Q19" s="605"/>
      <c r="R19" s="485"/>
      <c r="S19" s="485"/>
      <c r="T19" s="485"/>
      <c r="U19" s="752">
        <f>SUM(R19:R34)+(SUM(S19:S34)+SUM(T19:T34))</f>
        <v>32199250</v>
      </c>
      <c r="V19" s="754">
        <f>RAP!H56</f>
        <v>37983668.530000001</v>
      </c>
      <c r="W19" s="752">
        <f>V19-U19</f>
        <v>5784418.5300000012</v>
      </c>
      <c r="X19" s="760">
        <f>W19/V19*100</f>
        <v>15.228698948421455</v>
      </c>
      <c r="Y19" s="755">
        <f>SUM(R19:R34)/J19</f>
        <v>31205.451468649517</v>
      </c>
      <c r="Z19" s="757">
        <v>30000</v>
      </c>
      <c r="AA19" s="758">
        <f>J19*Z19</f>
        <v>8729244</v>
      </c>
      <c r="AB19" s="758">
        <f>SUM(S19:S34)+SUM(T19:T34)</f>
        <v>23119250</v>
      </c>
      <c r="AC19" s="752">
        <f>AA19+AB19</f>
        <v>31848494</v>
      </c>
      <c r="AD19" s="752">
        <f>V19-AC19</f>
        <v>6135174.5300000012</v>
      </c>
      <c r="AE19" s="760">
        <f>AD19/V19*100</f>
        <v>16.152137925156858</v>
      </c>
      <c r="AF19" s="755">
        <f>(SUM(R19:R34)+SUM(S19:S34))/J19</f>
        <v>110659.92656408733</v>
      </c>
      <c r="AG19" s="757">
        <v>110000</v>
      </c>
      <c r="AH19" s="758">
        <f>AG19*J19</f>
        <v>32007228</v>
      </c>
      <c r="AI19" s="758">
        <f>SUM(T19:T34)</f>
        <v>0</v>
      </c>
      <c r="AJ19" s="752">
        <f>AH19+AI19</f>
        <v>32007228</v>
      </c>
      <c r="AK19" s="752">
        <f>V19-AJ19</f>
        <v>5976440.5300000012</v>
      </c>
      <c r="AL19" s="760">
        <f>AK19/V19*100</f>
        <v>15.734237269050855</v>
      </c>
    </row>
    <row r="20" spans="2:38" ht="15.5" x14ac:dyDescent="0.45">
      <c r="B20" s="877"/>
      <c r="C20" s="277"/>
      <c r="D20" s="211" t="s">
        <v>107</v>
      </c>
      <c r="E20" s="310">
        <v>0.3</v>
      </c>
      <c r="F20" s="211" t="s">
        <v>108</v>
      </c>
      <c r="G20" s="221" t="s">
        <v>51</v>
      </c>
      <c r="H20" s="209"/>
      <c r="I20" s="966"/>
      <c r="J20" s="475"/>
      <c r="K20" s="602"/>
      <c r="L20" s="433">
        <f>E20*J19/K19</f>
        <v>21.82311</v>
      </c>
      <c r="M20" s="433"/>
      <c r="N20" s="433"/>
      <c r="O20" s="597">
        <v>21</v>
      </c>
      <c r="P20" s="596" t="str">
        <f>F20</f>
        <v>OH</v>
      </c>
      <c r="Q20" s="608">
        <f>'Analisa Upah RAP'!G5</f>
        <v>75000</v>
      </c>
      <c r="R20" s="453">
        <f>O20*Q20*K19</f>
        <v>6300000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ht="15.5" x14ac:dyDescent="0.45">
      <c r="B21" s="877"/>
      <c r="C21" s="277"/>
      <c r="D21" s="211" t="s">
        <v>121</v>
      </c>
      <c r="E21" s="311">
        <v>0.1</v>
      </c>
      <c r="F21" s="211" t="s">
        <v>108</v>
      </c>
      <c r="G21" s="221" t="s">
        <v>57</v>
      </c>
      <c r="H21" s="209"/>
      <c r="I21" s="966"/>
      <c r="J21" s="475"/>
      <c r="K21" s="602"/>
      <c r="L21" s="433">
        <f>E21*J19/K19</f>
        <v>7.2743700000000011</v>
      </c>
      <c r="M21" s="433"/>
      <c r="N21" s="433"/>
      <c r="O21" s="597">
        <v>7</v>
      </c>
      <c r="P21" s="596" t="str">
        <f>F21</f>
        <v>OH</v>
      </c>
      <c r="Q21" s="608">
        <f>'Analisa Upah RAP'!G7</f>
        <v>85000</v>
      </c>
      <c r="R21" s="453">
        <f>O21*Q21*K19</f>
        <v>2380000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ht="15.5" x14ac:dyDescent="0.45">
      <c r="B22" s="877"/>
      <c r="C22" s="277"/>
      <c r="D22" s="211" t="s">
        <v>122</v>
      </c>
      <c r="E22" s="310">
        <v>0.01</v>
      </c>
      <c r="F22" s="211" t="s">
        <v>108</v>
      </c>
      <c r="G22" s="221" t="s">
        <v>123</v>
      </c>
      <c r="H22" s="209"/>
      <c r="I22" s="966"/>
      <c r="J22" s="475"/>
      <c r="K22" s="602"/>
      <c r="L22" s="433">
        <f>E22*J19/K19</f>
        <v>0.727437</v>
      </c>
      <c r="M22" s="433"/>
      <c r="N22" s="433"/>
      <c r="O22" s="597">
        <v>0</v>
      </c>
      <c r="P22" s="596" t="str">
        <f>F22</f>
        <v>OH</v>
      </c>
      <c r="Q22" s="608">
        <f>'Analisa Upah RAP'!G11</f>
        <v>90000</v>
      </c>
      <c r="R22" s="453">
        <f>O22*Q22*K19</f>
        <v>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ht="15.5" x14ac:dyDescent="0.45">
      <c r="B23" s="877"/>
      <c r="C23" s="277"/>
      <c r="D23" s="269" t="s">
        <v>109</v>
      </c>
      <c r="E23" s="312">
        <v>1.4999999999999999E-2</v>
      </c>
      <c r="F23" s="253" t="s">
        <v>108</v>
      </c>
      <c r="G23" s="228" t="s">
        <v>52</v>
      </c>
      <c r="H23" s="229"/>
      <c r="I23" s="967"/>
      <c r="J23" s="475"/>
      <c r="K23" s="602"/>
      <c r="L23" s="433">
        <f>E23*J19/K19</f>
        <v>1.0911554999999999</v>
      </c>
      <c r="M23" s="433"/>
      <c r="N23" s="433"/>
      <c r="O23" s="597">
        <v>1</v>
      </c>
      <c r="P23" s="596" t="str">
        <f>F23</f>
        <v>OH</v>
      </c>
      <c r="Q23" s="608">
        <f>'Analisa Upah RAP'!G12</f>
        <v>100000</v>
      </c>
      <c r="R23" s="453">
        <f>O23*Q23*K19</f>
        <v>400000</v>
      </c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ht="15.5" x14ac:dyDescent="0.45">
      <c r="B24" s="877"/>
      <c r="C24" s="277"/>
      <c r="D24" s="211"/>
      <c r="E24" s="308"/>
      <c r="F24" s="207" t="s">
        <v>5</v>
      </c>
      <c r="G24" s="213" t="s">
        <v>124</v>
      </c>
      <c r="H24" s="209"/>
      <c r="I24" s="966"/>
      <c r="J24" s="475"/>
      <c r="K24" s="602"/>
      <c r="L24" s="433"/>
      <c r="M24" s="433"/>
      <c r="N24" s="433"/>
      <c r="O24" s="597"/>
      <c r="P24" s="596"/>
      <c r="Q24" s="608"/>
      <c r="R24" s="453"/>
      <c r="S24" s="453"/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ht="15.5" x14ac:dyDescent="0.45">
      <c r="B25" s="877"/>
      <c r="C25" s="277"/>
      <c r="D25" s="211"/>
      <c r="E25" s="313">
        <v>70</v>
      </c>
      <c r="F25" s="211" t="s">
        <v>34</v>
      </c>
      <c r="G25" s="221" t="s">
        <v>279</v>
      </c>
      <c r="H25" s="209"/>
      <c r="I25" s="966"/>
      <c r="J25" s="475"/>
      <c r="K25" s="602"/>
      <c r="L25" s="433"/>
      <c r="M25" s="433">
        <f>E25*J19</f>
        <v>20368.236000000001</v>
      </c>
      <c r="N25" s="433"/>
      <c r="O25" s="597">
        <v>20369</v>
      </c>
      <c r="P25" s="596" t="str">
        <f>F25</f>
        <v>Buah</v>
      </c>
      <c r="Q25" s="608">
        <f>'Harga Bahan RAP'!G8</f>
        <v>750</v>
      </c>
      <c r="R25" s="453"/>
      <c r="S25" s="453">
        <f>O25*Q25</f>
        <v>15276750</v>
      </c>
      <c r="T25" s="45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ht="15.5" x14ac:dyDescent="0.45">
      <c r="B26" s="877"/>
      <c r="C26" s="277"/>
      <c r="D26" s="837"/>
      <c r="E26" s="878">
        <f>11.5/40</f>
        <v>0.28749999999999998</v>
      </c>
      <c r="F26" s="837" t="s">
        <v>347</v>
      </c>
      <c r="G26" s="879" t="s">
        <v>129</v>
      </c>
      <c r="H26" s="821"/>
      <c r="I26" s="977"/>
      <c r="J26" s="475"/>
      <c r="K26" s="602"/>
      <c r="L26" s="433"/>
      <c r="M26" s="433">
        <f>E26*J19</f>
        <v>83.655254999999997</v>
      </c>
      <c r="N26" s="433"/>
      <c r="O26" s="597">
        <v>84</v>
      </c>
      <c r="P26" s="596" t="str">
        <f>F26</f>
        <v>Zak</v>
      </c>
      <c r="Q26" s="608">
        <f>'Harga Bahan RAP'!G11</f>
        <v>45000</v>
      </c>
      <c r="R26" s="433"/>
      <c r="S26" s="453">
        <f t="shared" ref="S26:S29" si="0">O26*Q26</f>
        <v>3780000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ht="15.5" x14ac:dyDescent="0.45">
      <c r="B27" s="877"/>
      <c r="C27" s="277"/>
      <c r="D27" s="253"/>
      <c r="E27" s="312">
        <v>4.2999999999999997E-2</v>
      </c>
      <c r="F27" s="253" t="s">
        <v>65</v>
      </c>
      <c r="G27" s="228" t="s">
        <v>126</v>
      </c>
      <c r="H27" s="229"/>
      <c r="I27" s="967"/>
      <c r="J27" s="475"/>
      <c r="K27" s="602"/>
      <c r="L27" s="433"/>
      <c r="M27" s="433">
        <f>E27*J19</f>
        <v>12.5119164</v>
      </c>
      <c r="N27" s="433"/>
      <c r="O27" s="597">
        <v>12.5</v>
      </c>
      <c r="P27" s="596" t="str">
        <f>F27</f>
        <v>m3</v>
      </c>
      <c r="Q27" s="608">
        <f>'Harga Bahan RAP'!G9</f>
        <v>325000</v>
      </c>
      <c r="R27" s="433"/>
      <c r="S27" s="453">
        <f t="shared" si="0"/>
        <v>4062500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ht="15.5" x14ac:dyDescent="0.45">
      <c r="B28" s="877"/>
      <c r="C28" s="277"/>
      <c r="D28" s="211"/>
      <c r="E28" s="313"/>
      <c r="F28" s="211"/>
      <c r="G28" s="221"/>
      <c r="H28" s="209"/>
      <c r="I28" s="966"/>
      <c r="J28" s="475"/>
      <c r="K28" s="602"/>
      <c r="L28" s="433"/>
      <c r="M28" s="433">
        <f>E28*J19</f>
        <v>0</v>
      </c>
      <c r="N28" s="433"/>
      <c r="O28" s="597">
        <v>0</v>
      </c>
      <c r="P28" s="596">
        <f>F28</f>
        <v>0</v>
      </c>
      <c r="Q28" s="608"/>
      <c r="R28" s="433"/>
      <c r="S28" s="453">
        <f t="shared" si="0"/>
        <v>0</v>
      </c>
      <c r="T28" s="433"/>
      <c r="U28" s="753"/>
      <c r="V28" s="753"/>
      <c r="W28" s="753"/>
      <c r="X28" s="761"/>
      <c r="Y28" s="756"/>
      <c r="Z28" s="759"/>
      <c r="AA28" s="759"/>
      <c r="AB28" s="759"/>
      <c r="AC28" s="753"/>
      <c r="AD28" s="753"/>
      <c r="AE28" s="761"/>
      <c r="AF28" s="756"/>
      <c r="AG28" s="759"/>
      <c r="AH28" s="759"/>
      <c r="AI28" s="759"/>
      <c r="AJ28" s="753"/>
      <c r="AK28" s="753"/>
      <c r="AL28" s="761"/>
    </row>
    <row r="29" spans="2:38" ht="15.5" x14ac:dyDescent="0.45">
      <c r="B29" s="877"/>
      <c r="C29" s="277"/>
      <c r="D29" s="211"/>
      <c r="E29" s="313"/>
      <c r="F29" s="211"/>
      <c r="G29" s="221"/>
      <c r="H29" s="209"/>
      <c r="I29" s="966"/>
      <c r="J29" s="475"/>
      <c r="K29" s="602"/>
      <c r="L29" s="433"/>
      <c r="M29" s="433">
        <f>E29*J19</f>
        <v>0</v>
      </c>
      <c r="N29" s="433"/>
      <c r="O29" s="597">
        <v>0</v>
      </c>
      <c r="P29" s="596">
        <f>F29</f>
        <v>0</v>
      </c>
      <c r="Q29" s="608"/>
      <c r="R29" s="433"/>
      <c r="S29" s="453">
        <f t="shared" si="0"/>
        <v>0</v>
      </c>
      <c r="T29" s="433"/>
      <c r="U29" s="753"/>
      <c r="V29" s="753"/>
      <c r="W29" s="753"/>
      <c r="X29" s="761"/>
      <c r="Y29" s="756"/>
      <c r="Z29" s="759"/>
      <c r="AA29" s="759"/>
      <c r="AB29" s="759"/>
      <c r="AC29" s="753"/>
      <c r="AD29" s="753"/>
      <c r="AE29" s="761"/>
      <c r="AF29" s="756"/>
      <c r="AG29" s="759"/>
      <c r="AH29" s="759"/>
      <c r="AI29" s="759"/>
      <c r="AJ29" s="753"/>
      <c r="AK29" s="753"/>
      <c r="AL29" s="761"/>
    </row>
    <row r="30" spans="2:38" x14ac:dyDescent="0.45">
      <c r="B30" s="814"/>
      <c r="C30" s="256"/>
      <c r="D30" s="273"/>
      <c r="E30" s="273"/>
      <c r="F30" s="239" t="s">
        <v>6</v>
      </c>
      <c r="G30" s="257" t="s">
        <v>111</v>
      </c>
      <c r="H30" s="241"/>
      <c r="I30" s="986"/>
      <c r="J30" s="475"/>
      <c r="K30" s="602"/>
      <c r="L30" s="433"/>
      <c r="M30" s="433"/>
      <c r="N30" s="433"/>
      <c r="O30" s="597"/>
      <c r="P30" s="596"/>
      <c r="Q30" s="608"/>
      <c r="R30" s="433"/>
      <c r="S30" s="433"/>
      <c r="T30" s="433"/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x14ac:dyDescent="0.45">
      <c r="B31" s="814"/>
      <c r="C31" s="256"/>
      <c r="D31" s="272"/>
      <c r="E31" s="272"/>
      <c r="F31" s="207"/>
      <c r="G31" s="208"/>
      <c r="H31" s="244"/>
      <c r="I31" s="969"/>
      <c r="J31" s="475"/>
      <c r="K31" s="602"/>
      <c r="L31" s="433"/>
      <c r="M31" s="433"/>
      <c r="N31" s="433">
        <f>E31*J19</f>
        <v>0</v>
      </c>
      <c r="O31" s="597">
        <v>0</v>
      </c>
      <c r="P31" s="596">
        <v>0</v>
      </c>
      <c r="Q31" s="608"/>
      <c r="R31" s="433"/>
      <c r="S31" s="433"/>
      <c r="T31" s="453">
        <f>O31*Q31</f>
        <v>0</v>
      </c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x14ac:dyDescent="0.45">
      <c r="B32" s="814"/>
      <c r="C32" s="256"/>
      <c r="D32" s="272"/>
      <c r="E32" s="272"/>
      <c r="F32" s="207" t="s">
        <v>112</v>
      </c>
      <c r="G32" s="208" t="s">
        <v>113</v>
      </c>
      <c r="H32" s="244"/>
      <c r="I32" s="969"/>
      <c r="J32" s="475"/>
      <c r="K32" s="602"/>
      <c r="L32" s="433"/>
      <c r="M32" s="433"/>
      <c r="N32" s="433"/>
      <c r="O32" s="433"/>
      <c r="P32" s="433"/>
      <c r="Q32" s="595"/>
      <c r="R32" s="433"/>
      <c r="S32" s="433"/>
      <c r="T32" s="433"/>
      <c r="U32" s="433"/>
      <c r="V32" s="433"/>
      <c r="W32" s="433"/>
      <c r="X32" s="659"/>
      <c r="Y32" s="661"/>
      <c r="Z32" s="433"/>
      <c r="AA32" s="433"/>
      <c r="AB32" s="433"/>
      <c r="AC32" s="433"/>
      <c r="AD32" s="433"/>
      <c r="AE32" s="644"/>
      <c r="AF32" s="661"/>
      <c r="AG32" s="433"/>
      <c r="AH32" s="433"/>
      <c r="AI32" s="433"/>
      <c r="AJ32" s="433"/>
      <c r="AK32" s="433"/>
      <c r="AL32" s="644"/>
    </row>
    <row r="33" spans="2:38" x14ac:dyDescent="0.45">
      <c r="B33" s="814"/>
      <c r="C33" s="256"/>
      <c r="D33" s="272"/>
      <c r="E33" s="272"/>
      <c r="F33" s="207" t="s">
        <v>114</v>
      </c>
      <c r="G33" s="257" t="s">
        <v>130</v>
      </c>
      <c r="H33" s="244"/>
      <c r="I33" s="970">
        <v>0.15</v>
      </c>
      <c r="J33" s="475"/>
      <c r="K33" s="602"/>
      <c r="L33" s="433"/>
      <c r="M33" s="433"/>
      <c r="N33" s="433"/>
      <c r="O33" s="433"/>
      <c r="P33" s="433"/>
      <c r="Q33" s="595"/>
      <c r="R33" s="433"/>
      <c r="S33" s="433"/>
      <c r="T33" s="433"/>
      <c r="U33" s="433"/>
      <c r="V33" s="433"/>
      <c r="W33" s="433"/>
      <c r="X33" s="659"/>
      <c r="Y33" s="661"/>
      <c r="Z33" s="433"/>
      <c r="AA33" s="433"/>
      <c r="AB33" s="433"/>
      <c r="AC33" s="433"/>
      <c r="AD33" s="433"/>
      <c r="AE33" s="644"/>
      <c r="AF33" s="661"/>
      <c r="AG33" s="433"/>
      <c r="AH33" s="433"/>
      <c r="AI33" s="433"/>
      <c r="AJ33" s="433"/>
      <c r="AK33" s="433"/>
      <c r="AL33" s="644"/>
    </row>
    <row r="34" spans="2:38" ht="17" thickBot="1" x14ac:dyDescent="0.5">
      <c r="B34" s="815"/>
      <c r="C34" s="652"/>
      <c r="D34" s="796"/>
      <c r="E34" s="796"/>
      <c r="F34" s="649" t="s">
        <v>115</v>
      </c>
      <c r="G34" s="816" t="s">
        <v>127</v>
      </c>
      <c r="H34" s="651"/>
      <c r="I34" s="971"/>
      <c r="J34" s="793"/>
      <c r="K34" s="763"/>
      <c r="L34" s="655"/>
      <c r="M34" s="655"/>
      <c r="N34" s="655"/>
      <c r="O34" s="655"/>
      <c r="P34" s="655"/>
      <c r="Q34" s="654"/>
      <c r="R34" s="655"/>
      <c r="S34" s="655"/>
      <c r="T34" s="655"/>
      <c r="U34" s="655"/>
      <c r="V34" s="655"/>
      <c r="W34" s="655"/>
      <c r="X34" s="660"/>
      <c r="Y34" s="662"/>
      <c r="Z34" s="655"/>
      <c r="AA34" s="655"/>
      <c r="AB34" s="655"/>
      <c r="AC34" s="655"/>
      <c r="AD34" s="655"/>
      <c r="AE34" s="656"/>
      <c r="AF34" s="662"/>
      <c r="AG34" s="655"/>
      <c r="AH34" s="655"/>
      <c r="AI34" s="655"/>
      <c r="AJ34" s="655"/>
      <c r="AK34" s="655"/>
      <c r="AL34" s="656"/>
    </row>
    <row r="35" spans="2:38" x14ac:dyDescent="0.45">
      <c r="D35" s="112"/>
      <c r="E35" s="195"/>
      <c r="G35" s="111"/>
      <c r="H35" s="111"/>
      <c r="I35" s="111"/>
      <c r="Z35" s="657"/>
      <c r="AA35" s="657"/>
      <c r="AB35" s="657"/>
      <c r="AC35" s="657"/>
      <c r="AD35" s="657"/>
      <c r="AE35" s="657"/>
      <c r="AG35" s="657"/>
      <c r="AH35" s="657"/>
      <c r="AI35" s="657"/>
      <c r="AJ35" s="657"/>
      <c r="AK35" s="657"/>
      <c r="AL35" s="657"/>
    </row>
    <row r="36" spans="2:38" ht="17" thickBot="1" x14ac:dyDescent="0.5">
      <c r="B36" s="749" t="s">
        <v>661</v>
      </c>
      <c r="C36" s="750" t="str">
        <f>RAP!B57</f>
        <v>Plesteran  1PC : 4PP tebal 1,5 cm</v>
      </c>
      <c r="D36" s="241"/>
      <c r="E36" s="241"/>
      <c r="F36" s="276"/>
      <c r="G36" s="240"/>
      <c r="H36" s="241"/>
      <c r="I36" s="241"/>
      <c r="J36" s="604"/>
      <c r="K36" s="603"/>
      <c r="L36" s="604"/>
      <c r="M36" s="604"/>
      <c r="N36" s="604"/>
      <c r="O36" s="604"/>
      <c r="P36" s="604"/>
      <c r="Q36" s="604"/>
      <c r="R36" s="609"/>
      <c r="S36" s="609"/>
      <c r="T36" s="609"/>
      <c r="U36" s="609"/>
      <c r="V36" s="609"/>
      <c r="W36" s="609"/>
      <c r="X36" s="609"/>
      <c r="Y36" s="609"/>
      <c r="Z36" s="609"/>
      <c r="AA36" s="609"/>
      <c r="AB36" s="609"/>
      <c r="AC36" s="609"/>
      <c r="AD36" s="609"/>
      <c r="AE36" s="609"/>
      <c r="AF36" s="609"/>
      <c r="AG36" s="609"/>
      <c r="AH36" s="609"/>
      <c r="AI36" s="609"/>
      <c r="AJ36" s="609"/>
      <c r="AK36" s="609"/>
      <c r="AL36" s="609"/>
    </row>
    <row r="37" spans="2:38" ht="19.5" customHeight="1" x14ac:dyDescent="0.45">
      <c r="B37" s="1168" t="s">
        <v>99</v>
      </c>
      <c r="C37" s="1171" t="s">
        <v>100</v>
      </c>
      <c r="D37" s="1171" t="s">
        <v>89</v>
      </c>
      <c r="E37" s="1171" t="s">
        <v>101</v>
      </c>
      <c r="F37" s="1171" t="s">
        <v>102</v>
      </c>
      <c r="G37" s="1109" t="s">
        <v>103</v>
      </c>
      <c r="H37" s="1110"/>
      <c r="I37" s="1175"/>
      <c r="J37" s="1152" t="s">
        <v>539</v>
      </c>
      <c r="K37" s="1152"/>
      <c r="L37" s="1152"/>
      <c r="M37" s="1152"/>
      <c r="N37" s="1152"/>
      <c r="O37" s="1152"/>
      <c r="P37" s="1152"/>
      <c r="Q37" s="1152"/>
      <c r="R37" s="1152"/>
      <c r="S37" s="1152"/>
      <c r="T37" s="1152"/>
      <c r="U37" s="1152"/>
      <c r="V37" s="1152"/>
      <c r="W37" s="1152"/>
      <c r="X37" s="1152"/>
      <c r="Y37" s="1153" t="s">
        <v>540</v>
      </c>
      <c r="Z37" s="1154"/>
      <c r="AA37" s="1154"/>
      <c r="AB37" s="1154"/>
      <c r="AC37" s="1154"/>
      <c r="AD37" s="1154"/>
      <c r="AE37" s="1155"/>
      <c r="AF37" s="1156" t="s">
        <v>541</v>
      </c>
      <c r="AG37" s="1157"/>
      <c r="AH37" s="1157"/>
      <c r="AI37" s="1157"/>
      <c r="AJ37" s="1157"/>
      <c r="AK37" s="1157"/>
      <c r="AL37" s="1158"/>
    </row>
    <row r="38" spans="2:38" ht="45" x14ac:dyDescent="0.45">
      <c r="B38" s="1169"/>
      <c r="C38" s="1089"/>
      <c r="D38" s="1089"/>
      <c r="E38" s="1089"/>
      <c r="F38" s="1089"/>
      <c r="G38" s="1026"/>
      <c r="H38" s="1027"/>
      <c r="I38" s="1176"/>
      <c r="J38" s="1173" t="s">
        <v>15</v>
      </c>
      <c r="K38" s="673" t="s">
        <v>493</v>
      </c>
      <c r="L38" s="1161" t="s">
        <v>491</v>
      </c>
      <c r="M38" s="1162"/>
      <c r="N38" s="1162"/>
      <c r="O38" s="1162"/>
      <c r="P38" s="1163"/>
      <c r="Q38" s="674" t="s">
        <v>533</v>
      </c>
      <c r="R38" s="1161" t="s">
        <v>501</v>
      </c>
      <c r="S38" s="1162"/>
      <c r="T38" s="1163"/>
      <c r="U38" s="674" t="s">
        <v>530</v>
      </c>
      <c r="V38" s="674" t="s">
        <v>531</v>
      </c>
      <c r="W38" s="674" t="s">
        <v>578</v>
      </c>
      <c r="X38" s="681" t="s">
        <v>579</v>
      </c>
      <c r="Y38" s="1164" t="s">
        <v>534</v>
      </c>
      <c r="Z38" s="1165"/>
      <c r="AA38" s="663" t="s">
        <v>537</v>
      </c>
      <c r="AB38" s="664" t="s">
        <v>538</v>
      </c>
      <c r="AC38" s="665" t="s">
        <v>530</v>
      </c>
      <c r="AD38" s="665" t="s">
        <v>578</v>
      </c>
      <c r="AE38" s="682" t="s">
        <v>579</v>
      </c>
      <c r="AF38" s="1166" t="s">
        <v>542</v>
      </c>
      <c r="AG38" s="1167"/>
      <c r="AH38" s="737" t="s">
        <v>543</v>
      </c>
      <c r="AI38" s="738" t="s">
        <v>544</v>
      </c>
      <c r="AJ38" s="739" t="s">
        <v>530</v>
      </c>
      <c r="AK38" s="739" t="s">
        <v>578</v>
      </c>
      <c r="AL38" s="740" t="s">
        <v>579</v>
      </c>
    </row>
    <row r="39" spans="2:38" ht="30" x14ac:dyDescent="0.45">
      <c r="B39" s="1170"/>
      <c r="C39" s="1090"/>
      <c r="D39" s="1090"/>
      <c r="E39" s="1090"/>
      <c r="F39" s="1090"/>
      <c r="G39" s="1085"/>
      <c r="H39" s="1086"/>
      <c r="I39" s="1177"/>
      <c r="J39" s="1174"/>
      <c r="K39" s="675" t="s">
        <v>495</v>
      </c>
      <c r="L39" s="676" t="s">
        <v>524</v>
      </c>
      <c r="M39" s="676" t="s">
        <v>525</v>
      </c>
      <c r="N39" s="676" t="s">
        <v>526</v>
      </c>
      <c r="O39" s="675" t="s">
        <v>517</v>
      </c>
      <c r="P39" s="675" t="s">
        <v>290</v>
      </c>
      <c r="Q39" s="675" t="s">
        <v>532</v>
      </c>
      <c r="R39" s="676" t="s">
        <v>527</v>
      </c>
      <c r="S39" s="676" t="s">
        <v>528</v>
      </c>
      <c r="T39" s="677" t="s">
        <v>529</v>
      </c>
      <c r="U39" s="675" t="s">
        <v>502</v>
      </c>
      <c r="V39" s="675" t="s">
        <v>502</v>
      </c>
      <c r="W39" s="675" t="s">
        <v>502</v>
      </c>
      <c r="X39" s="678" t="s">
        <v>504</v>
      </c>
      <c r="Y39" s="666" t="s">
        <v>535</v>
      </c>
      <c r="Z39" s="667" t="s">
        <v>536</v>
      </c>
      <c r="AA39" s="668" t="s">
        <v>532</v>
      </c>
      <c r="AB39" s="668" t="s">
        <v>532</v>
      </c>
      <c r="AC39" s="668" t="s">
        <v>532</v>
      </c>
      <c r="AD39" s="668" t="s">
        <v>532</v>
      </c>
      <c r="AE39" s="669" t="s">
        <v>532</v>
      </c>
      <c r="AF39" s="741" t="s">
        <v>535</v>
      </c>
      <c r="AG39" s="742" t="s">
        <v>536</v>
      </c>
      <c r="AH39" s="743" t="s">
        <v>532</v>
      </c>
      <c r="AI39" s="743" t="s">
        <v>532</v>
      </c>
      <c r="AJ39" s="743" t="s">
        <v>532</v>
      </c>
      <c r="AK39" s="743" t="s">
        <v>532</v>
      </c>
      <c r="AL39" s="744" t="s">
        <v>532</v>
      </c>
    </row>
    <row r="40" spans="2:38" ht="30" x14ac:dyDescent="0.45">
      <c r="B40" s="639" t="s">
        <v>4</v>
      </c>
      <c r="C40" s="600" t="s">
        <v>5</v>
      </c>
      <c r="D40" s="570" t="s">
        <v>6</v>
      </c>
      <c r="E40" s="570" t="s">
        <v>112</v>
      </c>
      <c r="F40" s="570" t="s">
        <v>114</v>
      </c>
      <c r="G40" s="1014" t="s">
        <v>115</v>
      </c>
      <c r="H40" s="1014"/>
      <c r="I40" s="1172"/>
      <c r="J40" s="791" t="s">
        <v>21</v>
      </c>
      <c r="K40" s="675" t="s">
        <v>496</v>
      </c>
      <c r="L40" s="675" t="s">
        <v>497</v>
      </c>
      <c r="M40" s="675" t="s">
        <v>498</v>
      </c>
      <c r="N40" s="675" t="s">
        <v>499</v>
      </c>
      <c r="O40" s="676" t="s">
        <v>552</v>
      </c>
      <c r="P40" s="675" t="s">
        <v>512</v>
      </c>
      <c r="Q40" s="675" t="s">
        <v>503</v>
      </c>
      <c r="R40" s="675" t="s">
        <v>553</v>
      </c>
      <c r="S40" s="675" t="s">
        <v>513</v>
      </c>
      <c r="T40" s="675" t="s">
        <v>514</v>
      </c>
      <c r="U40" s="675" t="s">
        <v>554</v>
      </c>
      <c r="V40" s="675" t="s">
        <v>515</v>
      </c>
      <c r="W40" s="675" t="s">
        <v>555</v>
      </c>
      <c r="X40" s="678" t="s">
        <v>516</v>
      </c>
      <c r="Y40" s="670" t="s">
        <v>556</v>
      </c>
      <c r="Z40" s="671" t="s">
        <v>557</v>
      </c>
      <c r="AA40" s="671" t="s">
        <v>558</v>
      </c>
      <c r="AB40" s="671" t="s">
        <v>559</v>
      </c>
      <c r="AC40" s="671" t="s">
        <v>560</v>
      </c>
      <c r="AD40" s="671" t="s">
        <v>561</v>
      </c>
      <c r="AE40" s="672" t="s">
        <v>562</v>
      </c>
      <c r="AF40" s="745" t="s">
        <v>563</v>
      </c>
      <c r="AG40" s="746" t="s">
        <v>564</v>
      </c>
      <c r="AH40" s="746" t="s">
        <v>565</v>
      </c>
      <c r="AI40" s="746" t="s">
        <v>566</v>
      </c>
      <c r="AJ40" s="746" t="s">
        <v>567</v>
      </c>
      <c r="AK40" s="746" t="s">
        <v>568</v>
      </c>
      <c r="AL40" s="747" t="s">
        <v>569</v>
      </c>
    </row>
    <row r="41" spans="2:38" x14ac:dyDescent="0.45">
      <c r="B41" s="800">
        <v>2</v>
      </c>
      <c r="C41" s="508" t="s">
        <v>26</v>
      </c>
      <c r="D41" s="875"/>
      <c r="E41" s="521">
        <v>1</v>
      </c>
      <c r="F41" s="584" t="s">
        <v>30</v>
      </c>
      <c r="G41" s="561" t="s">
        <v>289</v>
      </c>
      <c r="H41" s="562"/>
      <c r="I41" s="975"/>
      <c r="J41" s="789"/>
      <c r="K41" s="789"/>
      <c r="L41" s="789"/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  <c r="Y41" s="789"/>
      <c r="Z41" s="789"/>
      <c r="AA41" s="789"/>
      <c r="AB41" s="789"/>
      <c r="AC41" s="789"/>
      <c r="AD41" s="789"/>
      <c r="AE41" s="789"/>
      <c r="AF41" s="789"/>
      <c r="AG41" s="789"/>
      <c r="AH41" s="789"/>
      <c r="AI41" s="789"/>
      <c r="AJ41" s="789"/>
      <c r="AK41" s="789"/>
      <c r="AL41" s="790"/>
    </row>
    <row r="42" spans="2:38" x14ac:dyDescent="0.45">
      <c r="B42" s="886"/>
      <c r="C42" s="305"/>
      <c r="D42" s="316"/>
      <c r="E42" s="284"/>
      <c r="F42" s="285" t="s">
        <v>4</v>
      </c>
      <c r="G42" s="286" t="s">
        <v>120</v>
      </c>
      <c r="H42" s="209"/>
      <c r="I42" s="966"/>
      <c r="J42" s="792">
        <f>RAP!E57</f>
        <v>631.7016000000001</v>
      </c>
      <c r="K42" s="601">
        <v>8</v>
      </c>
      <c r="L42" s="319"/>
      <c r="M42" s="319"/>
      <c r="N42" s="319"/>
      <c r="O42" s="598"/>
      <c r="P42" s="598"/>
      <c r="Q42" s="605"/>
      <c r="R42" s="485"/>
      <c r="S42" s="485"/>
      <c r="T42" s="485"/>
      <c r="U42" s="752">
        <f>SUM(R42:R57)+(SUM(S42:S57)+SUM(T42:T57))</f>
        <v>32717500</v>
      </c>
      <c r="V42" s="754">
        <f>RAP!H57</f>
        <v>39152391.390000001</v>
      </c>
      <c r="W42" s="752">
        <f>V42-U42</f>
        <v>6434891.3900000006</v>
      </c>
      <c r="X42" s="760">
        <f>W42/V42*100</f>
        <v>16.43550026332121</v>
      </c>
      <c r="Y42" s="755">
        <f>SUM(R42:R57)/J42</f>
        <v>36979.485250630991</v>
      </c>
      <c r="Z42" s="757">
        <v>35000</v>
      </c>
      <c r="AA42" s="758">
        <f>J42*Z42</f>
        <v>22109556.000000004</v>
      </c>
      <c r="AB42" s="758">
        <f>SUM(S42:S57)+SUM(T42:T57)</f>
        <v>9357500</v>
      </c>
      <c r="AC42" s="752">
        <f>AA42+AB42</f>
        <v>31467056.000000004</v>
      </c>
      <c r="AD42" s="752">
        <f>V42-AC42</f>
        <v>7685335.3899999969</v>
      </c>
      <c r="AE42" s="760">
        <f>AD42/V42*100</f>
        <v>19.629287298049757</v>
      </c>
      <c r="AF42" s="755">
        <f>(SUM(R42:R57)+SUM(S42:S57))/J42</f>
        <v>51792.650200664357</v>
      </c>
      <c r="AG42" s="757">
        <v>50000</v>
      </c>
      <c r="AH42" s="758">
        <f>AG42*J42</f>
        <v>31585080.000000004</v>
      </c>
      <c r="AI42" s="758">
        <f>SUM(T42:T57)</f>
        <v>0</v>
      </c>
      <c r="AJ42" s="752">
        <f>AH42+AI42</f>
        <v>31585080.000000004</v>
      </c>
      <c r="AK42" s="752">
        <f>V42-AJ42</f>
        <v>7567311.3899999969</v>
      </c>
      <c r="AL42" s="760">
        <f>AK42/V42*100</f>
        <v>19.327839555498468</v>
      </c>
    </row>
    <row r="43" spans="2:38" x14ac:dyDescent="0.45">
      <c r="B43" s="814"/>
      <c r="C43" s="256"/>
      <c r="D43" s="275" t="s">
        <v>107</v>
      </c>
      <c r="E43" s="318">
        <v>0.3</v>
      </c>
      <c r="F43" s="275" t="s">
        <v>108</v>
      </c>
      <c r="G43" s="282" t="s">
        <v>51</v>
      </c>
      <c r="H43" s="229"/>
      <c r="I43" s="967"/>
      <c r="J43" s="475"/>
      <c r="K43" s="602"/>
      <c r="L43" s="433">
        <f>E43*J42/K42</f>
        <v>23.688810000000004</v>
      </c>
      <c r="M43" s="433"/>
      <c r="N43" s="433"/>
      <c r="O43" s="597">
        <v>24</v>
      </c>
      <c r="P43" s="596" t="str">
        <f>F43</f>
        <v>OH</v>
      </c>
      <c r="Q43" s="608">
        <f>'Analisa Upah RAP'!G5</f>
        <v>75000</v>
      </c>
      <c r="R43" s="453">
        <f>O43*Q43*K42</f>
        <v>14400000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x14ac:dyDescent="0.45">
      <c r="B44" s="814"/>
      <c r="C44" s="256"/>
      <c r="D44" s="320" t="s">
        <v>121</v>
      </c>
      <c r="E44" s="321">
        <v>0.15</v>
      </c>
      <c r="F44" s="320" t="s">
        <v>108</v>
      </c>
      <c r="G44" s="322" t="s">
        <v>131</v>
      </c>
      <c r="H44" s="323"/>
      <c r="I44" s="987"/>
      <c r="J44" s="475"/>
      <c r="K44" s="602"/>
      <c r="L44" s="433">
        <f>E44*J42/K42</f>
        <v>11.844405000000002</v>
      </c>
      <c r="M44" s="433"/>
      <c r="N44" s="433"/>
      <c r="O44" s="597">
        <v>12</v>
      </c>
      <c r="P44" s="596" t="str">
        <f>F44</f>
        <v>OH</v>
      </c>
      <c r="Q44" s="608">
        <f>'Analisa Upah RAP'!G7</f>
        <v>85000</v>
      </c>
      <c r="R44" s="453">
        <f>O44*Q44*K42</f>
        <v>8160000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x14ac:dyDescent="0.45">
      <c r="B45" s="814"/>
      <c r="C45" s="256"/>
      <c r="D45" s="320" t="s">
        <v>122</v>
      </c>
      <c r="E45" s="326">
        <v>1.4999999999999999E-2</v>
      </c>
      <c r="F45" s="320" t="s">
        <v>108</v>
      </c>
      <c r="G45" s="322" t="s">
        <v>123</v>
      </c>
      <c r="H45" s="323"/>
      <c r="I45" s="987"/>
      <c r="J45" s="475"/>
      <c r="K45" s="602"/>
      <c r="L45" s="433">
        <f>E45*J42/K42</f>
        <v>1.1844405000000002</v>
      </c>
      <c r="M45" s="433"/>
      <c r="N45" s="433"/>
      <c r="O45" s="597">
        <v>0</v>
      </c>
      <c r="P45" s="596" t="str">
        <f>F45</f>
        <v>OH</v>
      </c>
      <c r="Q45" s="608">
        <f>'Analisa Upah RAP'!G11</f>
        <v>90000</v>
      </c>
      <c r="R45" s="453">
        <f>O45*Q45*K42</f>
        <v>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x14ac:dyDescent="0.45">
      <c r="B46" s="814"/>
      <c r="C46" s="256"/>
      <c r="D46" s="275" t="s">
        <v>109</v>
      </c>
      <c r="E46" s="300">
        <v>1.4999999999999999E-2</v>
      </c>
      <c r="F46" s="275" t="s">
        <v>108</v>
      </c>
      <c r="G46" s="282" t="s">
        <v>52</v>
      </c>
      <c r="H46" s="229"/>
      <c r="I46" s="967"/>
      <c r="J46" s="475"/>
      <c r="K46" s="602"/>
      <c r="L46" s="433">
        <f>E46*J42/K42</f>
        <v>1.1844405000000002</v>
      </c>
      <c r="M46" s="433"/>
      <c r="N46" s="433"/>
      <c r="O46" s="597">
        <v>1</v>
      </c>
      <c r="P46" s="596" t="str">
        <f>F46</f>
        <v>OH</v>
      </c>
      <c r="Q46" s="608">
        <f>'Analisa Upah RAP'!G12</f>
        <v>100000</v>
      </c>
      <c r="R46" s="453">
        <f>O46*Q46*K42</f>
        <v>800000</v>
      </c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x14ac:dyDescent="0.45">
      <c r="B47" s="814"/>
      <c r="C47" s="256"/>
      <c r="D47" s="316"/>
      <c r="E47" s="284"/>
      <c r="F47" s="285" t="s">
        <v>5</v>
      </c>
      <c r="G47" s="286" t="s">
        <v>124</v>
      </c>
      <c r="H47" s="209"/>
      <c r="I47" s="966"/>
      <c r="J47" s="475"/>
      <c r="K47" s="602"/>
      <c r="L47" s="433"/>
      <c r="M47" s="433"/>
      <c r="N47" s="433"/>
      <c r="O47" s="597"/>
      <c r="P47" s="596"/>
      <c r="Q47" s="608"/>
      <c r="R47" s="453"/>
      <c r="S47" s="453"/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x14ac:dyDescent="0.45">
      <c r="B48" s="814"/>
      <c r="C48" s="256"/>
      <c r="D48" s="887"/>
      <c r="E48" s="888">
        <f>6.24/40</f>
        <v>0.156</v>
      </c>
      <c r="F48" s="889" t="s">
        <v>347</v>
      </c>
      <c r="G48" s="890" t="s">
        <v>129</v>
      </c>
      <c r="H48" s="891"/>
      <c r="I48" s="988"/>
      <c r="J48" s="475"/>
      <c r="K48" s="602"/>
      <c r="L48" s="433"/>
      <c r="M48" s="433">
        <f>E48*J42</f>
        <v>98.545449600000012</v>
      </c>
      <c r="N48" s="433"/>
      <c r="O48" s="597">
        <v>96</v>
      </c>
      <c r="P48" s="596" t="str">
        <f>F48</f>
        <v>Zak</v>
      </c>
      <c r="Q48" s="608">
        <f>'Harga Bahan RAP'!G11</f>
        <v>45000</v>
      </c>
      <c r="R48" s="453"/>
      <c r="S48" s="453">
        <f>O48*Q48</f>
        <v>4320000</v>
      </c>
      <c r="T48" s="45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x14ac:dyDescent="0.45">
      <c r="B49" s="814"/>
      <c r="C49" s="256"/>
      <c r="D49" s="880"/>
      <c r="E49" s="881">
        <v>2.4E-2</v>
      </c>
      <c r="F49" s="882" t="s">
        <v>65</v>
      </c>
      <c r="G49" s="883" t="s">
        <v>126</v>
      </c>
      <c r="H49" s="884"/>
      <c r="I49" s="989"/>
      <c r="J49" s="475"/>
      <c r="K49" s="602"/>
      <c r="L49" s="433"/>
      <c r="M49" s="433">
        <f>E49*J42</f>
        <v>15.160838400000003</v>
      </c>
      <c r="N49" s="433"/>
      <c r="O49" s="597">
        <v>15.5</v>
      </c>
      <c r="P49" s="596" t="str">
        <f>F49</f>
        <v>m3</v>
      </c>
      <c r="Q49" s="608">
        <f>'Harga Bahan RAP'!G9</f>
        <v>325000</v>
      </c>
      <c r="R49" s="433"/>
      <c r="S49" s="453">
        <f t="shared" ref="S49:S52" si="1">O49*Q49</f>
        <v>5037500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x14ac:dyDescent="0.45">
      <c r="B50" s="814"/>
      <c r="C50" s="256"/>
      <c r="D50" s="885"/>
      <c r="E50" s="299"/>
      <c r="F50" s="267"/>
      <c r="G50" s="235"/>
      <c r="H50" s="209"/>
      <c r="I50" s="966"/>
      <c r="J50" s="475"/>
      <c r="K50" s="602"/>
      <c r="L50" s="433"/>
      <c r="M50" s="433">
        <f>E50*J42</f>
        <v>0</v>
      </c>
      <c r="N50" s="433"/>
      <c r="O50" s="597">
        <v>0</v>
      </c>
      <c r="P50" s="596">
        <f>F50</f>
        <v>0</v>
      </c>
      <c r="Q50" s="608"/>
      <c r="R50" s="433"/>
      <c r="S50" s="453">
        <f t="shared" si="1"/>
        <v>0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x14ac:dyDescent="0.45">
      <c r="B51" s="814"/>
      <c r="C51" s="256"/>
      <c r="D51" s="885"/>
      <c r="E51" s="299"/>
      <c r="F51" s="267"/>
      <c r="G51" s="235"/>
      <c r="H51" s="209"/>
      <c r="I51" s="966"/>
      <c r="J51" s="475"/>
      <c r="K51" s="602"/>
      <c r="L51" s="433"/>
      <c r="M51" s="433">
        <f>E51*J42</f>
        <v>0</v>
      </c>
      <c r="N51" s="433"/>
      <c r="O51" s="597">
        <v>0</v>
      </c>
      <c r="P51" s="596">
        <f>F51</f>
        <v>0</v>
      </c>
      <c r="Q51" s="608"/>
      <c r="R51" s="433"/>
      <c r="S51" s="453">
        <f t="shared" si="1"/>
        <v>0</v>
      </c>
      <c r="T51" s="433"/>
      <c r="U51" s="753"/>
      <c r="V51" s="753"/>
      <c r="W51" s="753"/>
      <c r="X51" s="761"/>
      <c r="Y51" s="756"/>
      <c r="Z51" s="759"/>
      <c r="AA51" s="759"/>
      <c r="AB51" s="759"/>
      <c r="AC51" s="753"/>
      <c r="AD51" s="753"/>
      <c r="AE51" s="761"/>
      <c r="AF51" s="756"/>
      <c r="AG51" s="759"/>
      <c r="AH51" s="759"/>
      <c r="AI51" s="759"/>
      <c r="AJ51" s="753"/>
      <c r="AK51" s="753"/>
      <c r="AL51" s="761"/>
    </row>
    <row r="52" spans="2:38" x14ac:dyDescent="0.45">
      <c r="B52" s="814"/>
      <c r="C52" s="256"/>
      <c r="D52" s="885"/>
      <c r="E52" s="299"/>
      <c r="F52" s="267"/>
      <c r="G52" s="235"/>
      <c r="H52" s="209"/>
      <c r="I52" s="966"/>
      <c r="J52" s="475"/>
      <c r="K52" s="602"/>
      <c r="L52" s="433"/>
      <c r="M52" s="433">
        <f>E52*J42</f>
        <v>0</v>
      </c>
      <c r="N52" s="433"/>
      <c r="O52" s="597">
        <v>0</v>
      </c>
      <c r="P52" s="596">
        <f>F52</f>
        <v>0</v>
      </c>
      <c r="Q52" s="608"/>
      <c r="R52" s="433"/>
      <c r="S52" s="453">
        <f t="shared" si="1"/>
        <v>0</v>
      </c>
      <c r="T52" s="433"/>
      <c r="U52" s="753"/>
      <c r="V52" s="753"/>
      <c r="W52" s="753"/>
      <c r="X52" s="761"/>
      <c r="Y52" s="756"/>
      <c r="Z52" s="759"/>
      <c r="AA52" s="759"/>
      <c r="AB52" s="759"/>
      <c r="AC52" s="753"/>
      <c r="AD52" s="753"/>
      <c r="AE52" s="761"/>
      <c r="AF52" s="756"/>
      <c r="AG52" s="759"/>
      <c r="AH52" s="759"/>
      <c r="AI52" s="759"/>
      <c r="AJ52" s="753"/>
      <c r="AK52" s="753"/>
      <c r="AL52" s="761"/>
    </row>
    <row r="53" spans="2:38" x14ac:dyDescent="0.45">
      <c r="B53" s="814"/>
      <c r="C53" s="256"/>
      <c r="D53" s="273"/>
      <c r="E53" s="273"/>
      <c r="F53" s="239" t="s">
        <v>6</v>
      </c>
      <c r="G53" s="257" t="s">
        <v>111</v>
      </c>
      <c r="H53" s="241"/>
      <c r="I53" s="986"/>
      <c r="J53" s="475"/>
      <c r="K53" s="602"/>
      <c r="L53" s="433"/>
      <c r="M53" s="433"/>
      <c r="N53" s="433"/>
      <c r="O53" s="597"/>
      <c r="P53" s="596"/>
      <c r="Q53" s="608"/>
      <c r="R53" s="433"/>
      <c r="S53" s="433"/>
      <c r="T53" s="433"/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x14ac:dyDescent="0.45">
      <c r="B54" s="814"/>
      <c r="C54" s="256"/>
      <c r="D54" s="272"/>
      <c r="E54" s="272"/>
      <c r="F54" s="207"/>
      <c r="G54" s="208"/>
      <c r="H54" s="244"/>
      <c r="I54" s="969"/>
      <c r="J54" s="475"/>
      <c r="K54" s="602"/>
      <c r="L54" s="433"/>
      <c r="M54" s="433"/>
      <c r="N54" s="433">
        <f>E54*J42</f>
        <v>0</v>
      </c>
      <c r="O54" s="597">
        <v>0</v>
      </c>
      <c r="P54" s="596">
        <v>0</v>
      </c>
      <c r="Q54" s="608"/>
      <c r="R54" s="433"/>
      <c r="S54" s="433"/>
      <c r="T54" s="453">
        <f>O54*Q54</f>
        <v>0</v>
      </c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x14ac:dyDescent="0.45">
      <c r="B55" s="814"/>
      <c r="C55" s="256"/>
      <c r="D55" s="272"/>
      <c r="E55" s="272"/>
      <c r="F55" s="207" t="s">
        <v>112</v>
      </c>
      <c r="G55" s="208" t="s">
        <v>113</v>
      </c>
      <c r="H55" s="244"/>
      <c r="I55" s="969"/>
      <c r="J55" s="475"/>
      <c r="K55" s="602"/>
      <c r="L55" s="433"/>
      <c r="M55" s="433"/>
      <c r="N55" s="433"/>
      <c r="O55" s="433"/>
      <c r="P55" s="433"/>
      <c r="Q55" s="595"/>
      <c r="R55" s="433"/>
      <c r="S55" s="433"/>
      <c r="T55" s="433"/>
      <c r="U55" s="433"/>
      <c r="V55" s="433"/>
      <c r="W55" s="433"/>
      <c r="X55" s="659"/>
      <c r="Y55" s="661"/>
      <c r="Z55" s="433"/>
      <c r="AA55" s="433"/>
      <c r="AB55" s="433"/>
      <c r="AC55" s="433"/>
      <c r="AD55" s="433"/>
      <c r="AE55" s="644"/>
      <c r="AF55" s="661"/>
      <c r="AG55" s="433"/>
      <c r="AH55" s="433"/>
      <c r="AI55" s="433"/>
      <c r="AJ55" s="433"/>
      <c r="AK55" s="433"/>
      <c r="AL55" s="644"/>
    </row>
    <row r="56" spans="2:38" x14ac:dyDescent="0.45">
      <c r="B56" s="814"/>
      <c r="C56" s="256"/>
      <c r="D56" s="272"/>
      <c r="E56" s="272"/>
      <c r="F56" s="207" t="s">
        <v>114</v>
      </c>
      <c r="G56" s="257" t="s">
        <v>130</v>
      </c>
      <c r="H56" s="244"/>
      <c r="I56" s="970">
        <v>0.15</v>
      </c>
      <c r="J56" s="475"/>
      <c r="K56" s="602"/>
      <c r="L56" s="433"/>
      <c r="M56" s="433"/>
      <c r="N56" s="433"/>
      <c r="O56" s="433"/>
      <c r="P56" s="433"/>
      <c r="Q56" s="595"/>
      <c r="R56" s="433"/>
      <c r="S56" s="433"/>
      <c r="T56" s="433"/>
      <c r="U56" s="433"/>
      <c r="V56" s="433"/>
      <c r="W56" s="433"/>
      <c r="X56" s="659"/>
      <c r="Y56" s="661"/>
      <c r="Z56" s="433"/>
      <c r="AA56" s="433"/>
      <c r="AB56" s="433"/>
      <c r="AC56" s="433"/>
      <c r="AD56" s="433"/>
      <c r="AE56" s="644"/>
      <c r="AF56" s="661"/>
      <c r="AG56" s="433"/>
      <c r="AH56" s="433"/>
      <c r="AI56" s="433"/>
      <c r="AJ56" s="433"/>
      <c r="AK56" s="433"/>
      <c r="AL56" s="644"/>
    </row>
    <row r="57" spans="2:38" ht="17" thickBot="1" x14ac:dyDescent="0.5">
      <c r="B57" s="815"/>
      <c r="C57" s="652"/>
      <c r="D57" s="796"/>
      <c r="E57" s="796"/>
      <c r="F57" s="649" t="s">
        <v>115</v>
      </c>
      <c r="G57" s="816" t="s">
        <v>127</v>
      </c>
      <c r="H57" s="651"/>
      <c r="I57" s="971"/>
      <c r="J57" s="793"/>
      <c r="K57" s="763"/>
      <c r="L57" s="655"/>
      <c r="M57" s="655"/>
      <c r="N57" s="655"/>
      <c r="O57" s="655"/>
      <c r="P57" s="655"/>
      <c r="Q57" s="654"/>
      <c r="R57" s="655"/>
      <c r="S57" s="655"/>
      <c r="T57" s="655"/>
      <c r="U57" s="655"/>
      <c r="V57" s="655"/>
      <c r="W57" s="655"/>
      <c r="X57" s="660"/>
      <c r="Y57" s="662"/>
      <c r="Z57" s="655"/>
      <c r="AA57" s="655"/>
      <c r="AB57" s="655"/>
      <c r="AC57" s="655"/>
      <c r="AD57" s="655"/>
      <c r="AE57" s="656"/>
      <c r="AF57" s="662"/>
      <c r="AG57" s="655"/>
      <c r="AH57" s="655"/>
      <c r="AI57" s="655"/>
      <c r="AJ57" s="655"/>
      <c r="AK57" s="655"/>
      <c r="AL57" s="656"/>
    </row>
    <row r="58" spans="2:38" x14ac:dyDescent="0.45">
      <c r="D58" s="112"/>
      <c r="E58" s="195"/>
      <c r="G58" s="111"/>
      <c r="H58" s="111"/>
      <c r="I58" s="111"/>
      <c r="Z58" s="657"/>
      <c r="AA58" s="657"/>
      <c r="AB58" s="657"/>
      <c r="AC58" s="657"/>
      <c r="AD58" s="657"/>
      <c r="AE58" s="657"/>
      <c r="AG58" s="657"/>
      <c r="AH58" s="657"/>
      <c r="AI58" s="657"/>
      <c r="AJ58" s="657"/>
      <c r="AK58" s="657"/>
      <c r="AL58" s="657"/>
    </row>
    <row r="59" spans="2:38" ht="17" thickBot="1" x14ac:dyDescent="0.5">
      <c r="B59" s="749" t="s">
        <v>662</v>
      </c>
      <c r="C59" s="750" t="str">
        <f>RAP!B58</f>
        <v>Acian</v>
      </c>
      <c r="D59" s="241"/>
      <c r="E59" s="241"/>
      <c r="F59" s="276"/>
      <c r="G59" s="240"/>
      <c r="H59" s="241"/>
      <c r="I59" s="241"/>
      <c r="J59" s="604"/>
      <c r="K59" s="603"/>
      <c r="L59" s="604"/>
      <c r="M59" s="604"/>
      <c r="N59" s="604"/>
      <c r="O59" s="604"/>
      <c r="P59" s="604"/>
      <c r="Q59" s="604"/>
      <c r="R59" s="609"/>
      <c r="S59" s="609"/>
      <c r="T59" s="609"/>
      <c r="U59" s="609"/>
      <c r="V59" s="609"/>
      <c r="W59" s="609"/>
      <c r="X59" s="609"/>
      <c r="Y59" s="609"/>
      <c r="Z59" s="609"/>
      <c r="AA59" s="609"/>
      <c r="AB59" s="609"/>
      <c r="AC59" s="609"/>
      <c r="AD59" s="609"/>
      <c r="AE59" s="609"/>
      <c r="AF59" s="609"/>
      <c r="AG59" s="609"/>
      <c r="AH59" s="609"/>
      <c r="AI59" s="609"/>
      <c r="AJ59" s="609"/>
      <c r="AK59" s="609"/>
      <c r="AL59" s="609"/>
    </row>
    <row r="60" spans="2:38" ht="19.5" customHeight="1" x14ac:dyDescent="0.45">
      <c r="B60" s="1168" t="s">
        <v>99</v>
      </c>
      <c r="C60" s="1171" t="s">
        <v>100</v>
      </c>
      <c r="D60" s="1171" t="s">
        <v>89</v>
      </c>
      <c r="E60" s="1171" t="s">
        <v>101</v>
      </c>
      <c r="F60" s="1171" t="s">
        <v>102</v>
      </c>
      <c r="G60" s="1109" t="s">
        <v>103</v>
      </c>
      <c r="H60" s="1110"/>
      <c r="I60" s="1175"/>
      <c r="J60" s="1152" t="s">
        <v>539</v>
      </c>
      <c r="K60" s="1152"/>
      <c r="L60" s="1152"/>
      <c r="M60" s="1152"/>
      <c r="N60" s="1152"/>
      <c r="O60" s="1152"/>
      <c r="P60" s="1152"/>
      <c r="Q60" s="1152"/>
      <c r="R60" s="1152"/>
      <c r="S60" s="1152"/>
      <c r="T60" s="1152"/>
      <c r="U60" s="1152"/>
      <c r="V60" s="1152"/>
      <c r="W60" s="1152"/>
      <c r="X60" s="1152"/>
      <c r="Y60" s="1153" t="s">
        <v>540</v>
      </c>
      <c r="Z60" s="1154"/>
      <c r="AA60" s="1154"/>
      <c r="AB60" s="1154"/>
      <c r="AC60" s="1154"/>
      <c r="AD60" s="1154"/>
      <c r="AE60" s="1155"/>
      <c r="AF60" s="1156" t="s">
        <v>541</v>
      </c>
      <c r="AG60" s="1157"/>
      <c r="AH60" s="1157"/>
      <c r="AI60" s="1157"/>
      <c r="AJ60" s="1157"/>
      <c r="AK60" s="1157"/>
      <c r="AL60" s="1158"/>
    </row>
    <row r="61" spans="2:38" ht="45" x14ac:dyDescent="0.45">
      <c r="B61" s="1169"/>
      <c r="C61" s="1089"/>
      <c r="D61" s="1089"/>
      <c r="E61" s="1089"/>
      <c r="F61" s="1089"/>
      <c r="G61" s="1026"/>
      <c r="H61" s="1027"/>
      <c r="I61" s="1176"/>
      <c r="J61" s="1173" t="s">
        <v>15</v>
      </c>
      <c r="K61" s="673" t="s">
        <v>493</v>
      </c>
      <c r="L61" s="1161" t="s">
        <v>491</v>
      </c>
      <c r="M61" s="1162"/>
      <c r="N61" s="1162"/>
      <c r="O61" s="1162"/>
      <c r="P61" s="1163"/>
      <c r="Q61" s="674" t="s">
        <v>533</v>
      </c>
      <c r="R61" s="1161" t="s">
        <v>501</v>
      </c>
      <c r="S61" s="1162"/>
      <c r="T61" s="1163"/>
      <c r="U61" s="674" t="s">
        <v>530</v>
      </c>
      <c r="V61" s="674" t="s">
        <v>531</v>
      </c>
      <c r="W61" s="674" t="s">
        <v>578</v>
      </c>
      <c r="X61" s="681" t="s">
        <v>579</v>
      </c>
      <c r="Y61" s="1164" t="s">
        <v>534</v>
      </c>
      <c r="Z61" s="1165"/>
      <c r="AA61" s="663" t="s">
        <v>537</v>
      </c>
      <c r="AB61" s="664" t="s">
        <v>538</v>
      </c>
      <c r="AC61" s="665" t="s">
        <v>530</v>
      </c>
      <c r="AD61" s="665" t="s">
        <v>578</v>
      </c>
      <c r="AE61" s="682" t="s">
        <v>579</v>
      </c>
      <c r="AF61" s="1166" t="s">
        <v>542</v>
      </c>
      <c r="AG61" s="1167"/>
      <c r="AH61" s="737" t="s">
        <v>543</v>
      </c>
      <c r="AI61" s="738" t="s">
        <v>544</v>
      </c>
      <c r="AJ61" s="739" t="s">
        <v>530</v>
      </c>
      <c r="AK61" s="739" t="s">
        <v>578</v>
      </c>
      <c r="AL61" s="740" t="s">
        <v>579</v>
      </c>
    </row>
    <row r="62" spans="2:38" ht="30" x14ac:dyDescent="0.45">
      <c r="B62" s="1170"/>
      <c r="C62" s="1090"/>
      <c r="D62" s="1090"/>
      <c r="E62" s="1090"/>
      <c r="F62" s="1090"/>
      <c r="G62" s="1085"/>
      <c r="H62" s="1086"/>
      <c r="I62" s="1177"/>
      <c r="J62" s="1174"/>
      <c r="K62" s="675" t="s">
        <v>495</v>
      </c>
      <c r="L62" s="676" t="s">
        <v>524</v>
      </c>
      <c r="M62" s="676" t="s">
        <v>525</v>
      </c>
      <c r="N62" s="676" t="s">
        <v>526</v>
      </c>
      <c r="O62" s="675" t="s">
        <v>517</v>
      </c>
      <c r="P62" s="675" t="s">
        <v>290</v>
      </c>
      <c r="Q62" s="675" t="s">
        <v>532</v>
      </c>
      <c r="R62" s="676" t="s">
        <v>527</v>
      </c>
      <c r="S62" s="676" t="s">
        <v>528</v>
      </c>
      <c r="T62" s="677" t="s">
        <v>529</v>
      </c>
      <c r="U62" s="675" t="s">
        <v>502</v>
      </c>
      <c r="V62" s="675" t="s">
        <v>502</v>
      </c>
      <c r="W62" s="675" t="s">
        <v>502</v>
      </c>
      <c r="X62" s="678" t="s">
        <v>504</v>
      </c>
      <c r="Y62" s="666" t="s">
        <v>535</v>
      </c>
      <c r="Z62" s="667" t="s">
        <v>536</v>
      </c>
      <c r="AA62" s="668" t="s">
        <v>532</v>
      </c>
      <c r="AB62" s="668" t="s">
        <v>532</v>
      </c>
      <c r="AC62" s="668" t="s">
        <v>532</v>
      </c>
      <c r="AD62" s="668" t="s">
        <v>532</v>
      </c>
      <c r="AE62" s="669" t="s">
        <v>532</v>
      </c>
      <c r="AF62" s="741" t="s">
        <v>535</v>
      </c>
      <c r="AG62" s="742" t="s">
        <v>536</v>
      </c>
      <c r="AH62" s="743" t="s">
        <v>532</v>
      </c>
      <c r="AI62" s="743" t="s">
        <v>532</v>
      </c>
      <c r="AJ62" s="743" t="s">
        <v>532</v>
      </c>
      <c r="AK62" s="743" t="s">
        <v>532</v>
      </c>
      <c r="AL62" s="744" t="s">
        <v>532</v>
      </c>
    </row>
    <row r="63" spans="2:38" ht="30" x14ac:dyDescent="0.45">
      <c r="B63" s="639" t="s">
        <v>4</v>
      </c>
      <c r="C63" s="600" t="s">
        <v>5</v>
      </c>
      <c r="D63" s="570" t="s">
        <v>6</v>
      </c>
      <c r="E63" s="570" t="s">
        <v>112</v>
      </c>
      <c r="F63" s="570" t="s">
        <v>114</v>
      </c>
      <c r="G63" s="1014" t="s">
        <v>115</v>
      </c>
      <c r="H63" s="1014"/>
      <c r="I63" s="1172"/>
      <c r="J63" s="791" t="s">
        <v>21</v>
      </c>
      <c r="K63" s="675" t="s">
        <v>496</v>
      </c>
      <c r="L63" s="675" t="s">
        <v>497</v>
      </c>
      <c r="M63" s="675" t="s">
        <v>498</v>
      </c>
      <c r="N63" s="675" t="s">
        <v>499</v>
      </c>
      <c r="O63" s="676" t="s">
        <v>552</v>
      </c>
      <c r="P63" s="675" t="s">
        <v>512</v>
      </c>
      <c r="Q63" s="675" t="s">
        <v>503</v>
      </c>
      <c r="R63" s="675" t="s">
        <v>553</v>
      </c>
      <c r="S63" s="675" t="s">
        <v>513</v>
      </c>
      <c r="T63" s="675" t="s">
        <v>514</v>
      </c>
      <c r="U63" s="675" t="s">
        <v>554</v>
      </c>
      <c r="V63" s="675" t="s">
        <v>515</v>
      </c>
      <c r="W63" s="675" t="s">
        <v>555</v>
      </c>
      <c r="X63" s="678" t="s">
        <v>516</v>
      </c>
      <c r="Y63" s="670" t="s">
        <v>556</v>
      </c>
      <c r="Z63" s="671" t="s">
        <v>557</v>
      </c>
      <c r="AA63" s="671" t="s">
        <v>558</v>
      </c>
      <c r="AB63" s="671" t="s">
        <v>559</v>
      </c>
      <c r="AC63" s="671" t="s">
        <v>560</v>
      </c>
      <c r="AD63" s="671" t="s">
        <v>561</v>
      </c>
      <c r="AE63" s="672" t="s">
        <v>562</v>
      </c>
      <c r="AF63" s="745" t="s">
        <v>563</v>
      </c>
      <c r="AG63" s="746" t="s">
        <v>564</v>
      </c>
      <c r="AH63" s="746" t="s">
        <v>565</v>
      </c>
      <c r="AI63" s="746" t="s">
        <v>566</v>
      </c>
      <c r="AJ63" s="746" t="s">
        <v>567</v>
      </c>
      <c r="AK63" s="746" t="s">
        <v>568</v>
      </c>
      <c r="AL63" s="747" t="s">
        <v>569</v>
      </c>
    </row>
    <row r="64" spans="2:38" x14ac:dyDescent="0.45">
      <c r="B64" s="764">
        <v>3</v>
      </c>
      <c r="C64" s="520" t="s">
        <v>29</v>
      </c>
      <c r="D64" s="875"/>
      <c r="E64" s="521">
        <v>1</v>
      </c>
      <c r="F64" s="508" t="s">
        <v>30</v>
      </c>
      <c r="G64" s="585" t="s">
        <v>239</v>
      </c>
      <c r="H64" s="562"/>
      <c r="I64" s="975"/>
      <c r="J64" s="789"/>
      <c r="K64" s="789"/>
      <c r="L64" s="789"/>
      <c r="M64" s="789"/>
      <c r="N64" s="789"/>
      <c r="O64" s="789"/>
      <c r="P64" s="789"/>
      <c r="Q64" s="789"/>
      <c r="R64" s="789"/>
      <c r="S64" s="789"/>
      <c r="T64" s="789"/>
      <c r="U64" s="789"/>
      <c r="V64" s="789"/>
      <c r="W64" s="789"/>
      <c r="X64" s="789"/>
      <c r="Y64" s="789"/>
      <c r="Z64" s="789"/>
      <c r="AA64" s="789"/>
      <c r="AB64" s="789"/>
      <c r="AC64" s="789"/>
      <c r="AD64" s="789"/>
      <c r="AE64" s="789"/>
      <c r="AF64" s="789"/>
      <c r="AG64" s="789"/>
      <c r="AH64" s="789"/>
      <c r="AI64" s="789"/>
      <c r="AJ64" s="789"/>
      <c r="AK64" s="789"/>
      <c r="AL64" s="790"/>
    </row>
    <row r="65" spans="2:38" x14ac:dyDescent="0.45">
      <c r="B65" s="886"/>
      <c r="C65" s="305"/>
      <c r="D65" s="244"/>
      <c r="E65" s="284"/>
      <c r="F65" s="207" t="s">
        <v>4</v>
      </c>
      <c r="G65" s="213" t="s">
        <v>120</v>
      </c>
      <c r="H65" s="209"/>
      <c r="I65" s="966"/>
      <c r="J65" s="792">
        <f>RAP!E58</f>
        <v>631.7016000000001</v>
      </c>
      <c r="K65" s="601">
        <v>6</v>
      </c>
      <c r="L65" s="319"/>
      <c r="M65" s="319"/>
      <c r="N65" s="319"/>
      <c r="O65" s="598"/>
      <c r="P65" s="598"/>
      <c r="Q65" s="605"/>
      <c r="R65" s="485"/>
      <c r="S65" s="485"/>
      <c r="T65" s="485"/>
      <c r="U65" s="752">
        <f>SUM(R65:R80)+(SUM(S65:S80)+SUM(T65:T80))</f>
        <v>18450000</v>
      </c>
      <c r="V65" s="754">
        <f>RAP!H58</f>
        <v>21580308.5</v>
      </c>
      <c r="W65" s="752">
        <f>V65-U65</f>
        <v>3130308.5</v>
      </c>
      <c r="X65" s="760">
        <f>W65/V65*100</f>
        <v>14.505392728746209</v>
      </c>
      <c r="Y65" s="755">
        <f>SUM(R65:R80)/J65</f>
        <v>25502.547405293888</v>
      </c>
      <c r="Z65" s="757">
        <v>25000</v>
      </c>
      <c r="AA65" s="758">
        <f>J65*Z65</f>
        <v>15792540.000000002</v>
      </c>
      <c r="AB65" s="758">
        <f>SUM(S65:S80)+SUM(T65:T80)</f>
        <v>2340000</v>
      </c>
      <c r="AC65" s="752">
        <f>AA65+AB65</f>
        <v>18132540</v>
      </c>
      <c r="AD65" s="752">
        <f>V65-AC65</f>
        <v>3447768.5</v>
      </c>
      <c r="AE65" s="760">
        <f>AD65/V65*100</f>
        <v>15.976456036298092</v>
      </c>
      <c r="AF65" s="755">
        <f>(SUM(R65:R80)+SUM(S65:S80))/J65</f>
        <v>29206.828033995793</v>
      </c>
      <c r="AG65" s="757">
        <v>29000</v>
      </c>
      <c r="AH65" s="758">
        <f>AG65*J65</f>
        <v>18319346.400000002</v>
      </c>
      <c r="AI65" s="758">
        <f>SUM(T65:T80)</f>
        <v>0</v>
      </c>
      <c r="AJ65" s="752">
        <f>AH65+AI65</f>
        <v>18319346.400000002</v>
      </c>
      <c r="AK65" s="752">
        <f>V65-AJ65</f>
        <v>3260962.0999999978</v>
      </c>
      <c r="AL65" s="760">
        <f>AK65/V65*100</f>
        <v>15.110822442598529</v>
      </c>
    </row>
    <row r="66" spans="2:38" x14ac:dyDescent="0.45">
      <c r="B66" s="814"/>
      <c r="C66" s="256"/>
      <c r="D66" s="279" t="s">
        <v>107</v>
      </c>
      <c r="E66" s="222">
        <v>0.2</v>
      </c>
      <c r="F66" s="211" t="s">
        <v>108</v>
      </c>
      <c r="G66" s="221" t="s">
        <v>51</v>
      </c>
      <c r="H66" s="209"/>
      <c r="I66" s="966"/>
      <c r="J66" s="475"/>
      <c r="K66" s="602"/>
      <c r="L66" s="433">
        <f>E66*J65/K65</f>
        <v>21.056720000000002</v>
      </c>
      <c r="M66" s="433"/>
      <c r="N66" s="433"/>
      <c r="O66" s="597">
        <v>22</v>
      </c>
      <c r="P66" s="596" t="str">
        <f>F66</f>
        <v>OH</v>
      </c>
      <c r="Q66" s="608">
        <f>'Analisa Upah RAP'!G5</f>
        <v>75000</v>
      </c>
      <c r="R66" s="453">
        <f>O66*Q66*K65</f>
        <v>9900000</v>
      </c>
      <c r="S66" s="453"/>
      <c r="T66" s="453"/>
      <c r="U66" s="753"/>
      <c r="V66" s="753"/>
      <c r="W66" s="753"/>
      <c r="X66" s="761"/>
      <c r="Y66" s="756"/>
      <c r="Z66" s="759"/>
      <c r="AA66" s="759"/>
      <c r="AB66" s="759"/>
      <c r="AC66" s="753"/>
      <c r="AD66" s="753"/>
      <c r="AE66" s="761"/>
      <c r="AF66" s="756"/>
      <c r="AG66" s="759"/>
      <c r="AH66" s="759"/>
      <c r="AI66" s="759"/>
      <c r="AJ66" s="753"/>
      <c r="AK66" s="753"/>
      <c r="AL66" s="761"/>
    </row>
    <row r="67" spans="2:38" x14ac:dyDescent="0.45">
      <c r="B67" s="814"/>
      <c r="C67" s="256"/>
      <c r="D67" s="279" t="s">
        <v>121</v>
      </c>
      <c r="E67" s="222">
        <v>0.1</v>
      </c>
      <c r="F67" s="211" t="s">
        <v>108</v>
      </c>
      <c r="G67" s="221" t="s">
        <v>131</v>
      </c>
      <c r="H67" s="209"/>
      <c r="I67" s="966"/>
      <c r="J67" s="475"/>
      <c r="K67" s="602"/>
      <c r="L67" s="433">
        <f>E67*J65/K65</f>
        <v>10.528360000000001</v>
      </c>
      <c r="M67" s="433"/>
      <c r="N67" s="433"/>
      <c r="O67" s="597">
        <v>11</v>
      </c>
      <c r="P67" s="596" t="str">
        <f>F67</f>
        <v>OH</v>
      </c>
      <c r="Q67" s="608">
        <f>'Analisa Upah RAP'!G7</f>
        <v>85000</v>
      </c>
      <c r="R67" s="453">
        <f>O67*Q67*K65</f>
        <v>5610000</v>
      </c>
      <c r="S67" s="453"/>
      <c r="T67" s="453"/>
      <c r="U67" s="753"/>
      <c r="V67" s="753"/>
      <c r="W67" s="753"/>
      <c r="X67" s="761"/>
      <c r="Y67" s="756"/>
      <c r="Z67" s="759"/>
      <c r="AA67" s="759"/>
      <c r="AB67" s="759"/>
      <c r="AC67" s="753"/>
      <c r="AD67" s="753"/>
      <c r="AE67" s="761"/>
      <c r="AF67" s="756"/>
      <c r="AG67" s="759"/>
      <c r="AH67" s="759"/>
      <c r="AI67" s="759"/>
      <c r="AJ67" s="753"/>
      <c r="AK67" s="753"/>
      <c r="AL67" s="761"/>
    </row>
    <row r="68" spans="2:38" x14ac:dyDescent="0.45">
      <c r="B68" s="814"/>
      <c r="C68" s="256"/>
      <c r="D68" s="279" t="s">
        <v>122</v>
      </c>
      <c r="E68" s="299">
        <v>0.01</v>
      </c>
      <c r="F68" s="211" t="s">
        <v>108</v>
      </c>
      <c r="G68" s="221" t="s">
        <v>123</v>
      </c>
      <c r="H68" s="209"/>
      <c r="I68" s="966"/>
      <c r="J68" s="475"/>
      <c r="K68" s="602"/>
      <c r="L68" s="433">
        <f>E68*J65/K65</f>
        <v>1.0528360000000003</v>
      </c>
      <c r="M68" s="433"/>
      <c r="N68" s="433"/>
      <c r="O68" s="597">
        <v>0</v>
      </c>
      <c r="P68" s="596" t="str">
        <f>F68</f>
        <v>OH</v>
      </c>
      <c r="Q68" s="608">
        <f>'Analisa Upah RAP'!G11</f>
        <v>90000</v>
      </c>
      <c r="R68" s="453">
        <f>O68*Q68*K65</f>
        <v>0</v>
      </c>
      <c r="S68" s="453"/>
      <c r="T68" s="453"/>
      <c r="U68" s="753"/>
      <c r="V68" s="753"/>
      <c r="W68" s="753"/>
      <c r="X68" s="761"/>
      <c r="Y68" s="756"/>
      <c r="Z68" s="759"/>
      <c r="AA68" s="759"/>
      <c r="AB68" s="759"/>
      <c r="AC68" s="753"/>
      <c r="AD68" s="753"/>
      <c r="AE68" s="761"/>
      <c r="AF68" s="756"/>
      <c r="AG68" s="759"/>
      <c r="AH68" s="759"/>
      <c r="AI68" s="759"/>
      <c r="AJ68" s="753"/>
      <c r="AK68" s="753"/>
      <c r="AL68" s="761"/>
    </row>
    <row r="69" spans="2:38" x14ac:dyDescent="0.45">
      <c r="B69" s="814"/>
      <c r="C69" s="256"/>
      <c r="D69" s="275" t="s">
        <v>109</v>
      </c>
      <c r="E69" s="300">
        <v>0.01</v>
      </c>
      <c r="F69" s="253" t="s">
        <v>108</v>
      </c>
      <c r="G69" s="228" t="s">
        <v>52</v>
      </c>
      <c r="H69" s="229"/>
      <c r="I69" s="967"/>
      <c r="J69" s="475"/>
      <c r="K69" s="602"/>
      <c r="L69" s="433">
        <f>E69*J65/K65</f>
        <v>1.0528360000000003</v>
      </c>
      <c r="M69" s="433"/>
      <c r="N69" s="433"/>
      <c r="O69" s="597">
        <v>1</v>
      </c>
      <c r="P69" s="596" t="str">
        <f>F69</f>
        <v>OH</v>
      </c>
      <c r="Q69" s="608">
        <f>'Analisa Upah RAP'!G12</f>
        <v>100000</v>
      </c>
      <c r="R69" s="453">
        <f>O69*Q69*K65</f>
        <v>600000</v>
      </c>
      <c r="S69" s="453"/>
      <c r="T69" s="453"/>
      <c r="U69" s="753"/>
      <c r="V69" s="753"/>
      <c r="W69" s="753"/>
      <c r="X69" s="761"/>
      <c r="Y69" s="756"/>
      <c r="Z69" s="759"/>
      <c r="AA69" s="759"/>
      <c r="AB69" s="759"/>
      <c r="AC69" s="753"/>
      <c r="AD69" s="753"/>
      <c r="AE69" s="761"/>
      <c r="AF69" s="756"/>
      <c r="AG69" s="759"/>
      <c r="AH69" s="759"/>
      <c r="AI69" s="759"/>
      <c r="AJ69" s="753"/>
      <c r="AK69" s="753"/>
      <c r="AL69" s="761"/>
    </row>
    <row r="70" spans="2:38" x14ac:dyDescent="0.45">
      <c r="B70" s="814"/>
      <c r="C70" s="256"/>
      <c r="D70" s="267"/>
      <c r="E70" s="284"/>
      <c r="F70" s="207" t="s">
        <v>5</v>
      </c>
      <c r="G70" s="213" t="s">
        <v>124</v>
      </c>
      <c r="H70" s="209"/>
      <c r="I70" s="966"/>
      <c r="J70" s="475"/>
      <c r="K70" s="602"/>
      <c r="L70" s="433"/>
      <c r="M70" s="433"/>
      <c r="N70" s="433"/>
      <c r="O70" s="597"/>
      <c r="P70" s="596"/>
      <c r="Q70" s="608"/>
      <c r="R70" s="453"/>
      <c r="S70" s="453"/>
      <c r="T70" s="453"/>
      <c r="U70" s="753"/>
      <c r="V70" s="753"/>
      <c r="W70" s="753"/>
      <c r="X70" s="761"/>
      <c r="Y70" s="756"/>
      <c r="Z70" s="759"/>
      <c r="AA70" s="759"/>
      <c r="AB70" s="759"/>
      <c r="AC70" s="753"/>
      <c r="AD70" s="753"/>
      <c r="AE70" s="761"/>
      <c r="AF70" s="756"/>
      <c r="AG70" s="759"/>
      <c r="AH70" s="759"/>
      <c r="AI70" s="759"/>
      <c r="AJ70" s="753"/>
      <c r="AK70" s="753"/>
      <c r="AL70" s="761"/>
    </row>
    <row r="71" spans="2:38" x14ac:dyDescent="0.45">
      <c r="B71" s="814"/>
      <c r="C71" s="256"/>
      <c r="D71" s="887"/>
      <c r="E71" s="894">
        <f>3.25/40</f>
        <v>8.1250000000000003E-2</v>
      </c>
      <c r="F71" s="895" t="s">
        <v>347</v>
      </c>
      <c r="G71" s="896" t="s">
        <v>129</v>
      </c>
      <c r="H71" s="891"/>
      <c r="I71" s="988"/>
      <c r="J71" s="475"/>
      <c r="K71" s="602"/>
      <c r="L71" s="433"/>
      <c r="M71" s="433">
        <f>E71*J65</f>
        <v>51.325755000000008</v>
      </c>
      <c r="N71" s="433"/>
      <c r="O71" s="597">
        <v>52</v>
      </c>
      <c r="P71" s="596" t="str">
        <f>F71</f>
        <v>Zak</v>
      </c>
      <c r="Q71" s="608">
        <f>'Harga Bahan RAP'!G11</f>
        <v>45000</v>
      </c>
      <c r="R71" s="453"/>
      <c r="S71" s="453">
        <f>O71*Q71</f>
        <v>2340000</v>
      </c>
      <c r="T71" s="453"/>
      <c r="U71" s="753"/>
      <c r="V71" s="753"/>
      <c r="W71" s="753"/>
      <c r="X71" s="761"/>
      <c r="Y71" s="756"/>
      <c r="Z71" s="759"/>
      <c r="AA71" s="759"/>
      <c r="AB71" s="759"/>
      <c r="AC71" s="753"/>
      <c r="AD71" s="753"/>
      <c r="AE71" s="761"/>
      <c r="AF71" s="756"/>
      <c r="AG71" s="759"/>
      <c r="AH71" s="759"/>
      <c r="AI71" s="759"/>
      <c r="AJ71" s="753"/>
      <c r="AK71" s="753"/>
      <c r="AL71" s="761"/>
    </row>
    <row r="72" spans="2:38" x14ac:dyDescent="0.45">
      <c r="B72" s="814"/>
      <c r="C72" s="256"/>
      <c r="D72" s="885"/>
      <c r="E72" s="222"/>
      <c r="F72" s="211"/>
      <c r="G72" s="221"/>
      <c r="H72" s="209"/>
      <c r="I72" s="966"/>
      <c r="J72" s="475"/>
      <c r="K72" s="602"/>
      <c r="L72" s="433"/>
      <c r="M72" s="433">
        <f>E72*J65</f>
        <v>0</v>
      </c>
      <c r="N72" s="433"/>
      <c r="O72" s="597">
        <v>0</v>
      </c>
      <c r="P72" s="596">
        <f>F72</f>
        <v>0</v>
      </c>
      <c r="Q72" s="608">
        <v>0</v>
      </c>
      <c r="R72" s="433"/>
      <c r="S72" s="453">
        <f t="shared" ref="S72:S75" si="2">O72*Q72</f>
        <v>0</v>
      </c>
      <c r="T72" s="433"/>
      <c r="U72" s="753"/>
      <c r="V72" s="753"/>
      <c r="W72" s="753"/>
      <c r="X72" s="761"/>
      <c r="Y72" s="756"/>
      <c r="Z72" s="759"/>
      <c r="AA72" s="759"/>
      <c r="AB72" s="759"/>
      <c r="AC72" s="753"/>
      <c r="AD72" s="753"/>
      <c r="AE72" s="761"/>
      <c r="AF72" s="756"/>
      <c r="AG72" s="759"/>
      <c r="AH72" s="759"/>
      <c r="AI72" s="759"/>
      <c r="AJ72" s="753"/>
      <c r="AK72" s="753"/>
      <c r="AL72" s="761"/>
    </row>
    <row r="73" spans="2:38" x14ac:dyDescent="0.45">
      <c r="B73" s="814"/>
      <c r="C73" s="256"/>
      <c r="D73" s="885"/>
      <c r="E73" s="222"/>
      <c r="F73" s="211"/>
      <c r="G73" s="221"/>
      <c r="H73" s="209"/>
      <c r="I73" s="966"/>
      <c r="J73" s="475"/>
      <c r="K73" s="602"/>
      <c r="L73" s="433"/>
      <c r="M73" s="433">
        <f>E73*J65</f>
        <v>0</v>
      </c>
      <c r="N73" s="433"/>
      <c r="O73" s="597">
        <v>0</v>
      </c>
      <c r="P73" s="596">
        <f>F73</f>
        <v>0</v>
      </c>
      <c r="Q73" s="608"/>
      <c r="R73" s="433"/>
      <c r="S73" s="453">
        <f t="shared" si="2"/>
        <v>0</v>
      </c>
      <c r="T73" s="433"/>
      <c r="U73" s="753"/>
      <c r="V73" s="753"/>
      <c r="W73" s="753"/>
      <c r="X73" s="761"/>
      <c r="Y73" s="756"/>
      <c r="Z73" s="759"/>
      <c r="AA73" s="759"/>
      <c r="AB73" s="759"/>
      <c r="AC73" s="753"/>
      <c r="AD73" s="753"/>
      <c r="AE73" s="761"/>
      <c r="AF73" s="756"/>
      <c r="AG73" s="759"/>
      <c r="AH73" s="759"/>
      <c r="AI73" s="759"/>
      <c r="AJ73" s="753"/>
      <c r="AK73" s="753"/>
      <c r="AL73" s="761"/>
    </row>
    <row r="74" spans="2:38" x14ac:dyDescent="0.45">
      <c r="B74" s="814"/>
      <c r="C74" s="256"/>
      <c r="D74" s="885"/>
      <c r="E74" s="222"/>
      <c r="F74" s="211"/>
      <c r="G74" s="221"/>
      <c r="H74" s="209"/>
      <c r="I74" s="966"/>
      <c r="J74" s="475"/>
      <c r="K74" s="602"/>
      <c r="L74" s="433"/>
      <c r="M74" s="433">
        <f>E74*J65</f>
        <v>0</v>
      </c>
      <c r="N74" s="433"/>
      <c r="O74" s="597">
        <v>0</v>
      </c>
      <c r="P74" s="596">
        <f>F74</f>
        <v>0</v>
      </c>
      <c r="Q74" s="608"/>
      <c r="R74" s="433"/>
      <c r="S74" s="453">
        <f t="shared" si="2"/>
        <v>0</v>
      </c>
      <c r="T74" s="433"/>
      <c r="U74" s="753"/>
      <c r="V74" s="753"/>
      <c r="W74" s="753"/>
      <c r="X74" s="761"/>
      <c r="Y74" s="756"/>
      <c r="Z74" s="759"/>
      <c r="AA74" s="759"/>
      <c r="AB74" s="759"/>
      <c r="AC74" s="753"/>
      <c r="AD74" s="753"/>
      <c r="AE74" s="761"/>
      <c r="AF74" s="756"/>
      <c r="AG74" s="759"/>
      <c r="AH74" s="759"/>
      <c r="AI74" s="759"/>
      <c r="AJ74" s="753"/>
      <c r="AK74" s="753"/>
      <c r="AL74" s="761"/>
    </row>
    <row r="75" spans="2:38" x14ac:dyDescent="0.45">
      <c r="B75" s="814"/>
      <c r="C75" s="256"/>
      <c r="D75" s="885"/>
      <c r="E75" s="222"/>
      <c r="F75" s="211"/>
      <c r="G75" s="221"/>
      <c r="H75" s="209"/>
      <c r="I75" s="966"/>
      <c r="J75" s="475"/>
      <c r="K75" s="602"/>
      <c r="L75" s="433"/>
      <c r="M75" s="433">
        <f>E75*J65</f>
        <v>0</v>
      </c>
      <c r="N75" s="433"/>
      <c r="O75" s="597">
        <v>0</v>
      </c>
      <c r="P75" s="596">
        <f>F75</f>
        <v>0</v>
      </c>
      <c r="Q75" s="608"/>
      <c r="R75" s="433"/>
      <c r="S75" s="453">
        <f t="shared" si="2"/>
        <v>0</v>
      </c>
      <c r="T75" s="433"/>
      <c r="U75" s="753"/>
      <c r="V75" s="753"/>
      <c r="W75" s="753"/>
      <c r="X75" s="761"/>
      <c r="Y75" s="756"/>
      <c r="Z75" s="759"/>
      <c r="AA75" s="759"/>
      <c r="AB75" s="759"/>
      <c r="AC75" s="753"/>
      <c r="AD75" s="753"/>
      <c r="AE75" s="761"/>
      <c r="AF75" s="756"/>
      <c r="AG75" s="759"/>
      <c r="AH75" s="759"/>
      <c r="AI75" s="759"/>
      <c r="AJ75" s="753"/>
      <c r="AK75" s="753"/>
      <c r="AL75" s="761"/>
    </row>
    <row r="76" spans="2:38" x14ac:dyDescent="0.45">
      <c r="B76" s="814"/>
      <c r="C76" s="256"/>
      <c r="D76" s="273"/>
      <c r="E76" s="273"/>
      <c r="F76" s="239" t="s">
        <v>6</v>
      </c>
      <c r="G76" s="257" t="s">
        <v>111</v>
      </c>
      <c r="H76" s="241"/>
      <c r="I76" s="986"/>
      <c r="J76" s="475"/>
      <c r="K76" s="602"/>
      <c r="L76" s="433"/>
      <c r="M76" s="433"/>
      <c r="N76" s="433"/>
      <c r="O76" s="597"/>
      <c r="P76" s="596"/>
      <c r="Q76" s="608"/>
      <c r="R76" s="433"/>
      <c r="S76" s="433"/>
      <c r="T76" s="433"/>
      <c r="U76" s="433"/>
      <c r="V76" s="433"/>
      <c r="W76" s="433"/>
      <c r="X76" s="659"/>
      <c r="Y76" s="661"/>
      <c r="Z76" s="433"/>
      <c r="AA76" s="433"/>
      <c r="AB76" s="433"/>
      <c r="AC76" s="433"/>
      <c r="AD76" s="433"/>
      <c r="AE76" s="644"/>
      <c r="AF76" s="661"/>
      <c r="AG76" s="433"/>
      <c r="AH76" s="433"/>
      <c r="AI76" s="433"/>
      <c r="AJ76" s="433"/>
      <c r="AK76" s="433"/>
      <c r="AL76" s="644"/>
    </row>
    <row r="77" spans="2:38" x14ac:dyDescent="0.45">
      <c r="B77" s="814"/>
      <c r="C77" s="256"/>
      <c r="D77" s="272"/>
      <c r="E77" s="272"/>
      <c r="F77" s="207"/>
      <c r="G77" s="208"/>
      <c r="H77" s="244"/>
      <c r="I77" s="969"/>
      <c r="J77" s="475"/>
      <c r="K77" s="602"/>
      <c r="L77" s="433"/>
      <c r="M77" s="433"/>
      <c r="N77" s="433">
        <f>E77*J65</f>
        <v>0</v>
      </c>
      <c r="O77" s="597">
        <v>0</v>
      </c>
      <c r="P77" s="596">
        <v>0</v>
      </c>
      <c r="Q77" s="608"/>
      <c r="R77" s="433"/>
      <c r="S77" s="433"/>
      <c r="T77" s="453">
        <f>O77*Q77</f>
        <v>0</v>
      </c>
      <c r="U77" s="433"/>
      <c r="V77" s="433"/>
      <c r="W77" s="433"/>
      <c r="X77" s="659"/>
      <c r="Y77" s="661"/>
      <c r="Z77" s="433"/>
      <c r="AA77" s="433"/>
      <c r="AB77" s="433"/>
      <c r="AC77" s="433"/>
      <c r="AD77" s="433"/>
      <c r="AE77" s="644"/>
      <c r="AF77" s="661"/>
      <c r="AG77" s="433"/>
      <c r="AH77" s="433"/>
      <c r="AI77" s="433"/>
      <c r="AJ77" s="433"/>
      <c r="AK77" s="433"/>
      <c r="AL77" s="644"/>
    </row>
    <row r="78" spans="2:38" x14ac:dyDescent="0.45">
      <c r="B78" s="814"/>
      <c r="C78" s="256"/>
      <c r="D78" s="272"/>
      <c r="E78" s="272"/>
      <c r="F78" s="207" t="s">
        <v>112</v>
      </c>
      <c r="G78" s="208" t="s">
        <v>113</v>
      </c>
      <c r="H78" s="244"/>
      <c r="I78" s="969"/>
      <c r="J78" s="475"/>
      <c r="K78" s="602"/>
      <c r="L78" s="433"/>
      <c r="M78" s="433"/>
      <c r="N78" s="433"/>
      <c r="O78" s="433"/>
      <c r="P78" s="433"/>
      <c r="Q78" s="595"/>
      <c r="R78" s="433"/>
      <c r="S78" s="433"/>
      <c r="T78" s="433"/>
      <c r="U78" s="433"/>
      <c r="V78" s="433"/>
      <c r="W78" s="433"/>
      <c r="X78" s="659"/>
      <c r="Y78" s="661"/>
      <c r="Z78" s="433"/>
      <c r="AA78" s="433"/>
      <c r="AB78" s="433"/>
      <c r="AC78" s="433"/>
      <c r="AD78" s="433"/>
      <c r="AE78" s="644"/>
      <c r="AF78" s="661"/>
      <c r="AG78" s="433"/>
      <c r="AH78" s="433"/>
      <c r="AI78" s="433"/>
      <c r="AJ78" s="433"/>
      <c r="AK78" s="433"/>
      <c r="AL78" s="644"/>
    </row>
    <row r="79" spans="2:38" x14ac:dyDescent="0.45">
      <c r="B79" s="814"/>
      <c r="C79" s="256"/>
      <c r="D79" s="272"/>
      <c r="E79" s="272"/>
      <c r="F79" s="207" t="s">
        <v>114</v>
      </c>
      <c r="G79" s="257" t="s">
        <v>130</v>
      </c>
      <c r="H79" s="244"/>
      <c r="I79" s="970">
        <v>0.15</v>
      </c>
      <c r="J79" s="475"/>
      <c r="K79" s="602"/>
      <c r="L79" s="433"/>
      <c r="M79" s="433"/>
      <c r="N79" s="433"/>
      <c r="O79" s="433"/>
      <c r="P79" s="433"/>
      <c r="Q79" s="595"/>
      <c r="R79" s="433"/>
      <c r="S79" s="433"/>
      <c r="T79" s="433"/>
      <c r="U79" s="433"/>
      <c r="V79" s="433"/>
      <c r="W79" s="433"/>
      <c r="X79" s="659"/>
      <c r="Y79" s="661"/>
      <c r="Z79" s="433"/>
      <c r="AA79" s="433"/>
      <c r="AB79" s="433"/>
      <c r="AC79" s="433"/>
      <c r="AD79" s="433"/>
      <c r="AE79" s="644"/>
      <c r="AF79" s="661"/>
      <c r="AG79" s="433"/>
      <c r="AH79" s="433"/>
      <c r="AI79" s="433"/>
      <c r="AJ79" s="433"/>
      <c r="AK79" s="433"/>
      <c r="AL79" s="644"/>
    </row>
    <row r="80" spans="2:38" ht="17" thickBot="1" x14ac:dyDescent="0.5">
      <c r="B80" s="815"/>
      <c r="C80" s="652"/>
      <c r="D80" s="796"/>
      <c r="E80" s="796"/>
      <c r="F80" s="649" t="s">
        <v>115</v>
      </c>
      <c r="G80" s="816" t="s">
        <v>127</v>
      </c>
      <c r="H80" s="651"/>
      <c r="I80" s="971"/>
      <c r="J80" s="793"/>
      <c r="K80" s="763"/>
      <c r="L80" s="655"/>
      <c r="M80" s="655"/>
      <c r="N80" s="655"/>
      <c r="O80" s="655"/>
      <c r="P80" s="655"/>
      <c r="Q80" s="654"/>
      <c r="R80" s="655"/>
      <c r="S80" s="655"/>
      <c r="T80" s="655"/>
      <c r="U80" s="655"/>
      <c r="V80" s="655"/>
      <c r="W80" s="655"/>
      <c r="X80" s="660"/>
      <c r="Y80" s="662"/>
      <c r="Z80" s="655"/>
      <c r="AA80" s="655"/>
      <c r="AB80" s="655"/>
      <c r="AC80" s="655"/>
      <c r="AD80" s="655"/>
      <c r="AE80" s="656"/>
      <c r="AF80" s="662"/>
      <c r="AG80" s="655"/>
      <c r="AH80" s="655"/>
      <c r="AI80" s="655"/>
      <c r="AJ80" s="655"/>
      <c r="AK80" s="655"/>
      <c r="AL80" s="656"/>
    </row>
  </sheetData>
  <mergeCells count="49">
    <mergeCell ref="G63:I63"/>
    <mergeCell ref="J13:X13"/>
    <mergeCell ref="Y13:AE13"/>
    <mergeCell ref="B17:B18"/>
    <mergeCell ref="C17:C18"/>
    <mergeCell ref="E17:E18"/>
    <mergeCell ref="F17:F18"/>
    <mergeCell ref="J60:X60"/>
    <mergeCell ref="Y60:AE60"/>
    <mergeCell ref="G13:I15"/>
    <mergeCell ref="G40:I40"/>
    <mergeCell ref="B60:B62"/>
    <mergeCell ref="C60:C62"/>
    <mergeCell ref="D60:D62"/>
    <mergeCell ref="E60:E62"/>
    <mergeCell ref="F60:F62"/>
    <mergeCell ref="AF60:AL60"/>
    <mergeCell ref="J61:J62"/>
    <mergeCell ref="L61:P61"/>
    <mergeCell ref="R61:T61"/>
    <mergeCell ref="Y61:Z61"/>
    <mergeCell ref="AF61:AG61"/>
    <mergeCell ref="G60:I62"/>
    <mergeCell ref="B13:B15"/>
    <mergeCell ref="C13:C15"/>
    <mergeCell ref="D13:D15"/>
    <mergeCell ref="E13:E15"/>
    <mergeCell ref="F13:F15"/>
    <mergeCell ref="G16:I16"/>
    <mergeCell ref="B37:B39"/>
    <mergeCell ref="C37:C39"/>
    <mergeCell ref="D37:D39"/>
    <mergeCell ref="E37:E39"/>
    <mergeCell ref="F37:F39"/>
    <mergeCell ref="G37:I39"/>
    <mergeCell ref="J37:X37"/>
    <mergeCell ref="Y37:AE37"/>
    <mergeCell ref="AF37:AL37"/>
    <mergeCell ref="J38:J39"/>
    <mergeCell ref="L38:P38"/>
    <mergeCell ref="R38:T38"/>
    <mergeCell ref="Y38:Z38"/>
    <mergeCell ref="AF38:AG38"/>
    <mergeCell ref="AF13:AL13"/>
    <mergeCell ref="J14:J15"/>
    <mergeCell ref="L14:P14"/>
    <mergeCell ref="R14:T14"/>
    <mergeCell ref="Y14:Z14"/>
    <mergeCell ref="AF14:AG14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8F05-7ED5-4EB0-9890-17C6FEE938E0}">
  <sheetPr>
    <tabColor rgb="FFFFFF00"/>
  </sheetPr>
  <dimension ref="A1:AL56"/>
  <sheetViews>
    <sheetView view="pageBreakPreview" topLeftCell="A32" zoomScale="72" zoomScaleNormal="100" zoomScaleSheetLayoutView="72" workbookViewId="0">
      <selection activeCell="I18" sqref="I18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RAP!B60</f>
        <v>PEKERJAAN PENUTUP LANTAI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x14ac:dyDescent="0.45">
      <c r="D11" s="112"/>
      <c r="E11" s="195"/>
      <c r="G11" s="111"/>
      <c r="H11" s="111"/>
      <c r="I11" s="111"/>
      <c r="Z11" s="657"/>
      <c r="AA11" s="657"/>
      <c r="AB11" s="657"/>
      <c r="AC11" s="657"/>
      <c r="AD11" s="657"/>
      <c r="AE11" s="657"/>
      <c r="AG11" s="657"/>
      <c r="AH11" s="657"/>
      <c r="AI11" s="657"/>
      <c r="AJ11" s="657"/>
      <c r="AK11" s="657"/>
      <c r="AL11" s="657"/>
    </row>
    <row r="12" spans="2:38" ht="17" thickBot="1" x14ac:dyDescent="0.5">
      <c r="B12" s="749" t="s">
        <v>663</v>
      </c>
      <c r="C12" s="750" t="str">
        <f>RAP!B61</f>
        <v>Pasangan Lantai Granit tile uk. (60 x 60) cm</v>
      </c>
      <c r="D12" s="241"/>
      <c r="E12" s="241"/>
      <c r="F12" s="276"/>
      <c r="G12" s="240"/>
      <c r="H12" s="241"/>
      <c r="I12" s="241"/>
      <c r="J12" s="604"/>
      <c r="K12" s="603"/>
      <c r="L12" s="604"/>
      <c r="M12" s="604"/>
      <c r="N12" s="604"/>
      <c r="O12" s="604"/>
      <c r="P12" s="604"/>
      <c r="Q12" s="604"/>
      <c r="R12" s="609"/>
      <c r="S12" s="609"/>
      <c r="T12" s="609"/>
      <c r="U12" s="609"/>
      <c r="V12" s="609"/>
      <c r="W12" s="609"/>
      <c r="X12" s="609"/>
      <c r="Y12" s="609"/>
      <c r="Z12" s="609"/>
      <c r="AA12" s="609"/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  <c r="AL12" s="609"/>
    </row>
    <row r="13" spans="2:38" ht="19.5" customHeight="1" x14ac:dyDescent="0.45">
      <c r="B13" s="1168" t="s">
        <v>99</v>
      </c>
      <c r="C13" s="1171" t="s">
        <v>100</v>
      </c>
      <c r="D13" s="1171" t="s">
        <v>89</v>
      </c>
      <c r="E13" s="1171" t="s">
        <v>101</v>
      </c>
      <c r="F13" s="1171" t="s">
        <v>102</v>
      </c>
      <c r="G13" s="1109" t="s">
        <v>103</v>
      </c>
      <c r="H13" s="1110"/>
      <c r="I13" s="1175"/>
      <c r="J13" s="1152" t="s">
        <v>539</v>
      </c>
      <c r="K13" s="1152"/>
      <c r="L13" s="1152"/>
      <c r="M13" s="1152"/>
      <c r="N13" s="1152"/>
      <c r="O13" s="1152"/>
      <c r="P13" s="1152"/>
      <c r="Q13" s="1152"/>
      <c r="R13" s="1152"/>
      <c r="S13" s="1152"/>
      <c r="T13" s="1152"/>
      <c r="U13" s="1152"/>
      <c r="V13" s="1152"/>
      <c r="W13" s="1152"/>
      <c r="X13" s="1152"/>
      <c r="Y13" s="1153" t="s">
        <v>540</v>
      </c>
      <c r="Z13" s="1154"/>
      <c r="AA13" s="1154"/>
      <c r="AB13" s="1154"/>
      <c r="AC13" s="1154"/>
      <c r="AD13" s="1154"/>
      <c r="AE13" s="1155"/>
      <c r="AF13" s="1156" t="s">
        <v>541</v>
      </c>
      <c r="AG13" s="1157"/>
      <c r="AH13" s="1157"/>
      <c r="AI13" s="1157"/>
      <c r="AJ13" s="1157"/>
      <c r="AK13" s="1157"/>
      <c r="AL13" s="1158"/>
    </row>
    <row r="14" spans="2:38" ht="45" x14ac:dyDescent="0.45">
      <c r="B14" s="1169"/>
      <c r="C14" s="1089"/>
      <c r="D14" s="1089"/>
      <c r="E14" s="1089"/>
      <c r="F14" s="1089"/>
      <c r="G14" s="1026"/>
      <c r="H14" s="1027"/>
      <c r="I14" s="1176"/>
      <c r="J14" s="1173" t="s">
        <v>15</v>
      </c>
      <c r="K14" s="673" t="s">
        <v>493</v>
      </c>
      <c r="L14" s="1161" t="s">
        <v>491</v>
      </c>
      <c r="M14" s="1162"/>
      <c r="N14" s="1162"/>
      <c r="O14" s="1162"/>
      <c r="P14" s="1163"/>
      <c r="Q14" s="674" t="s">
        <v>533</v>
      </c>
      <c r="R14" s="1161" t="s">
        <v>501</v>
      </c>
      <c r="S14" s="1162"/>
      <c r="T14" s="1163"/>
      <c r="U14" s="674" t="s">
        <v>530</v>
      </c>
      <c r="V14" s="674" t="s">
        <v>531</v>
      </c>
      <c r="W14" s="674" t="s">
        <v>578</v>
      </c>
      <c r="X14" s="681" t="s">
        <v>579</v>
      </c>
      <c r="Y14" s="1164" t="s">
        <v>534</v>
      </c>
      <c r="Z14" s="1165"/>
      <c r="AA14" s="663" t="s">
        <v>537</v>
      </c>
      <c r="AB14" s="664" t="s">
        <v>538</v>
      </c>
      <c r="AC14" s="665" t="s">
        <v>530</v>
      </c>
      <c r="AD14" s="665" t="s">
        <v>578</v>
      </c>
      <c r="AE14" s="682" t="s">
        <v>579</v>
      </c>
      <c r="AF14" s="1166" t="s">
        <v>542</v>
      </c>
      <c r="AG14" s="1167"/>
      <c r="AH14" s="737" t="s">
        <v>543</v>
      </c>
      <c r="AI14" s="738" t="s">
        <v>544</v>
      </c>
      <c r="AJ14" s="739" t="s">
        <v>530</v>
      </c>
      <c r="AK14" s="739" t="s">
        <v>578</v>
      </c>
      <c r="AL14" s="740" t="s">
        <v>579</v>
      </c>
    </row>
    <row r="15" spans="2:38" ht="30" x14ac:dyDescent="0.45">
      <c r="B15" s="1170"/>
      <c r="C15" s="1090"/>
      <c r="D15" s="1090"/>
      <c r="E15" s="1090"/>
      <c r="F15" s="1090"/>
      <c r="G15" s="1085"/>
      <c r="H15" s="1086"/>
      <c r="I15" s="1177"/>
      <c r="J15" s="1174"/>
      <c r="K15" s="675" t="s">
        <v>495</v>
      </c>
      <c r="L15" s="676" t="s">
        <v>524</v>
      </c>
      <c r="M15" s="676" t="s">
        <v>525</v>
      </c>
      <c r="N15" s="676" t="s">
        <v>526</v>
      </c>
      <c r="O15" s="675" t="s">
        <v>517</v>
      </c>
      <c r="P15" s="675" t="s">
        <v>290</v>
      </c>
      <c r="Q15" s="675" t="s">
        <v>532</v>
      </c>
      <c r="R15" s="676" t="s">
        <v>527</v>
      </c>
      <c r="S15" s="676" t="s">
        <v>528</v>
      </c>
      <c r="T15" s="677" t="s">
        <v>529</v>
      </c>
      <c r="U15" s="675" t="s">
        <v>502</v>
      </c>
      <c r="V15" s="675" t="s">
        <v>502</v>
      </c>
      <c r="W15" s="675" t="s">
        <v>502</v>
      </c>
      <c r="X15" s="678" t="s">
        <v>504</v>
      </c>
      <c r="Y15" s="666" t="s">
        <v>535</v>
      </c>
      <c r="Z15" s="667" t="s">
        <v>536</v>
      </c>
      <c r="AA15" s="668" t="s">
        <v>532</v>
      </c>
      <c r="AB15" s="668" t="s">
        <v>532</v>
      </c>
      <c r="AC15" s="668" t="s">
        <v>532</v>
      </c>
      <c r="AD15" s="668" t="s">
        <v>532</v>
      </c>
      <c r="AE15" s="669" t="s">
        <v>532</v>
      </c>
      <c r="AF15" s="741" t="s">
        <v>535</v>
      </c>
      <c r="AG15" s="742" t="s">
        <v>536</v>
      </c>
      <c r="AH15" s="743" t="s">
        <v>532</v>
      </c>
      <c r="AI15" s="743" t="s">
        <v>532</v>
      </c>
      <c r="AJ15" s="743" t="s">
        <v>532</v>
      </c>
      <c r="AK15" s="743" t="s">
        <v>532</v>
      </c>
      <c r="AL15" s="744" t="s">
        <v>532</v>
      </c>
    </row>
    <row r="16" spans="2:38" ht="30" x14ac:dyDescent="0.45">
      <c r="B16" s="639" t="s">
        <v>4</v>
      </c>
      <c r="C16" s="600" t="s">
        <v>5</v>
      </c>
      <c r="D16" s="570" t="s">
        <v>6</v>
      </c>
      <c r="E16" s="570" t="s">
        <v>112</v>
      </c>
      <c r="F16" s="570" t="s">
        <v>114</v>
      </c>
      <c r="G16" s="1014" t="s">
        <v>115</v>
      </c>
      <c r="H16" s="1014"/>
      <c r="I16" s="1172"/>
      <c r="J16" s="791" t="s">
        <v>21</v>
      </c>
      <c r="K16" s="675" t="s">
        <v>496</v>
      </c>
      <c r="L16" s="675" t="s">
        <v>497</v>
      </c>
      <c r="M16" s="675" t="s">
        <v>498</v>
      </c>
      <c r="N16" s="675" t="s">
        <v>499</v>
      </c>
      <c r="O16" s="676" t="s">
        <v>552</v>
      </c>
      <c r="P16" s="675" t="s">
        <v>512</v>
      </c>
      <c r="Q16" s="675" t="s">
        <v>503</v>
      </c>
      <c r="R16" s="675" t="s">
        <v>553</v>
      </c>
      <c r="S16" s="675" t="s">
        <v>513</v>
      </c>
      <c r="T16" s="675" t="s">
        <v>514</v>
      </c>
      <c r="U16" s="675" t="s">
        <v>554</v>
      </c>
      <c r="V16" s="675" t="s">
        <v>515</v>
      </c>
      <c r="W16" s="675" t="s">
        <v>555</v>
      </c>
      <c r="X16" s="678" t="s">
        <v>516</v>
      </c>
      <c r="Y16" s="670" t="s">
        <v>556</v>
      </c>
      <c r="Z16" s="671" t="s">
        <v>557</v>
      </c>
      <c r="AA16" s="671" t="s">
        <v>558</v>
      </c>
      <c r="AB16" s="671" t="s">
        <v>559</v>
      </c>
      <c r="AC16" s="671" t="s">
        <v>560</v>
      </c>
      <c r="AD16" s="671" t="s">
        <v>561</v>
      </c>
      <c r="AE16" s="672" t="s">
        <v>562</v>
      </c>
      <c r="AF16" s="745" t="s">
        <v>563</v>
      </c>
      <c r="AG16" s="746" t="s">
        <v>564</v>
      </c>
      <c r="AH16" s="746" t="s">
        <v>565</v>
      </c>
      <c r="AI16" s="746" t="s">
        <v>566</v>
      </c>
      <c r="AJ16" s="746" t="s">
        <v>567</v>
      </c>
      <c r="AK16" s="746" t="s">
        <v>568</v>
      </c>
      <c r="AL16" s="747" t="s">
        <v>569</v>
      </c>
    </row>
    <row r="17" spans="2:38" ht="15.5" x14ac:dyDescent="0.45">
      <c r="B17" s="640">
        <v>1</v>
      </c>
      <c r="C17" s="448" t="s">
        <v>260</v>
      </c>
      <c r="D17" s="536"/>
      <c r="E17" s="486">
        <v>1</v>
      </c>
      <c r="F17" s="478" t="s">
        <v>30</v>
      </c>
      <c r="G17" s="493" t="s">
        <v>261</v>
      </c>
      <c r="H17" s="458"/>
      <c r="I17" s="972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89"/>
      <c r="AG17" s="789"/>
      <c r="AH17" s="789"/>
      <c r="AI17" s="789"/>
      <c r="AJ17" s="789"/>
      <c r="AK17" s="789"/>
      <c r="AL17" s="790"/>
    </row>
    <row r="18" spans="2:38" x14ac:dyDescent="0.45">
      <c r="B18" s="909"/>
      <c r="C18" s="229"/>
      <c r="D18" s="230"/>
      <c r="E18" s="417"/>
      <c r="F18" s="207" t="s">
        <v>4</v>
      </c>
      <c r="G18" s="231" t="s">
        <v>120</v>
      </c>
      <c r="H18" s="209"/>
      <c r="I18" s="966"/>
      <c r="J18" s="792">
        <f>RAP!E61</f>
        <v>262.22000000000003</v>
      </c>
      <c r="K18" s="601">
        <v>5</v>
      </c>
      <c r="L18" s="319"/>
      <c r="M18" s="319"/>
      <c r="N18" s="319"/>
      <c r="O18" s="598"/>
      <c r="P18" s="598"/>
      <c r="Q18" s="605"/>
      <c r="R18" s="485"/>
      <c r="S18" s="485"/>
      <c r="T18" s="485"/>
      <c r="U18" s="752">
        <f>SUM(R18:R33)+(SUM(S18:S33)+SUM(T18:T33))</f>
        <v>74584000</v>
      </c>
      <c r="V18" s="754">
        <f>RAP!H61</f>
        <v>97014123.400000006</v>
      </c>
      <c r="W18" s="752">
        <f>V18-U18</f>
        <v>22430123.400000006</v>
      </c>
      <c r="X18" s="760">
        <f>W18/V18*100</f>
        <v>23.120472168282259</v>
      </c>
      <c r="Y18" s="755">
        <f>SUM(R18:R33)/J18</f>
        <v>33273.587064297149</v>
      </c>
      <c r="Z18" s="757">
        <v>30000</v>
      </c>
      <c r="AA18" s="758">
        <f>J18*Z18</f>
        <v>7866600.0000000009</v>
      </c>
      <c r="AB18" s="758">
        <f>SUM(S18:S33)+SUM(T18:T33)</f>
        <v>65859000</v>
      </c>
      <c r="AC18" s="752">
        <f>AA18+AB18</f>
        <v>73725600</v>
      </c>
      <c r="AD18" s="752">
        <f>V18-AC18</f>
        <v>23288523.400000006</v>
      </c>
      <c r="AE18" s="760">
        <f>AD18/V18*100</f>
        <v>24.005291790329164</v>
      </c>
      <c r="AF18" s="755">
        <f>(SUM(R18:R33)+SUM(S18:S33))/J18</f>
        <v>284432.91892304167</v>
      </c>
      <c r="AG18" s="757">
        <v>280000</v>
      </c>
      <c r="AH18" s="758">
        <f>AG18*J18</f>
        <v>73421600.000000015</v>
      </c>
      <c r="AI18" s="758">
        <f>SUM(T18:T33)</f>
        <v>0</v>
      </c>
      <c r="AJ18" s="752">
        <f>AH18+AI18</f>
        <v>73421600.000000015</v>
      </c>
      <c r="AK18" s="752">
        <f>V18-AJ18</f>
        <v>23592523.399999991</v>
      </c>
      <c r="AL18" s="760">
        <f>AK18/V18*100</f>
        <v>24.318648226841567</v>
      </c>
    </row>
    <row r="19" spans="2:38" ht="15.5" x14ac:dyDescent="0.45">
      <c r="B19" s="909"/>
      <c r="C19" s="229"/>
      <c r="D19" s="253" t="s">
        <v>107</v>
      </c>
      <c r="E19" s="418">
        <v>0.25</v>
      </c>
      <c r="F19" s="253" t="s">
        <v>108</v>
      </c>
      <c r="G19" s="229" t="s">
        <v>51</v>
      </c>
      <c r="H19" s="229"/>
      <c r="I19" s="967"/>
      <c r="J19" s="475"/>
      <c r="K19" s="602"/>
      <c r="L19" s="433">
        <f>E19*J18/K18</f>
        <v>13.111000000000001</v>
      </c>
      <c r="M19" s="433"/>
      <c r="N19" s="433"/>
      <c r="O19" s="597">
        <v>14</v>
      </c>
      <c r="P19" s="596" t="str">
        <f>F19</f>
        <v>OH</v>
      </c>
      <c r="Q19" s="608">
        <f>'Analisa Upah RAP'!G5</f>
        <v>75000</v>
      </c>
      <c r="R19" s="453">
        <f>O19*Q19*K18</f>
        <v>5250000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ht="15.5" x14ac:dyDescent="0.45">
      <c r="B20" s="909"/>
      <c r="C20" s="229"/>
      <c r="D20" s="377" t="s">
        <v>121</v>
      </c>
      <c r="E20" s="419">
        <v>0.125</v>
      </c>
      <c r="F20" s="377" t="s">
        <v>108</v>
      </c>
      <c r="G20" s="323" t="s">
        <v>57</v>
      </c>
      <c r="H20" s="323"/>
      <c r="I20" s="987"/>
      <c r="J20" s="475"/>
      <c r="K20" s="602"/>
      <c r="L20" s="433">
        <f>E20*J18/K18</f>
        <v>6.5555000000000003</v>
      </c>
      <c r="M20" s="433"/>
      <c r="N20" s="433"/>
      <c r="O20" s="597">
        <v>7</v>
      </c>
      <c r="P20" s="596" t="str">
        <f>F20</f>
        <v>OH</v>
      </c>
      <c r="Q20" s="608">
        <f>'Analisa Upah RAP'!G7</f>
        <v>85000</v>
      </c>
      <c r="R20" s="453">
        <f>O20*Q20*K18</f>
        <v>2975000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ht="15.5" x14ac:dyDescent="0.45">
      <c r="B21" s="877"/>
      <c r="C21" s="229"/>
      <c r="D21" s="377" t="s">
        <v>122</v>
      </c>
      <c r="E21" s="419">
        <v>1.2999999999999999E-2</v>
      </c>
      <c r="F21" s="377" t="s">
        <v>108</v>
      </c>
      <c r="G21" s="323" t="s">
        <v>123</v>
      </c>
      <c r="H21" s="323"/>
      <c r="I21" s="987"/>
      <c r="J21" s="475"/>
      <c r="K21" s="602"/>
      <c r="L21" s="433">
        <f>E21*J18/K18</f>
        <v>0.68177200000000004</v>
      </c>
      <c r="M21" s="433"/>
      <c r="N21" s="433"/>
      <c r="O21" s="597">
        <v>0</v>
      </c>
      <c r="P21" s="596" t="str">
        <f>F21</f>
        <v>OH</v>
      </c>
      <c r="Q21" s="608">
        <f>'Analisa Upah RAP'!G11</f>
        <v>90000</v>
      </c>
      <c r="R21" s="453">
        <f>O21*Q21*K18</f>
        <v>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ht="15.5" x14ac:dyDescent="0.45">
      <c r="B22" s="877"/>
      <c r="C22" s="229"/>
      <c r="D22" s="253" t="s">
        <v>109</v>
      </c>
      <c r="E22" s="418">
        <v>1.2999999999999999E-2</v>
      </c>
      <c r="F22" s="253" t="s">
        <v>108</v>
      </c>
      <c r="G22" s="229" t="s">
        <v>52</v>
      </c>
      <c r="H22" s="229"/>
      <c r="I22" s="967"/>
      <c r="J22" s="475"/>
      <c r="K22" s="602"/>
      <c r="L22" s="433">
        <f>E22*J18/K18</f>
        <v>0.68177200000000004</v>
      </c>
      <c r="M22" s="433"/>
      <c r="N22" s="433"/>
      <c r="O22" s="597">
        <v>1</v>
      </c>
      <c r="P22" s="596" t="str">
        <f>F22</f>
        <v>OH</v>
      </c>
      <c r="Q22" s="608">
        <f>'Analisa Upah RAP'!G12</f>
        <v>100000</v>
      </c>
      <c r="R22" s="453">
        <f>O22*Q22*K18</f>
        <v>500000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877"/>
      <c r="C23" s="229"/>
      <c r="D23" s="230"/>
      <c r="E23" s="421"/>
      <c r="F23" s="207" t="s">
        <v>5</v>
      </c>
      <c r="G23" s="231" t="s">
        <v>124</v>
      </c>
      <c r="H23" s="209"/>
      <c r="I23" s="966"/>
      <c r="J23" s="475"/>
      <c r="K23" s="602"/>
      <c r="L23" s="433"/>
      <c r="M23" s="433"/>
      <c r="N23" s="433"/>
      <c r="O23" s="597"/>
      <c r="P23" s="596"/>
      <c r="Q23" s="608"/>
      <c r="R23" s="453"/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877"/>
      <c r="C24" s="229"/>
      <c r="D24" s="916"/>
      <c r="E24" s="917">
        <v>0.92</v>
      </c>
      <c r="F24" s="895" t="s">
        <v>451</v>
      </c>
      <c r="G24" s="891" t="s">
        <v>262</v>
      </c>
      <c r="H24" s="891"/>
      <c r="I24" s="988"/>
      <c r="J24" s="475"/>
      <c r="K24" s="602"/>
      <c r="L24" s="433"/>
      <c r="M24" s="433">
        <f>E24*J18</f>
        <v>241.24240000000003</v>
      </c>
      <c r="N24" s="433"/>
      <c r="O24" s="597">
        <v>242</v>
      </c>
      <c r="P24" s="596" t="str">
        <f>F24</f>
        <v>Dus</v>
      </c>
      <c r="Q24" s="608">
        <f>'Harga Bahan RAP'!G45</f>
        <v>240000</v>
      </c>
      <c r="R24" s="453"/>
      <c r="S24" s="453">
        <f>O24*Q24</f>
        <v>58080000</v>
      </c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877"/>
      <c r="C25" s="229"/>
      <c r="D25" s="912"/>
      <c r="E25" s="915">
        <f>9.8/40</f>
        <v>0.24500000000000002</v>
      </c>
      <c r="F25" s="913" t="s">
        <v>347</v>
      </c>
      <c r="G25" s="914" t="s">
        <v>129</v>
      </c>
      <c r="H25" s="914"/>
      <c r="I25" s="990"/>
      <c r="J25" s="475"/>
      <c r="K25" s="602"/>
      <c r="L25" s="433"/>
      <c r="M25" s="433">
        <f>E25*J18</f>
        <v>64.243900000000011</v>
      </c>
      <c r="N25" s="433"/>
      <c r="O25" s="597">
        <v>65</v>
      </c>
      <c r="P25" s="596" t="str">
        <f>F25</f>
        <v>Zak</v>
      </c>
      <c r="Q25" s="608">
        <f>'Harga Bahan RAP'!G11</f>
        <v>45000</v>
      </c>
      <c r="R25" s="433"/>
      <c r="S25" s="453">
        <f t="shared" ref="S25:S28" si="0">O25*Q25</f>
        <v>2925000</v>
      </c>
      <c r="T25" s="43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x14ac:dyDescent="0.45">
      <c r="B26" s="877"/>
      <c r="C26" s="229"/>
      <c r="D26" s="422"/>
      <c r="E26" s="419">
        <v>4.4999999999999998E-2</v>
      </c>
      <c r="F26" s="377" t="s">
        <v>65</v>
      </c>
      <c r="G26" s="323" t="s">
        <v>126</v>
      </c>
      <c r="H26" s="323"/>
      <c r="I26" s="987"/>
      <c r="J26" s="475"/>
      <c r="K26" s="602"/>
      <c r="L26" s="433"/>
      <c r="M26" s="433">
        <f>E26*J18</f>
        <v>11.799900000000001</v>
      </c>
      <c r="N26" s="433"/>
      <c r="O26" s="597">
        <v>12</v>
      </c>
      <c r="P26" s="596" t="str">
        <f>F26</f>
        <v>m3</v>
      </c>
      <c r="Q26" s="608">
        <f>'Harga Bahan RAP'!G9</f>
        <v>325000</v>
      </c>
      <c r="R26" s="433"/>
      <c r="S26" s="453">
        <f t="shared" si="0"/>
        <v>3900000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x14ac:dyDescent="0.45">
      <c r="B27" s="877"/>
      <c r="C27" s="229"/>
      <c r="D27" s="916"/>
      <c r="E27" s="918">
        <v>0.2</v>
      </c>
      <c r="F27" s="895" t="s">
        <v>664</v>
      </c>
      <c r="G27" s="891" t="s">
        <v>64</v>
      </c>
      <c r="H27" s="891"/>
      <c r="I27" s="988"/>
      <c r="J27" s="475"/>
      <c r="K27" s="602"/>
      <c r="L27" s="433"/>
      <c r="M27" s="433">
        <f>E27*J18</f>
        <v>52.44400000000001</v>
      </c>
      <c r="N27" s="433"/>
      <c r="O27" s="597">
        <v>53</v>
      </c>
      <c r="P27" s="596" t="str">
        <f>F27</f>
        <v>Bungkus</v>
      </c>
      <c r="Q27" s="608">
        <f>'Harga Bahan RAP'!G46</f>
        <v>18000</v>
      </c>
      <c r="R27" s="433"/>
      <c r="S27" s="453">
        <f t="shared" si="0"/>
        <v>954000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x14ac:dyDescent="0.45">
      <c r="B28" s="877"/>
      <c r="C28" s="229"/>
      <c r="D28" s="907"/>
      <c r="E28" s="908"/>
      <c r="F28" s="378"/>
      <c r="G28" s="884"/>
      <c r="H28" s="884"/>
      <c r="I28" s="989"/>
      <c r="J28" s="475"/>
      <c r="K28" s="602"/>
      <c r="L28" s="433"/>
      <c r="M28" s="433">
        <f>E28*J18</f>
        <v>0</v>
      </c>
      <c r="N28" s="433"/>
      <c r="O28" s="597">
        <v>0</v>
      </c>
      <c r="P28" s="596">
        <f>F28</f>
        <v>0</v>
      </c>
      <c r="Q28" s="608"/>
      <c r="R28" s="433"/>
      <c r="S28" s="453">
        <f t="shared" si="0"/>
        <v>0</v>
      </c>
      <c r="T28" s="433"/>
      <c r="U28" s="753"/>
      <c r="V28" s="753"/>
      <c r="W28" s="753"/>
      <c r="X28" s="761"/>
      <c r="Y28" s="756"/>
      <c r="Z28" s="759"/>
      <c r="AA28" s="759"/>
      <c r="AB28" s="759"/>
      <c r="AC28" s="753"/>
      <c r="AD28" s="753"/>
      <c r="AE28" s="761"/>
      <c r="AF28" s="756"/>
      <c r="AG28" s="759"/>
      <c r="AH28" s="759"/>
      <c r="AI28" s="759"/>
      <c r="AJ28" s="753"/>
      <c r="AK28" s="753"/>
      <c r="AL28" s="761"/>
    </row>
    <row r="29" spans="2:38" ht="15.5" x14ac:dyDescent="0.45">
      <c r="B29" s="909"/>
      <c r="C29" s="229"/>
      <c r="D29" s="211"/>
      <c r="E29" s="267"/>
      <c r="F29" s="207" t="s">
        <v>6</v>
      </c>
      <c r="G29" s="208" t="s">
        <v>111</v>
      </c>
      <c r="H29" s="209"/>
      <c r="I29" s="966"/>
      <c r="J29" s="475"/>
      <c r="K29" s="602"/>
      <c r="L29" s="433"/>
      <c r="M29" s="433"/>
      <c r="N29" s="433"/>
      <c r="O29" s="597"/>
      <c r="P29" s="596"/>
      <c r="Q29" s="608"/>
      <c r="R29" s="433"/>
      <c r="S29" s="433"/>
      <c r="T29" s="433"/>
      <c r="U29" s="433"/>
      <c r="V29" s="433"/>
      <c r="W29" s="433"/>
      <c r="X29" s="659"/>
      <c r="Y29" s="661"/>
      <c r="Z29" s="433"/>
      <c r="AA29" s="433"/>
      <c r="AB29" s="433"/>
      <c r="AC29" s="433"/>
      <c r="AD29" s="433"/>
      <c r="AE29" s="644"/>
      <c r="AF29" s="661"/>
      <c r="AG29" s="433"/>
      <c r="AH29" s="433"/>
      <c r="AI29" s="433"/>
      <c r="AJ29" s="433"/>
      <c r="AK29" s="433"/>
      <c r="AL29" s="644"/>
    </row>
    <row r="30" spans="2:38" ht="15.5" x14ac:dyDescent="0.45">
      <c r="B30" s="909"/>
      <c r="C30" s="229"/>
      <c r="D30" s="211"/>
      <c r="E30" s="267"/>
      <c r="F30" s="207"/>
      <c r="G30" s="208"/>
      <c r="H30" s="209"/>
      <c r="I30" s="966"/>
      <c r="J30" s="475"/>
      <c r="K30" s="602"/>
      <c r="L30" s="433"/>
      <c r="M30" s="433"/>
      <c r="N30" s="433">
        <f>E30*J18</f>
        <v>0</v>
      </c>
      <c r="O30" s="597">
        <v>0</v>
      </c>
      <c r="P30" s="596">
        <v>0</v>
      </c>
      <c r="Q30" s="608"/>
      <c r="R30" s="433"/>
      <c r="S30" s="433"/>
      <c r="T30" s="453">
        <f>O30*Q30</f>
        <v>0</v>
      </c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ht="15.5" x14ac:dyDescent="0.45">
      <c r="B31" s="909"/>
      <c r="C31" s="229"/>
      <c r="D31" s="211"/>
      <c r="E31" s="267"/>
      <c r="F31" s="207" t="s">
        <v>112</v>
      </c>
      <c r="G31" s="208" t="s">
        <v>113</v>
      </c>
      <c r="H31" s="209"/>
      <c r="I31" s="966"/>
      <c r="J31" s="475"/>
      <c r="K31" s="602"/>
      <c r="L31" s="433"/>
      <c r="M31" s="433"/>
      <c r="N31" s="433"/>
      <c r="O31" s="433"/>
      <c r="P31" s="433"/>
      <c r="Q31" s="595"/>
      <c r="R31" s="433"/>
      <c r="S31" s="433"/>
      <c r="T31" s="433"/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ht="15.5" x14ac:dyDescent="0.45">
      <c r="B32" s="909"/>
      <c r="C32" s="229"/>
      <c r="D32" s="253"/>
      <c r="E32" s="275"/>
      <c r="F32" s="239" t="s">
        <v>114</v>
      </c>
      <c r="G32" s="257" t="s">
        <v>166</v>
      </c>
      <c r="H32" s="229"/>
      <c r="I32" s="980">
        <v>0.15</v>
      </c>
      <c r="J32" s="475"/>
      <c r="K32" s="602"/>
      <c r="L32" s="433"/>
      <c r="M32" s="433"/>
      <c r="N32" s="433"/>
      <c r="O32" s="433"/>
      <c r="P32" s="433"/>
      <c r="Q32" s="595"/>
      <c r="R32" s="433"/>
      <c r="S32" s="433"/>
      <c r="T32" s="433"/>
      <c r="U32" s="433"/>
      <c r="V32" s="433"/>
      <c r="W32" s="433"/>
      <c r="X32" s="659"/>
      <c r="Y32" s="661"/>
      <c r="Z32" s="433"/>
      <c r="AA32" s="433"/>
      <c r="AB32" s="433"/>
      <c r="AC32" s="433"/>
      <c r="AD32" s="433"/>
      <c r="AE32" s="644"/>
      <c r="AF32" s="661"/>
      <c r="AG32" s="433"/>
      <c r="AH32" s="433"/>
      <c r="AI32" s="433"/>
      <c r="AJ32" s="433"/>
      <c r="AK32" s="433"/>
      <c r="AL32" s="644"/>
    </row>
    <row r="33" spans="2:38" ht="16" thickBot="1" x14ac:dyDescent="0.5">
      <c r="B33" s="910"/>
      <c r="C33" s="831"/>
      <c r="D33" s="852"/>
      <c r="E33" s="911"/>
      <c r="F33" s="834" t="s">
        <v>115</v>
      </c>
      <c r="G33" s="816" t="s">
        <v>127</v>
      </c>
      <c r="H33" s="835"/>
      <c r="I33" s="981"/>
      <c r="J33" s="793"/>
      <c r="K33" s="763"/>
      <c r="L33" s="655"/>
      <c r="M33" s="655"/>
      <c r="N33" s="655"/>
      <c r="O33" s="655"/>
      <c r="P33" s="655"/>
      <c r="Q33" s="654"/>
      <c r="R33" s="655"/>
      <c r="S33" s="655"/>
      <c r="T33" s="655"/>
      <c r="U33" s="655"/>
      <c r="V33" s="655"/>
      <c r="W33" s="655"/>
      <c r="X33" s="660"/>
      <c r="Y33" s="662"/>
      <c r="Z33" s="655"/>
      <c r="AA33" s="655"/>
      <c r="AB33" s="655"/>
      <c r="AC33" s="655"/>
      <c r="AD33" s="655"/>
      <c r="AE33" s="656"/>
      <c r="AF33" s="662"/>
      <c r="AG33" s="655"/>
      <c r="AH33" s="655"/>
      <c r="AI33" s="655"/>
      <c r="AJ33" s="655"/>
      <c r="AK33" s="655"/>
      <c r="AL33" s="656"/>
    </row>
    <row r="34" spans="2:38" x14ac:dyDescent="0.45">
      <c r="D34" s="112"/>
      <c r="E34" s="195"/>
      <c r="G34" s="111"/>
      <c r="H34" s="111"/>
      <c r="I34" s="111"/>
      <c r="Z34" s="657"/>
      <c r="AA34" s="657"/>
      <c r="AB34" s="657"/>
      <c r="AC34" s="657"/>
      <c r="AD34" s="657"/>
      <c r="AE34" s="657"/>
      <c r="AG34" s="657"/>
      <c r="AH34" s="657"/>
      <c r="AI34" s="657"/>
      <c r="AJ34" s="657"/>
      <c r="AK34" s="657"/>
      <c r="AL34" s="657"/>
    </row>
    <row r="35" spans="2:38" ht="17" thickBot="1" x14ac:dyDescent="0.5">
      <c r="B35" s="749" t="s">
        <v>669</v>
      </c>
      <c r="C35" s="750" t="str">
        <f>RAP!B62</f>
        <v xml:space="preserve">Pasangan Keramik Lantai KM / WC 20x20  </v>
      </c>
      <c r="D35" s="241"/>
      <c r="E35" s="241"/>
      <c r="F35" s="276"/>
      <c r="G35" s="240"/>
      <c r="H35" s="241"/>
      <c r="I35" s="241"/>
      <c r="J35" s="604"/>
      <c r="K35" s="603"/>
      <c r="L35" s="604"/>
      <c r="M35" s="604"/>
      <c r="N35" s="604"/>
      <c r="O35" s="604"/>
      <c r="P35" s="604"/>
      <c r="Q35" s="604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</row>
    <row r="36" spans="2:38" ht="19.5" customHeight="1" x14ac:dyDescent="0.45">
      <c r="B36" s="1168" t="s">
        <v>99</v>
      </c>
      <c r="C36" s="1171" t="s">
        <v>100</v>
      </c>
      <c r="D36" s="1171" t="s">
        <v>89</v>
      </c>
      <c r="E36" s="1171" t="s">
        <v>101</v>
      </c>
      <c r="F36" s="1171" t="s">
        <v>102</v>
      </c>
      <c r="G36" s="1109" t="s">
        <v>103</v>
      </c>
      <c r="H36" s="1110"/>
      <c r="I36" s="1175"/>
      <c r="J36" s="1152" t="s">
        <v>539</v>
      </c>
      <c r="K36" s="1152"/>
      <c r="L36" s="1152"/>
      <c r="M36" s="1152"/>
      <c r="N36" s="1152"/>
      <c r="O36" s="1152"/>
      <c r="P36" s="1152"/>
      <c r="Q36" s="1152"/>
      <c r="R36" s="1152"/>
      <c r="S36" s="1152"/>
      <c r="T36" s="1152"/>
      <c r="U36" s="1152"/>
      <c r="V36" s="1152"/>
      <c r="W36" s="1152"/>
      <c r="X36" s="1152"/>
      <c r="Y36" s="1153" t="s">
        <v>540</v>
      </c>
      <c r="Z36" s="1154"/>
      <c r="AA36" s="1154"/>
      <c r="AB36" s="1154"/>
      <c r="AC36" s="1154"/>
      <c r="AD36" s="1154"/>
      <c r="AE36" s="1155"/>
      <c r="AF36" s="1156" t="s">
        <v>541</v>
      </c>
      <c r="AG36" s="1157"/>
      <c r="AH36" s="1157"/>
      <c r="AI36" s="1157"/>
      <c r="AJ36" s="1157"/>
      <c r="AK36" s="1157"/>
      <c r="AL36" s="1158"/>
    </row>
    <row r="37" spans="2:38" ht="45" x14ac:dyDescent="0.45">
      <c r="B37" s="1169"/>
      <c r="C37" s="1089"/>
      <c r="D37" s="1089"/>
      <c r="E37" s="1089"/>
      <c r="F37" s="1089"/>
      <c r="G37" s="1026"/>
      <c r="H37" s="1027"/>
      <c r="I37" s="1176"/>
      <c r="J37" s="1173" t="s">
        <v>15</v>
      </c>
      <c r="K37" s="673" t="s">
        <v>493</v>
      </c>
      <c r="L37" s="1161" t="s">
        <v>491</v>
      </c>
      <c r="M37" s="1162"/>
      <c r="N37" s="1162"/>
      <c r="O37" s="1162"/>
      <c r="P37" s="1163"/>
      <c r="Q37" s="674" t="s">
        <v>533</v>
      </c>
      <c r="R37" s="1161" t="s">
        <v>501</v>
      </c>
      <c r="S37" s="1162"/>
      <c r="T37" s="1163"/>
      <c r="U37" s="674" t="s">
        <v>530</v>
      </c>
      <c r="V37" s="674" t="s">
        <v>531</v>
      </c>
      <c r="W37" s="674" t="s">
        <v>578</v>
      </c>
      <c r="X37" s="681" t="s">
        <v>579</v>
      </c>
      <c r="Y37" s="1164" t="s">
        <v>534</v>
      </c>
      <c r="Z37" s="1165"/>
      <c r="AA37" s="663" t="s">
        <v>537</v>
      </c>
      <c r="AB37" s="664" t="s">
        <v>538</v>
      </c>
      <c r="AC37" s="665" t="s">
        <v>530</v>
      </c>
      <c r="AD37" s="665" t="s">
        <v>578</v>
      </c>
      <c r="AE37" s="682" t="s">
        <v>579</v>
      </c>
      <c r="AF37" s="1166" t="s">
        <v>542</v>
      </c>
      <c r="AG37" s="1167"/>
      <c r="AH37" s="737" t="s">
        <v>543</v>
      </c>
      <c r="AI37" s="738" t="s">
        <v>544</v>
      </c>
      <c r="AJ37" s="739" t="s">
        <v>530</v>
      </c>
      <c r="AK37" s="739" t="s">
        <v>578</v>
      </c>
      <c r="AL37" s="740" t="s">
        <v>579</v>
      </c>
    </row>
    <row r="38" spans="2:38" ht="30" x14ac:dyDescent="0.45">
      <c r="B38" s="1170"/>
      <c r="C38" s="1090"/>
      <c r="D38" s="1090"/>
      <c r="E38" s="1090"/>
      <c r="F38" s="1090"/>
      <c r="G38" s="1085"/>
      <c r="H38" s="1086"/>
      <c r="I38" s="1177"/>
      <c r="J38" s="1174"/>
      <c r="K38" s="675" t="s">
        <v>495</v>
      </c>
      <c r="L38" s="676" t="s">
        <v>524</v>
      </c>
      <c r="M38" s="676" t="s">
        <v>525</v>
      </c>
      <c r="N38" s="676" t="s">
        <v>526</v>
      </c>
      <c r="O38" s="675" t="s">
        <v>517</v>
      </c>
      <c r="P38" s="675" t="s">
        <v>290</v>
      </c>
      <c r="Q38" s="675" t="s">
        <v>532</v>
      </c>
      <c r="R38" s="676" t="s">
        <v>527</v>
      </c>
      <c r="S38" s="676" t="s">
        <v>528</v>
      </c>
      <c r="T38" s="677" t="s">
        <v>529</v>
      </c>
      <c r="U38" s="675" t="s">
        <v>502</v>
      </c>
      <c r="V38" s="675" t="s">
        <v>502</v>
      </c>
      <c r="W38" s="675" t="s">
        <v>502</v>
      </c>
      <c r="X38" s="678" t="s">
        <v>504</v>
      </c>
      <c r="Y38" s="666" t="s">
        <v>535</v>
      </c>
      <c r="Z38" s="667" t="s">
        <v>536</v>
      </c>
      <c r="AA38" s="668" t="s">
        <v>532</v>
      </c>
      <c r="AB38" s="668" t="s">
        <v>532</v>
      </c>
      <c r="AC38" s="668" t="s">
        <v>532</v>
      </c>
      <c r="AD38" s="668" t="s">
        <v>532</v>
      </c>
      <c r="AE38" s="669" t="s">
        <v>532</v>
      </c>
      <c r="AF38" s="741" t="s">
        <v>535</v>
      </c>
      <c r="AG38" s="742" t="s">
        <v>536</v>
      </c>
      <c r="AH38" s="743" t="s">
        <v>532</v>
      </c>
      <c r="AI38" s="743" t="s">
        <v>532</v>
      </c>
      <c r="AJ38" s="743" t="s">
        <v>532</v>
      </c>
      <c r="AK38" s="743" t="s">
        <v>532</v>
      </c>
      <c r="AL38" s="744" t="s">
        <v>532</v>
      </c>
    </row>
    <row r="39" spans="2:38" ht="30" x14ac:dyDescent="0.45">
      <c r="B39" s="639" t="s">
        <v>4</v>
      </c>
      <c r="C39" s="600" t="s">
        <v>5</v>
      </c>
      <c r="D39" s="570" t="s">
        <v>6</v>
      </c>
      <c r="E39" s="570" t="s">
        <v>112</v>
      </c>
      <c r="F39" s="570" t="s">
        <v>114</v>
      </c>
      <c r="G39" s="1014" t="s">
        <v>115</v>
      </c>
      <c r="H39" s="1014"/>
      <c r="I39" s="1172"/>
      <c r="J39" s="791" t="s">
        <v>21</v>
      </c>
      <c r="K39" s="675" t="s">
        <v>496</v>
      </c>
      <c r="L39" s="675" t="s">
        <v>497</v>
      </c>
      <c r="M39" s="675" t="s">
        <v>498</v>
      </c>
      <c r="N39" s="675" t="s">
        <v>499</v>
      </c>
      <c r="O39" s="676" t="s">
        <v>552</v>
      </c>
      <c r="P39" s="675" t="s">
        <v>512</v>
      </c>
      <c r="Q39" s="675" t="s">
        <v>503</v>
      </c>
      <c r="R39" s="675" t="s">
        <v>553</v>
      </c>
      <c r="S39" s="675" t="s">
        <v>513</v>
      </c>
      <c r="T39" s="675" t="s">
        <v>514</v>
      </c>
      <c r="U39" s="675" t="s">
        <v>554</v>
      </c>
      <c r="V39" s="675" t="s">
        <v>515</v>
      </c>
      <c r="W39" s="675" t="s">
        <v>555</v>
      </c>
      <c r="X39" s="678" t="s">
        <v>516</v>
      </c>
      <c r="Y39" s="670" t="s">
        <v>556</v>
      </c>
      <c r="Z39" s="671" t="s">
        <v>557</v>
      </c>
      <c r="AA39" s="671" t="s">
        <v>558</v>
      </c>
      <c r="AB39" s="671" t="s">
        <v>559</v>
      </c>
      <c r="AC39" s="671" t="s">
        <v>560</v>
      </c>
      <c r="AD39" s="671" t="s">
        <v>561</v>
      </c>
      <c r="AE39" s="672" t="s">
        <v>562</v>
      </c>
      <c r="AF39" s="745" t="s">
        <v>563</v>
      </c>
      <c r="AG39" s="746" t="s">
        <v>564</v>
      </c>
      <c r="AH39" s="746" t="s">
        <v>565</v>
      </c>
      <c r="AI39" s="746" t="s">
        <v>566</v>
      </c>
      <c r="AJ39" s="746" t="s">
        <v>567</v>
      </c>
      <c r="AK39" s="746" t="s">
        <v>568</v>
      </c>
      <c r="AL39" s="747" t="s">
        <v>569</v>
      </c>
    </row>
    <row r="40" spans="2:38" ht="15.5" x14ac:dyDescent="0.45">
      <c r="B40" s="764">
        <v>2</v>
      </c>
      <c r="C40" s="440" t="s">
        <v>27</v>
      </c>
      <c r="D40" s="892"/>
      <c r="E40" s="584">
        <v>1</v>
      </c>
      <c r="F40" s="583" t="s">
        <v>30</v>
      </c>
      <c r="G40" s="585" t="s">
        <v>97</v>
      </c>
      <c r="H40" s="562"/>
      <c r="I40" s="975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90"/>
    </row>
    <row r="41" spans="2:38" x14ac:dyDescent="0.45">
      <c r="B41" s="991"/>
      <c r="C41" s="229"/>
      <c r="D41" s="230"/>
      <c r="E41" s="308"/>
      <c r="F41" s="207" t="s">
        <v>4</v>
      </c>
      <c r="G41" s="231" t="s">
        <v>120</v>
      </c>
      <c r="H41" s="209"/>
      <c r="I41" s="966"/>
      <c r="J41" s="792">
        <f>RAP!E62</f>
        <v>8.48</v>
      </c>
      <c r="K41" s="601">
        <v>1</v>
      </c>
      <c r="L41" s="319"/>
      <c r="M41" s="319"/>
      <c r="N41" s="319"/>
      <c r="O41" s="598"/>
      <c r="P41" s="598"/>
      <c r="Q41" s="605"/>
      <c r="R41" s="485"/>
      <c r="S41" s="485"/>
      <c r="T41" s="485"/>
      <c r="U41" s="752">
        <f>SUM(R41:R56)+(SUM(S41:S56)+SUM(T41:T56))</f>
        <v>1203500</v>
      </c>
      <c r="V41" s="754">
        <f>RAP!H62</f>
        <v>1796806</v>
      </c>
      <c r="W41" s="752">
        <f>V41-U41</f>
        <v>593306</v>
      </c>
      <c r="X41" s="760">
        <f>W41/V41*100</f>
        <v>33.020036665060111</v>
      </c>
      <c r="Y41" s="755">
        <f>SUM(R41:R56)/J41</f>
        <v>49528.301886792447</v>
      </c>
      <c r="Z41" s="757">
        <v>30000</v>
      </c>
      <c r="AA41" s="758">
        <f>J41*Z41</f>
        <v>254400</v>
      </c>
      <c r="AB41" s="758">
        <f>SUM(S41:S56)+SUM(T41:T56)</f>
        <v>783500</v>
      </c>
      <c r="AC41" s="752">
        <f>AA41+AB41</f>
        <v>1037900</v>
      </c>
      <c r="AD41" s="752">
        <f>V41-AC41</f>
        <v>758906</v>
      </c>
      <c r="AE41" s="760">
        <f>AD41/V41*100</f>
        <v>42.23639057305018</v>
      </c>
      <c r="AF41" s="755">
        <f>(SUM(R41:R56)+SUM(S41:S56))/J41</f>
        <v>141922.16981132075</v>
      </c>
      <c r="AG41" s="757">
        <v>125000</v>
      </c>
      <c r="AH41" s="758">
        <f>AG41*J41</f>
        <v>1060000</v>
      </c>
      <c r="AI41" s="758">
        <f>SUM(T41:T56)</f>
        <v>0</v>
      </c>
      <c r="AJ41" s="752">
        <f>AH41+AI41</f>
        <v>1060000</v>
      </c>
      <c r="AK41" s="752">
        <f>V41-AJ41</f>
        <v>736806</v>
      </c>
      <c r="AL41" s="760">
        <f>AK41/V41*100</f>
        <v>41.006430299097396</v>
      </c>
    </row>
    <row r="42" spans="2:38" ht="15.5" x14ac:dyDescent="0.45">
      <c r="B42" s="909"/>
      <c r="C42" s="229"/>
      <c r="D42" s="253" t="s">
        <v>107</v>
      </c>
      <c r="E42" s="413">
        <v>0.7</v>
      </c>
      <c r="F42" s="253" t="s">
        <v>108</v>
      </c>
      <c r="G42" s="229" t="s">
        <v>51</v>
      </c>
      <c r="H42" s="229"/>
      <c r="I42" s="967"/>
      <c r="J42" s="475"/>
      <c r="K42" s="602"/>
      <c r="L42" s="433">
        <f>E42*J41/K41</f>
        <v>5.9359999999999999</v>
      </c>
      <c r="M42" s="433"/>
      <c r="N42" s="433"/>
      <c r="O42" s="597">
        <v>2</v>
      </c>
      <c r="P42" s="596" t="str">
        <f>F42</f>
        <v>OH</v>
      </c>
      <c r="Q42" s="608">
        <f>Q19</f>
        <v>75000</v>
      </c>
      <c r="R42" s="453">
        <f>O42*Q42*K41</f>
        <v>150000</v>
      </c>
      <c r="S42" s="453"/>
      <c r="T42" s="453"/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ht="15.5" x14ac:dyDescent="0.45">
      <c r="B43" s="909"/>
      <c r="C43" s="229"/>
      <c r="D43" s="377" t="s">
        <v>121</v>
      </c>
      <c r="E43" s="424">
        <v>0.35</v>
      </c>
      <c r="F43" s="377" t="s">
        <v>108</v>
      </c>
      <c r="G43" s="323" t="s">
        <v>57</v>
      </c>
      <c r="H43" s="323"/>
      <c r="I43" s="987"/>
      <c r="J43" s="475"/>
      <c r="K43" s="602"/>
      <c r="L43" s="433">
        <f>E43*J41/K41</f>
        <v>2.968</v>
      </c>
      <c r="M43" s="433"/>
      <c r="N43" s="433"/>
      <c r="O43" s="597">
        <v>2</v>
      </c>
      <c r="P43" s="596" t="str">
        <f>F43</f>
        <v>OH</v>
      </c>
      <c r="Q43" s="608">
        <f t="shared" ref="Q43:Q45" si="1">Q20</f>
        <v>85000</v>
      </c>
      <c r="R43" s="453">
        <f>O43*Q43*K41</f>
        <v>170000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ht="15.5" x14ac:dyDescent="0.45">
      <c r="B44" s="877"/>
      <c r="C44" s="229"/>
      <c r="D44" s="377" t="s">
        <v>122</v>
      </c>
      <c r="E44" s="419">
        <v>3.5000000000000003E-2</v>
      </c>
      <c r="F44" s="377" t="s">
        <v>108</v>
      </c>
      <c r="G44" s="323" t="s">
        <v>123</v>
      </c>
      <c r="H44" s="323"/>
      <c r="I44" s="987"/>
      <c r="J44" s="475"/>
      <c r="K44" s="602"/>
      <c r="L44" s="433">
        <f>E44*J41/K41</f>
        <v>0.29680000000000006</v>
      </c>
      <c r="M44" s="433"/>
      <c r="N44" s="433"/>
      <c r="O44" s="597">
        <v>0</v>
      </c>
      <c r="P44" s="596" t="str">
        <f>F44</f>
        <v>OH</v>
      </c>
      <c r="Q44" s="608">
        <f t="shared" si="1"/>
        <v>90000</v>
      </c>
      <c r="R44" s="453">
        <f>O44*Q44*K41</f>
        <v>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ht="15.5" x14ac:dyDescent="0.45">
      <c r="B45" s="877"/>
      <c r="C45" s="229"/>
      <c r="D45" s="253" t="s">
        <v>109</v>
      </c>
      <c r="E45" s="418">
        <v>3.5000000000000003E-2</v>
      </c>
      <c r="F45" s="253" t="s">
        <v>108</v>
      </c>
      <c r="G45" s="229" t="s">
        <v>52</v>
      </c>
      <c r="H45" s="229"/>
      <c r="I45" s="967"/>
      <c r="J45" s="475"/>
      <c r="K45" s="602"/>
      <c r="L45" s="433">
        <f>E45*J41/K41</f>
        <v>0.29680000000000006</v>
      </c>
      <c r="M45" s="433"/>
      <c r="N45" s="433"/>
      <c r="O45" s="597">
        <v>1</v>
      </c>
      <c r="P45" s="596" t="str">
        <f>F45</f>
        <v>OH</v>
      </c>
      <c r="Q45" s="608">
        <f t="shared" si="1"/>
        <v>100000</v>
      </c>
      <c r="R45" s="453">
        <f>O45*Q45*K41</f>
        <v>100000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x14ac:dyDescent="0.45">
      <c r="B46" s="877"/>
      <c r="C46" s="229"/>
      <c r="D46" s="230"/>
      <c r="E46" s="421"/>
      <c r="F46" s="207" t="s">
        <v>5</v>
      </c>
      <c r="G46" s="231" t="s">
        <v>124</v>
      </c>
      <c r="H46" s="209"/>
      <c r="I46" s="966"/>
      <c r="J46" s="475"/>
      <c r="K46" s="602"/>
      <c r="L46" s="433"/>
      <c r="M46" s="433"/>
      <c r="N46" s="433"/>
      <c r="O46" s="597"/>
      <c r="P46" s="596"/>
      <c r="Q46" s="608"/>
      <c r="R46" s="453"/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x14ac:dyDescent="0.45">
      <c r="B47" s="877"/>
      <c r="C47" s="229"/>
      <c r="D47" s="425"/>
      <c r="E47" s="413">
        <v>1.05</v>
      </c>
      <c r="F47" s="253" t="s">
        <v>451</v>
      </c>
      <c r="G47" s="229" t="s">
        <v>165</v>
      </c>
      <c r="H47" s="229"/>
      <c r="I47" s="967"/>
      <c r="J47" s="475"/>
      <c r="K47" s="602"/>
      <c r="L47" s="433"/>
      <c r="M47" s="433">
        <f>E47*J41</f>
        <v>8.9040000000000017</v>
      </c>
      <c r="N47" s="433"/>
      <c r="O47" s="597">
        <v>9</v>
      </c>
      <c r="P47" s="596" t="str">
        <f>F47</f>
        <v>Dus</v>
      </c>
      <c r="Q47" s="608">
        <f>'Harga Bahan RAP'!G39</f>
        <v>55000</v>
      </c>
      <c r="R47" s="453"/>
      <c r="S47" s="453">
        <f>O47*Q47</f>
        <v>495000</v>
      </c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x14ac:dyDescent="0.45">
      <c r="B48" s="877"/>
      <c r="C48" s="229"/>
      <c r="D48" s="912"/>
      <c r="E48" s="915">
        <f>10.4/40</f>
        <v>0.26</v>
      </c>
      <c r="F48" s="913" t="s">
        <v>347</v>
      </c>
      <c r="G48" s="914" t="s">
        <v>129</v>
      </c>
      <c r="H48" s="914"/>
      <c r="I48" s="990"/>
      <c r="J48" s="475"/>
      <c r="K48" s="602"/>
      <c r="L48" s="433"/>
      <c r="M48" s="433">
        <f>E48*J41</f>
        <v>2.2048000000000001</v>
      </c>
      <c r="N48" s="433"/>
      <c r="O48" s="597">
        <v>2</v>
      </c>
      <c r="P48" s="596" t="str">
        <f>F48</f>
        <v>Zak</v>
      </c>
      <c r="Q48" s="608">
        <f>'Harga Bahan RAP'!G11</f>
        <v>45000</v>
      </c>
      <c r="R48" s="433"/>
      <c r="S48" s="453">
        <f t="shared" ref="S48:S51" si="2">O48*Q48</f>
        <v>90000</v>
      </c>
      <c r="T48" s="43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x14ac:dyDescent="0.45">
      <c r="B49" s="877"/>
      <c r="C49" s="229"/>
      <c r="D49" s="912"/>
      <c r="E49" s="920">
        <v>0.2</v>
      </c>
      <c r="F49" s="913" t="s">
        <v>664</v>
      </c>
      <c r="G49" s="914" t="s">
        <v>64</v>
      </c>
      <c r="H49" s="914"/>
      <c r="I49" s="990"/>
      <c r="J49" s="475"/>
      <c r="K49" s="602"/>
      <c r="L49" s="433"/>
      <c r="M49" s="433">
        <f>E49*J41</f>
        <v>1.6960000000000002</v>
      </c>
      <c r="N49" s="433"/>
      <c r="O49" s="597">
        <v>2</v>
      </c>
      <c r="P49" s="596" t="str">
        <f>F49</f>
        <v>Bungkus</v>
      </c>
      <c r="Q49" s="608">
        <f>'Harga Bahan RAP'!G46</f>
        <v>18000</v>
      </c>
      <c r="R49" s="433"/>
      <c r="S49" s="453">
        <f t="shared" si="2"/>
        <v>36000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x14ac:dyDescent="0.45">
      <c r="B50" s="877"/>
      <c r="C50" s="229"/>
      <c r="D50" s="238"/>
      <c r="E50" s="418">
        <v>4.4999999999999998E-2</v>
      </c>
      <c r="F50" s="253" t="s">
        <v>65</v>
      </c>
      <c r="G50" s="229" t="s">
        <v>126</v>
      </c>
      <c r="H50" s="229"/>
      <c r="I50" s="967"/>
      <c r="J50" s="475"/>
      <c r="K50" s="602"/>
      <c r="L50" s="433"/>
      <c r="M50" s="433">
        <f>E50*J41</f>
        <v>0.38159999999999999</v>
      </c>
      <c r="N50" s="433"/>
      <c r="O50" s="597">
        <v>0.5</v>
      </c>
      <c r="P50" s="596" t="str">
        <f>F50</f>
        <v>m3</v>
      </c>
      <c r="Q50" s="608">
        <f>'Harga Bahan RAP'!G9</f>
        <v>325000</v>
      </c>
      <c r="R50" s="433"/>
      <c r="S50" s="453">
        <f t="shared" si="2"/>
        <v>162500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x14ac:dyDescent="0.45">
      <c r="B51" s="877"/>
      <c r="C51" s="229"/>
      <c r="D51" s="907"/>
      <c r="E51" s="919"/>
      <c r="F51" s="378"/>
      <c r="G51" s="332"/>
      <c r="H51" s="332"/>
      <c r="I51" s="992"/>
      <c r="J51" s="475"/>
      <c r="K51" s="602"/>
      <c r="L51" s="433"/>
      <c r="M51" s="433">
        <f>E51*J41</f>
        <v>0</v>
      </c>
      <c r="N51" s="433"/>
      <c r="O51" s="597">
        <v>0</v>
      </c>
      <c r="P51" s="596">
        <f>F51</f>
        <v>0</v>
      </c>
      <c r="Q51" s="608"/>
      <c r="R51" s="433"/>
      <c r="S51" s="453">
        <f t="shared" si="2"/>
        <v>0</v>
      </c>
      <c r="T51" s="433"/>
      <c r="U51" s="753"/>
      <c r="V51" s="753"/>
      <c r="W51" s="753"/>
      <c r="X51" s="761"/>
      <c r="Y51" s="756"/>
      <c r="Z51" s="759"/>
      <c r="AA51" s="759"/>
      <c r="AB51" s="759"/>
      <c r="AC51" s="753"/>
      <c r="AD51" s="753"/>
      <c r="AE51" s="761"/>
      <c r="AF51" s="756"/>
      <c r="AG51" s="759"/>
      <c r="AH51" s="759"/>
      <c r="AI51" s="759"/>
      <c r="AJ51" s="753"/>
      <c r="AK51" s="753"/>
      <c r="AL51" s="761"/>
    </row>
    <row r="52" spans="2:38" ht="15.5" x14ac:dyDescent="0.45">
      <c r="B52" s="909"/>
      <c r="C52" s="229"/>
      <c r="D52" s="211"/>
      <c r="E52" s="267"/>
      <c r="F52" s="207" t="s">
        <v>6</v>
      </c>
      <c r="G52" s="208" t="s">
        <v>111</v>
      </c>
      <c r="H52" s="209"/>
      <c r="I52" s="966"/>
      <c r="J52" s="475"/>
      <c r="K52" s="602"/>
      <c r="L52" s="433"/>
      <c r="M52" s="433"/>
      <c r="N52" s="433"/>
      <c r="O52" s="597"/>
      <c r="P52" s="596"/>
      <c r="Q52" s="608"/>
      <c r="R52" s="433"/>
      <c r="S52" s="433"/>
      <c r="T52" s="433"/>
      <c r="U52" s="433"/>
      <c r="V52" s="433"/>
      <c r="W52" s="433"/>
      <c r="X52" s="659"/>
      <c r="Y52" s="661"/>
      <c r="Z52" s="433"/>
      <c r="AA52" s="433"/>
      <c r="AB52" s="433"/>
      <c r="AC52" s="433"/>
      <c r="AD52" s="433"/>
      <c r="AE52" s="644"/>
      <c r="AF52" s="661"/>
      <c r="AG52" s="433"/>
      <c r="AH52" s="433"/>
      <c r="AI52" s="433"/>
      <c r="AJ52" s="433"/>
      <c r="AK52" s="433"/>
      <c r="AL52" s="644"/>
    </row>
    <row r="53" spans="2:38" ht="15.5" x14ac:dyDescent="0.45">
      <c r="B53" s="909"/>
      <c r="C53" s="229"/>
      <c r="D53" s="211"/>
      <c r="E53" s="267"/>
      <c r="F53" s="207"/>
      <c r="G53" s="208"/>
      <c r="H53" s="209"/>
      <c r="I53" s="966"/>
      <c r="J53" s="475"/>
      <c r="K53" s="602"/>
      <c r="L53" s="433"/>
      <c r="M53" s="433"/>
      <c r="N53" s="433">
        <f>E53*J41</f>
        <v>0</v>
      </c>
      <c r="O53" s="597">
        <v>0</v>
      </c>
      <c r="P53" s="596">
        <v>0</v>
      </c>
      <c r="Q53" s="608"/>
      <c r="R53" s="433"/>
      <c r="S53" s="433"/>
      <c r="T53" s="453">
        <f>O53*Q53</f>
        <v>0</v>
      </c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ht="15.5" x14ac:dyDescent="0.45">
      <c r="B54" s="909"/>
      <c r="C54" s="229"/>
      <c r="D54" s="211"/>
      <c r="E54" s="267"/>
      <c r="F54" s="207" t="s">
        <v>112</v>
      </c>
      <c r="G54" s="208" t="s">
        <v>113</v>
      </c>
      <c r="H54" s="209"/>
      <c r="I54" s="966"/>
      <c r="J54" s="475"/>
      <c r="K54" s="602"/>
      <c r="L54" s="433"/>
      <c r="M54" s="433"/>
      <c r="N54" s="433"/>
      <c r="O54" s="433"/>
      <c r="P54" s="433"/>
      <c r="Q54" s="595"/>
      <c r="R54" s="433"/>
      <c r="S54" s="433"/>
      <c r="T54" s="433"/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ht="15.5" x14ac:dyDescent="0.45">
      <c r="B55" s="909"/>
      <c r="C55" s="229"/>
      <c r="D55" s="253"/>
      <c r="E55" s="275"/>
      <c r="F55" s="239" t="s">
        <v>114</v>
      </c>
      <c r="G55" s="257" t="s">
        <v>166</v>
      </c>
      <c r="H55" s="229"/>
      <c r="I55" s="980">
        <v>0.15</v>
      </c>
      <c r="J55" s="475"/>
      <c r="K55" s="602"/>
      <c r="L55" s="433"/>
      <c r="M55" s="433"/>
      <c r="N55" s="433"/>
      <c r="O55" s="433"/>
      <c r="P55" s="433"/>
      <c r="Q55" s="595"/>
      <c r="R55" s="433"/>
      <c r="S55" s="433"/>
      <c r="T55" s="433"/>
      <c r="U55" s="433"/>
      <c r="V55" s="433"/>
      <c r="W55" s="433"/>
      <c r="X55" s="659"/>
      <c r="Y55" s="661"/>
      <c r="Z55" s="433"/>
      <c r="AA55" s="433"/>
      <c r="AB55" s="433"/>
      <c r="AC55" s="433"/>
      <c r="AD55" s="433"/>
      <c r="AE55" s="644"/>
      <c r="AF55" s="661"/>
      <c r="AG55" s="433"/>
      <c r="AH55" s="433"/>
      <c r="AI55" s="433"/>
      <c r="AJ55" s="433"/>
      <c r="AK55" s="433"/>
      <c r="AL55" s="644"/>
    </row>
    <row r="56" spans="2:38" ht="16" thickBot="1" x14ac:dyDescent="0.5">
      <c r="B56" s="910"/>
      <c r="C56" s="944"/>
      <c r="D56" s="852"/>
      <c r="E56" s="911"/>
      <c r="F56" s="834" t="s">
        <v>115</v>
      </c>
      <c r="G56" s="816" t="s">
        <v>127</v>
      </c>
      <c r="H56" s="835"/>
      <c r="I56" s="981"/>
      <c r="J56" s="793"/>
      <c r="K56" s="763"/>
      <c r="L56" s="655"/>
      <c r="M56" s="655"/>
      <c r="N56" s="655"/>
      <c r="O56" s="655"/>
      <c r="P56" s="655"/>
      <c r="Q56" s="654"/>
      <c r="R56" s="655"/>
      <c r="S56" s="655"/>
      <c r="T56" s="655"/>
      <c r="U56" s="655"/>
      <c r="V56" s="655"/>
      <c r="W56" s="655"/>
      <c r="X56" s="660"/>
      <c r="Y56" s="662"/>
      <c r="Z56" s="655"/>
      <c r="AA56" s="655"/>
      <c r="AB56" s="655"/>
      <c r="AC56" s="655"/>
      <c r="AD56" s="655"/>
      <c r="AE56" s="656"/>
      <c r="AF56" s="662"/>
      <c r="AG56" s="655"/>
      <c r="AH56" s="655"/>
      <c r="AI56" s="655"/>
      <c r="AJ56" s="655"/>
      <c r="AK56" s="655"/>
      <c r="AL56" s="656"/>
    </row>
  </sheetData>
  <mergeCells count="30">
    <mergeCell ref="G16:I16"/>
    <mergeCell ref="G13:I15"/>
    <mergeCell ref="J13:X13"/>
    <mergeCell ref="Y13:AE13"/>
    <mergeCell ref="AF13:AL13"/>
    <mergeCell ref="J14:J15"/>
    <mergeCell ref="L14:P14"/>
    <mergeCell ref="R14:T14"/>
    <mergeCell ref="Y14:Z14"/>
    <mergeCell ref="AF14:AG14"/>
    <mergeCell ref="B36:B38"/>
    <mergeCell ref="C36:C38"/>
    <mergeCell ref="D36:D38"/>
    <mergeCell ref="E36:E38"/>
    <mergeCell ref="F36:F38"/>
    <mergeCell ref="B13:B15"/>
    <mergeCell ref="C13:C15"/>
    <mergeCell ref="D13:D15"/>
    <mergeCell ref="E13:E15"/>
    <mergeCell ref="F13:F15"/>
    <mergeCell ref="G39:I39"/>
    <mergeCell ref="G36:I38"/>
    <mergeCell ref="J36:X36"/>
    <mergeCell ref="Y36:AE36"/>
    <mergeCell ref="AF36:AL36"/>
    <mergeCell ref="J37:J38"/>
    <mergeCell ref="L37:P37"/>
    <mergeCell ref="R37:T37"/>
    <mergeCell ref="Y37:Z37"/>
    <mergeCell ref="AF37:AG37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834D-D6EA-4CAF-9737-8BD5B2206FF8}">
  <sheetPr>
    <tabColor rgb="FFFFFF00"/>
  </sheetPr>
  <dimension ref="A1:AL150"/>
  <sheetViews>
    <sheetView view="pageBreakPreview" topLeftCell="A130" zoomScale="72" zoomScaleNormal="100" zoomScaleSheetLayoutView="72" workbookViewId="0">
      <selection activeCell="Z42" sqref="Z42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RAP!B64</f>
        <v>PEKERJAAN ATAP &amp; PLAFON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x14ac:dyDescent="0.45">
      <c r="D11" s="112"/>
      <c r="E11" s="195"/>
      <c r="G11" s="111"/>
      <c r="H11" s="111"/>
      <c r="I11" s="111"/>
      <c r="Z11" s="657"/>
      <c r="AA11" s="657"/>
      <c r="AB11" s="657"/>
      <c r="AC11" s="657"/>
      <c r="AD11" s="657"/>
      <c r="AE11" s="657"/>
      <c r="AG11" s="657"/>
      <c r="AH11" s="657"/>
      <c r="AI11" s="657"/>
      <c r="AJ11" s="657"/>
      <c r="AK11" s="657"/>
      <c r="AL11" s="657"/>
    </row>
    <row r="12" spans="2:38" ht="17" thickBot="1" x14ac:dyDescent="0.5">
      <c r="B12" s="749" t="s">
        <v>671</v>
      </c>
      <c r="C12" s="750" t="str">
        <f>RAP!B66</f>
        <v>Gording CNP 150 x 50 x 20 x 2.3</v>
      </c>
      <c r="D12" s="241"/>
      <c r="E12" s="241"/>
      <c r="F12" s="276"/>
      <c r="G12" s="240"/>
      <c r="H12" s="241"/>
      <c r="I12" s="241"/>
      <c r="J12" s="604"/>
      <c r="K12" s="603"/>
      <c r="L12" s="604"/>
      <c r="M12" s="604"/>
      <c r="N12" s="604"/>
      <c r="O12" s="604"/>
      <c r="P12" s="604"/>
      <c r="Q12" s="604"/>
      <c r="R12" s="609"/>
      <c r="S12" s="609"/>
      <c r="T12" s="609"/>
      <c r="U12" s="609"/>
      <c r="V12" s="609"/>
      <c r="W12" s="609"/>
      <c r="X12" s="609"/>
      <c r="Y12" s="609"/>
      <c r="Z12" s="609"/>
      <c r="AA12" s="609"/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  <c r="AL12" s="609"/>
    </row>
    <row r="13" spans="2:38" ht="19.5" customHeight="1" x14ac:dyDescent="0.45">
      <c r="B13" s="1168" t="s">
        <v>99</v>
      </c>
      <c r="C13" s="1171" t="s">
        <v>100</v>
      </c>
      <c r="D13" s="1171" t="s">
        <v>89</v>
      </c>
      <c r="E13" s="1171" t="s">
        <v>101</v>
      </c>
      <c r="F13" s="1171" t="s">
        <v>102</v>
      </c>
      <c r="G13" s="1109" t="s">
        <v>103</v>
      </c>
      <c r="H13" s="1110"/>
      <c r="I13" s="1175"/>
      <c r="J13" s="1152" t="s">
        <v>539</v>
      </c>
      <c r="K13" s="1152"/>
      <c r="L13" s="1152"/>
      <c r="M13" s="1152"/>
      <c r="N13" s="1152"/>
      <c r="O13" s="1152"/>
      <c r="P13" s="1152"/>
      <c r="Q13" s="1152"/>
      <c r="R13" s="1152"/>
      <c r="S13" s="1152"/>
      <c r="T13" s="1152"/>
      <c r="U13" s="1152"/>
      <c r="V13" s="1152"/>
      <c r="W13" s="1152"/>
      <c r="X13" s="1152"/>
      <c r="Y13" s="1153" t="s">
        <v>540</v>
      </c>
      <c r="Z13" s="1154"/>
      <c r="AA13" s="1154"/>
      <c r="AB13" s="1154"/>
      <c r="AC13" s="1154"/>
      <c r="AD13" s="1154"/>
      <c r="AE13" s="1155"/>
      <c r="AF13" s="1156" t="s">
        <v>541</v>
      </c>
      <c r="AG13" s="1157"/>
      <c r="AH13" s="1157"/>
      <c r="AI13" s="1157"/>
      <c r="AJ13" s="1157"/>
      <c r="AK13" s="1157"/>
      <c r="AL13" s="1158"/>
    </row>
    <row r="14" spans="2:38" ht="45" x14ac:dyDescent="0.45">
      <c r="B14" s="1169"/>
      <c r="C14" s="1089"/>
      <c r="D14" s="1089"/>
      <c r="E14" s="1089"/>
      <c r="F14" s="1089"/>
      <c r="G14" s="1026"/>
      <c r="H14" s="1027"/>
      <c r="I14" s="1176"/>
      <c r="J14" s="1173" t="s">
        <v>15</v>
      </c>
      <c r="K14" s="673" t="s">
        <v>493</v>
      </c>
      <c r="L14" s="1161" t="s">
        <v>491</v>
      </c>
      <c r="M14" s="1162"/>
      <c r="N14" s="1162"/>
      <c r="O14" s="1162"/>
      <c r="P14" s="1163"/>
      <c r="Q14" s="674" t="s">
        <v>533</v>
      </c>
      <c r="R14" s="1161" t="s">
        <v>501</v>
      </c>
      <c r="S14" s="1162"/>
      <c r="T14" s="1163"/>
      <c r="U14" s="674" t="s">
        <v>530</v>
      </c>
      <c r="V14" s="674" t="s">
        <v>531</v>
      </c>
      <c r="W14" s="674" t="s">
        <v>578</v>
      </c>
      <c r="X14" s="681" t="s">
        <v>579</v>
      </c>
      <c r="Y14" s="1164" t="s">
        <v>534</v>
      </c>
      <c r="Z14" s="1165"/>
      <c r="AA14" s="663" t="s">
        <v>537</v>
      </c>
      <c r="AB14" s="664" t="s">
        <v>538</v>
      </c>
      <c r="AC14" s="665" t="s">
        <v>530</v>
      </c>
      <c r="AD14" s="665" t="s">
        <v>578</v>
      </c>
      <c r="AE14" s="682" t="s">
        <v>579</v>
      </c>
      <c r="AF14" s="1166" t="s">
        <v>542</v>
      </c>
      <c r="AG14" s="1167"/>
      <c r="AH14" s="737" t="s">
        <v>543</v>
      </c>
      <c r="AI14" s="738" t="s">
        <v>544</v>
      </c>
      <c r="AJ14" s="739" t="s">
        <v>530</v>
      </c>
      <c r="AK14" s="739" t="s">
        <v>578</v>
      </c>
      <c r="AL14" s="740" t="s">
        <v>579</v>
      </c>
    </row>
    <row r="15" spans="2:38" ht="30" x14ac:dyDescent="0.45">
      <c r="B15" s="1170"/>
      <c r="C15" s="1090"/>
      <c r="D15" s="1090"/>
      <c r="E15" s="1090"/>
      <c r="F15" s="1090"/>
      <c r="G15" s="1085"/>
      <c r="H15" s="1086"/>
      <c r="I15" s="1177"/>
      <c r="J15" s="1174"/>
      <c r="K15" s="675" t="s">
        <v>495</v>
      </c>
      <c r="L15" s="676" t="s">
        <v>524</v>
      </c>
      <c r="M15" s="676" t="s">
        <v>525</v>
      </c>
      <c r="N15" s="676" t="s">
        <v>526</v>
      </c>
      <c r="O15" s="675" t="s">
        <v>517</v>
      </c>
      <c r="P15" s="675" t="s">
        <v>290</v>
      </c>
      <c r="Q15" s="675" t="s">
        <v>532</v>
      </c>
      <c r="R15" s="676" t="s">
        <v>527</v>
      </c>
      <c r="S15" s="676" t="s">
        <v>528</v>
      </c>
      <c r="T15" s="677" t="s">
        <v>529</v>
      </c>
      <c r="U15" s="675" t="s">
        <v>502</v>
      </c>
      <c r="V15" s="675" t="s">
        <v>502</v>
      </c>
      <c r="W15" s="675" t="s">
        <v>502</v>
      </c>
      <c r="X15" s="678" t="s">
        <v>504</v>
      </c>
      <c r="Y15" s="666" t="s">
        <v>535</v>
      </c>
      <c r="Z15" s="667" t="s">
        <v>536</v>
      </c>
      <c r="AA15" s="668" t="s">
        <v>532</v>
      </c>
      <c r="AB15" s="668" t="s">
        <v>532</v>
      </c>
      <c r="AC15" s="668" t="s">
        <v>532</v>
      </c>
      <c r="AD15" s="668" t="s">
        <v>532</v>
      </c>
      <c r="AE15" s="669" t="s">
        <v>532</v>
      </c>
      <c r="AF15" s="741" t="s">
        <v>535</v>
      </c>
      <c r="AG15" s="742" t="s">
        <v>536</v>
      </c>
      <c r="AH15" s="743" t="s">
        <v>532</v>
      </c>
      <c r="AI15" s="743" t="s">
        <v>532</v>
      </c>
      <c r="AJ15" s="743" t="s">
        <v>532</v>
      </c>
      <c r="AK15" s="743" t="s">
        <v>532</v>
      </c>
      <c r="AL15" s="744" t="s">
        <v>532</v>
      </c>
    </row>
    <row r="16" spans="2:38" ht="30" x14ac:dyDescent="0.45">
      <c r="B16" s="639" t="s">
        <v>4</v>
      </c>
      <c r="C16" s="600" t="s">
        <v>5</v>
      </c>
      <c r="D16" s="570" t="s">
        <v>6</v>
      </c>
      <c r="E16" s="570" t="s">
        <v>112</v>
      </c>
      <c r="F16" s="570" t="s">
        <v>114</v>
      </c>
      <c r="G16" s="1014" t="s">
        <v>115</v>
      </c>
      <c r="H16" s="1014"/>
      <c r="I16" s="1172"/>
      <c r="J16" s="791" t="s">
        <v>21</v>
      </c>
      <c r="K16" s="675" t="s">
        <v>496</v>
      </c>
      <c r="L16" s="675" t="s">
        <v>497</v>
      </c>
      <c r="M16" s="675" t="s">
        <v>498</v>
      </c>
      <c r="N16" s="675" t="s">
        <v>499</v>
      </c>
      <c r="O16" s="676" t="s">
        <v>552</v>
      </c>
      <c r="P16" s="675" t="s">
        <v>512</v>
      </c>
      <c r="Q16" s="675" t="s">
        <v>503</v>
      </c>
      <c r="R16" s="675" t="s">
        <v>553</v>
      </c>
      <c r="S16" s="675" t="s">
        <v>513</v>
      </c>
      <c r="T16" s="675" t="s">
        <v>514</v>
      </c>
      <c r="U16" s="675" t="s">
        <v>554</v>
      </c>
      <c r="V16" s="675" t="s">
        <v>515</v>
      </c>
      <c r="W16" s="675" t="s">
        <v>555</v>
      </c>
      <c r="X16" s="678" t="s">
        <v>516</v>
      </c>
      <c r="Y16" s="670" t="s">
        <v>556</v>
      </c>
      <c r="Z16" s="671" t="s">
        <v>557</v>
      </c>
      <c r="AA16" s="671" t="s">
        <v>558</v>
      </c>
      <c r="AB16" s="671" t="s">
        <v>559</v>
      </c>
      <c r="AC16" s="671" t="s">
        <v>560</v>
      </c>
      <c r="AD16" s="671" t="s">
        <v>561</v>
      </c>
      <c r="AE16" s="672" t="s">
        <v>562</v>
      </c>
      <c r="AF16" s="745" t="s">
        <v>563</v>
      </c>
      <c r="AG16" s="746" t="s">
        <v>564</v>
      </c>
      <c r="AH16" s="746" t="s">
        <v>565</v>
      </c>
      <c r="AI16" s="746" t="s">
        <v>566</v>
      </c>
      <c r="AJ16" s="746" t="s">
        <v>567</v>
      </c>
      <c r="AK16" s="746" t="s">
        <v>568</v>
      </c>
      <c r="AL16" s="747" t="s">
        <v>569</v>
      </c>
    </row>
    <row r="17" spans="2:38" x14ac:dyDescent="0.45">
      <c r="B17" s="640">
        <v>1</v>
      </c>
      <c r="C17" s="529" t="s">
        <v>38</v>
      </c>
      <c r="D17" s="553"/>
      <c r="E17" s="478">
        <v>1</v>
      </c>
      <c r="F17" s="478" t="s">
        <v>39</v>
      </c>
      <c r="G17" s="493" t="s">
        <v>95</v>
      </c>
      <c r="H17" s="458"/>
      <c r="I17" s="972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89"/>
      <c r="AG17" s="789"/>
      <c r="AH17" s="789"/>
      <c r="AI17" s="789"/>
      <c r="AJ17" s="789"/>
      <c r="AK17" s="789"/>
      <c r="AL17" s="790"/>
    </row>
    <row r="18" spans="2:38" x14ac:dyDescent="0.45">
      <c r="B18" s="924"/>
      <c r="C18" s="277"/>
      <c r="D18" s="344"/>
      <c r="E18" s="284"/>
      <c r="F18" s="207" t="s">
        <v>4</v>
      </c>
      <c r="G18" s="231" t="s">
        <v>120</v>
      </c>
      <c r="H18" s="209"/>
      <c r="I18" s="966"/>
      <c r="J18" s="792">
        <f>RAP!E66</f>
        <v>742.48</v>
      </c>
      <c r="K18" s="601">
        <v>3</v>
      </c>
      <c r="L18" s="319"/>
      <c r="M18" s="319"/>
      <c r="N18" s="319"/>
      <c r="O18" s="598"/>
      <c r="P18" s="598"/>
      <c r="Q18" s="605"/>
      <c r="R18" s="485"/>
      <c r="S18" s="485"/>
      <c r="T18" s="485"/>
      <c r="U18" s="752">
        <f>SUM(R18:R33)+(SUM(S18:S33)+SUM(T18:T33))</f>
        <v>18550000</v>
      </c>
      <c r="V18" s="754">
        <f>RAP!H66</f>
        <v>22469115.379999999</v>
      </c>
      <c r="W18" s="752">
        <f>V18-U18</f>
        <v>3919115.379999999</v>
      </c>
      <c r="X18" s="760">
        <f>W18/V18*100</f>
        <v>17.442232654554999</v>
      </c>
      <c r="Y18" s="755">
        <f>SUM(R18:R33)/J18</f>
        <v>9454.8001292964109</v>
      </c>
      <c r="Z18" s="757">
        <v>9000</v>
      </c>
      <c r="AA18" s="758">
        <f>J18*Z18</f>
        <v>6682320</v>
      </c>
      <c r="AB18" s="758">
        <f>SUM(S18:S33)+SUM(T18:T33)</f>
        <v>11530000</v>
      </c>
      <c r="AC18" s="752">
        <f>AA18+AB18</f>
        <v>18212320</v>
      </c>
      <c r="AD18" s="752">
        <f>V18-AC18</f>
        <v>4256795.379999999</v>
      </c>
      <c r="AE18" s="760">
        <f>AD18/V18*100</f>
        <v>18.945095558986797</v>
      </c>
      <c r="AF18" s="755">
        <f>(SUM(R18:R33)+SUM(S18:S33))/J18</f>
        <v>24983.83794849693</v>
      </c>
      <c r="AG18" s="757">
        <v>25000</v>
      </c>
      <c r="AH18" s="758">
        <f>AG18*J18</f>
        <v>18562000</v>
      </c>
      <c r="AI18" s="758">
        <f>SUM(T18:T33)</f>
        <v>0</v>
      </c>
      <c r="AJ18" s="752">
        <f>AH18+AI18</f>
        <v>18562000</v>
      </c>
      <c r="AK18" s="752">
        <f>V18-AJ18</f>
        <v>3907115.379999999</v>
      </c>
      <c r="AL18" s="760">
        <f>AK18/V18*100</f>
        <v>17.388826012606462</v>
      </c>
    </row>
    <row r="19" spans="2:38" ht="15.5" x14ac:dyDescent="0.45">
      <c r="B19" s="924"/>
      <c r="C19" s="277"/>
      <c r="D19" s="279" t="s">
        <v>107</v>
      </c>
      <c r="E19" s="397">
        <v>0.06</v>
      </c>
      <c r="F19" s="211" t="s">
        <v>108</v>
      </c>
      <c r="G19" s="209" t="s">
        <v>51</v>
      </c>
      <c r="H19" s="209"/>
      <c r="I19" s="966"/>
      <c r="J19" s="475"/>
      <c r="K19" s="602"/>
      <c r="L19" s="433">
        <f>E19*J18/K18</f>
        <v>14.849600000000001</v>
      </c>
      <c r="M19" s="433"/>
      <c r="N19" s="433"/>
      <c r="O19" s="597">
        <v>14</v>
      </c>
      <c r="P19" s="596" t="str">
        <f>F19</f>
        <v>OH</v>
      </c>
      <c r="Q19" s="608">
        <f>'Analisa Upah RAP'!G5</f>
        <v>75000</v>
      </c>
      <c r="R19" s="453">
        <f>O19*Q19*K18</f>
        <v>3150000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ht="15.5" x14ac:dyDescent="0.45">
      <c r="B20" s="924"/>
      <c r="C20" s="277"/>
      <c r="D20" s="279" t="s">
        <v>121</v>
      </c>
      <c r="E20" s="397">
        <v>0.06</v>
      </c>
      <c r="F20" s="211" t="s">
        <v>108</v>
      </c>
      <c r="G20" s="209" t="s">
        <v>58</v>
      </c>
      <c r="H20" s="209"/>
      <c r="I20" s="966"/>
      <c r="J20" s="475"/>
      <c r="K20" s="602"/>
      <c r="L20" s="433">
        <f>E20*J18/K18</f>
        <v>14.849600000000001</v>
      </c>
      <c r="M20" s="433"/>
      <c r="N20" s="433"/>
      <c r="O20" s="597">
        <v>14</v>
      </c>
      <c r="P20" s="596" t="str">
        <f>F20</f>
        <v>OH</v>
      </c>
      <c r="Q20" s="608">
        <f>'Analisa Upah RAP'!G8</f>
        <v>85000</v>
      </c>
      <c r="R20" s="453">
        <f>O20*Q20*K18</f>
        <v>3570000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ht="15.5" x14ac:dyDescent="0.45">
      <c r="B21" s="924"/>
      <c r="C21" s="277"/>
      <c r="D21" s="279" t="s">
        <v>122</v>
      </c>
      <c r="E21" s="399">
        <v>6.0000000000000001E-3</v>
      </c>
      <c r="F21" s="211" t="s">
        <v>108</v>
      </c>
      <c r="G21" s="209" t="s">
        <v>123</v>
      </c>
      <c r="H21" s="209"/>
      <c r="I21" s="966"/>
      <c r="J21" s="475"/>
      <c r="K21" s="602"/>
      <c r="L21" s="433">
        <f>E21*J18/K18</f>
        <v>1.4849600000000001</v>
      </c>
      <c r="M21" s="433"/>
      <c r="N21" s="433"/>
      <c r="O21" s="597">
        <v>0</v>
      </c>
      <c r="P21" s="596" t="str">
        <f>F21</f>
        <v>OH</v>
      </c>
      <c r="Q21" s="608">
        <f>'Analisa Upah RAP'!G11</f>
        <v>90000</v>
      </c>
      <c r="R21" s="453">
        <f>O21*Q21*K18</f>
        <v>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ht="15.5" x14ac:dyDescent="0.45">
      <c r="B22" s="924"/>
      <c r="C22" s="277"/>
      <c r="D22" s="343" t="s">
        <v>109</v>
      </c>
      <c r="E22" s="400">
        <v>3.0000000000000001E-3</v>
      </c>
      <c r="F22" s="253" t="s">
        <v>108</v>
      </c>
      <c r="G22" s="229" t="s">
        <v>52</v>
      </c>
      <c r="H22" s="229"/>
      <c r="I22" s="967"/>
      <c r="J22" s="475"/>
      <c r="K22" s="602"/>
      <c r="L22" s="433">
        <f>E22*J18/K18</f>
        <v>0.74248000000000003</v>
      </c>
      <c r="M22" s="433"/>
      <c r="N22" s="433"/>
      <c r="O22" s="597">
        <v>1</v>
      </c>
      <c r="P22" s="596" t="str">
        <f>F22</f>
        <v>OH</v>
      </c>
      <c r="Q22" s="608">
        <f>'Analisa Upah RAP'!G12</f>
        <v>100000</v>
      </c>
      <c r="R22" s="453">
        <f>O22*Q22*K18</f>
        <v>300000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924"/>
      <c r="C23" s="277"/>
      <c r="D23" s="344"/>
      <c r="E23" s="352"/>
      <c r="F23" s="207" t="s">
        <v>5</v>
      </c>
      <c r="G23" s="231" t="s">
        <v>124</v>
      </c>
      <c r="H23" s="209"/>
      <c r="I23" s="966"/>
      <c r="J23" s="475"/>
      <c r="K23" s="602"/>
      <c r="L23" s="433"/>
      <c r="M23" s="433"/>
      <c r="N23" s="433"/>
      <c r="O23" s="597"/>
      <c r="P23" s="596"/>
      <c r="Q23" s="608"/>
      <c r="R23" s="453"/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924"/>
      <c r="C24" s="277"/>
      <c r="D24" s="341"/>
      <c r="E24" s="397">
        <v>1.1499999999999999</v>
      </c>
      <c r="F24" s="269" t="s">
        <v>39</v>
      </c>
      <c r="G24" s="226" t="s">
        <v>74</v>
      </c>
      <c r="H24" s="226"/>
      <c r="I24" s="974"/>
      <c r="J24" s="475"/>
      <c r="K24" s="602"/>
      <c r="L24" s="433"/>
      <c r="M24" s="433">
        <f>E24*J18</f>
        <v>853.85199999999998</v>
      </c>
      <c r="N24" s="433"/>
      <c r="O24" s="597">
        <v>854</v>
      </c>
      <c r="P24" s="596" t="str">
        <f>F24</f>
        <v>Kg</v>
      </c>
      <c r="Q24" s="608">
        <f>'Harga Bahan RAP'!G50</f>
        <v>12500</v>
      </c>
      <c r="R24" s="453"/>
      <c r="S24" s="453">
        <f>O24*Q24</f>
        <v>10675000</v>
      </c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924"/>
      <c r="C25" s="277"/>
      <c r="D25" s="341"/>
      <c r="E25" s="402">
        <v>0.06</v>
      </c>
      <c r="F25" s="269" t="s">
        <v>39</v>
      </c>
      <c r="G25" s="226" t="s">
        <v>156</v>
      </c>
      <c r="H25" s="226"/>
      <c r="I25" s="974"/>
      <c r="J25" s="475"/>
      <c r="K25" s="602"/>
      <c r="L25" s="433"/>
      <c r="M25" s="433">
        <f>E25*J18</f>
        <v>44.5488</v>
      </c>
      <c r="N25" s="433"/>
      <c r="O25" s="597">
        <v>45</v>
      </c>
      <c r="P25" s="596" t="str">
        <f>F25</f>
        <v>Kg</v>
      </c>
      <c r="Q25" s="608">
        <f>'Harga Bahan RAP'!G97</f>
        <v>19000</v>
      </c>
      <c r="R25" s="433"/>
      <c r="S25" s="453">
        <f t="shared" ref="S25:S28" si="0">O25*Q25</f>
        <v>855000</v>
      </c>
      <c r="T25" s="43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x14ac:dyDescent="0.45">
      <c r="B26" s="924"/>
      <c r="C26" s="277"/>
      <c r="D26" s="341"/>
      <c r="E26" s="923"/>
      <c r="F26" s="269"/>
      <c r="G26" s="226"/>
      <c r="H26" s="226"/>
      <c r="I26" s="974"/>
      <c r="J26" s="475"/>
      <c r="K26" s="602"/>
      <c r="L26" s="433"/>
      <c r="M26" s="433">
        <f>E26*J18</f>
        <v>0</v>
      </c>
      <c r="N26" s="433"/>
      <c r="O26" s="597">
        <v>0</v>
      </c>
      <c r="P26" s="596">
        <f>F26</f>
        <v>0</v>
      </c>
      <c r="Q26" s="608">
        <v>0</v>
      </c>
      <c r="R26" s="433"/>
      <c r="S26" s="453">
        <f t="shared" si="0"/>
        <v>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x14ac:dyDescent="0.45">
      <c r="B27" s="924"/>
      <c r="C27" s="277"/>
      <c r="D27" s="341"/>
      <c r="E27" s="923"/>
      <c r="F27" s="269"/>
      <c r="G27" s="226"/>
      <c r="H27" s="226"/>
      <c r="I27" s="974"/>
      <c r="J27" s="475"/>
      <c r="K27" s="602"/>
      <c r="L27" s="433"/>
      <c r="M27" s="433">
        <f>E27*J18</f>
        <v>0</v>
      </c>
      <c r="N27" s="433"/>
      <c r="O27" s="597">
        <v>0</v>
      </c>
      <c r="P27" s="596">
        <f>F27</f>
        <v>0</v>
      </c>
      <c r="Q27" s="608">
        <v>0</v>
      </c>
      <c r="R27" s="433"/>
      <c r="S27" s="453">
        <f t="shared" si="0"/>
        <v>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x14ac:dyDescent="0.45">
      <c r="B28" s="924"/>
      <c r="C28" s="277"/>
      <c r="D28" s="341"/>
      <c r="E28" s="923"/>
      <c r="F28" s="269"/>
      <c r="G28" s="226"/>
      <c r="H28" s="226"/>
      <c r="I28" s="974"/>
      <c r="J28" s="475"/>
      <c r="K28" s="602"/>
      <c r="L28" s="433"/>
      <c r="M28" s="433">
        <f>E28*J18</f>
        <v>0</v>
      </c>
      <c r="N28" s="433"/>
      <c r="O28" s="597">
        <v>0</v>
      </c>
      <c r="P28" s="596">
        <f>F28</f>
        <v>0</v>
      </c>
      <c r="Q28" s="608"/>
      <c r="R28" s="433"/>
      <c r="S28" s="453">
        <f t="shared" si="0"/>
        <v>0</v>
      </c>
      <c r="T28" s="433"/>
      <c r="U28" s="753"/>
      <c r="V28" s="753"/>
      <c r="W28" s="753"/>
      <c r="X28" s="761"/>
      <c r="Y28" s="756"/>
      <c r="Z28" s="759"/>
      <c r="AA28" s="759"/>
      <c r="AB28" s="759"/>
      <c r="AC28" s="753"/>
      <c r="AD28" s="753"/>
      <c r="AE28" s="761"/>
      <c r="AF28" s="756"/>
      <c r="AG28" s="759"/>
      <c r="AH28" s="759"/>
      <c r="AI28" s="759"/>
      <c r="AJ28" s="753"/>
      <c r="AK28" s="753"/>
      <c r="AL28" s="761"/>
    </row>
    <row r="29" spans="2:38" ht="15.5" x14ac:dyDescent="0.45">
      <c r="B29" s="924"/>
      <c r="C29" s="277"/>
      <c r="D29" s="211"/>
      <c r="E29" s="267"/>
      <c r="F29" s="207" t="s">
        <v>6</v>
      </c>
      <c r="G29" s="208" t="s">
        <v>111</v>
      </c>
      <c r="H29" s="209"/>
      <c r="I29" s="966"/>
      <c r="J29" s="475"/>
      <c r="K29" s="602"/>
      <c r="L29" s="433"/>
      <c r="M29" s="433"/>
      <c r="N29" s="433"/>
      <c r="O29" s="597"/>
      <c r="P29" s="596"/>
      <c r="Q29" s="608"/>
      <c r="R29" s="433"/>
      <c r="S29" s="433"/>
      <c r="T29" s="433"/>
      <c r="U29" s="433"/>
      <c r="V29" s="433"/>
      <c r="W29" s="433"/>
      <c r="X29" s="659"/>
      <c r="Y29" s="661"/>
      <c r="Z29" s="433"/>
      <c r="AA29" s="433"/>
      <c r="AB29" s="433"/>
      <c r="AC29" s="433"/>
      <c r="AD29" s="433"/>
      <c r="AE29" s="644"/>
      <c r="AF29" s="661"/>
      <c r="AG29" s="433"/>
      <c r="AH29" s="433"/>
      <c r="AI29" s="433"/>
      <c r="AJ29" s="433"/>
      <c r="AK29" s="433"/>
      <c r="AL29" s="644"/>
    </row>
    <row r="30" spans="2:38" ht="15.5" x14ac:dyDescent="0.45">
      <c r="B30" s="924"/>
      <c r="C30" s="277"/>
      <c r="D30" s="211"/>
      <c r="E30" s="267"/>
      <c r="F30" s="207"/>
      <c r="G30" s="208"/>
      <c r="H30" s="209"/>
      <c r="I30" s="966"/>
      <c r="J30" s="475"/>
      <c r="K30" s="602"/>
      <c r="L30" s="433"/>
      <c r="M30" s="433"/>
      <c r="N30" s="433">
        <f>E30*J18</f>
        <v>0</v>
      </c>
      <c r="O30" s="597">
        <v>0</v>
      </c>
      <c r="P30" s="596">
        <v>0</v>
      </c>
      <c r="Q30" s="608"/>
      <c r="R30" s="433"/>
      <c r="S30" s="433"/>
      <c r="T30" s="453">
        <f>O30*Q30</f>
        <v>0</v>
      </c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ht="15.5" x14ac:dyDescent="0.45">
      <c r="B31" s="924"/>
      <c r="C31" s="277"/>
      <c r="D31" s="211"/>
      <c r="E31" s="267"/>
      <c r="F31" s="207" t="s">
        <v>112</v>
      </c>
      <c r="G31" s="208" t="s">
        <v>113</v>
      </c>
      <c r="H31" s="209"/>
      <c r="I31" s="966"/>
      <c r="J31" s="475"/>
      <c r="K31" s="602"/>
      <c r="L31" s="433"/>
      <c r="M31" s="433"/>
      <c r="N31" s="433"/>
      <c r="O31" s="433"/>
      <c r="P31" s="433"/>
      <c r="Q31" s="595"/>
      <c r="R31" s="433"/>
      <c r="S31" s="433"/>
      <c r="T31" s="433"/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ht="15.5" x14ac:dyDescent="0.45">
      <c r="B32" s="924"/>
      <c r="C32" s="277"/>
      <c r="D32" s="253"/>
      <c r="E32" s="275"/>
      <c r="F32" s="239" t="s">
        <v>114</v>
      </c>
      <c r="G32" s="257" t="s">
        <v>166</v>
      </c>
      <c r="H32" s="229"/>
      <c r="I32" s="980">
        <v>0.15</v>
      </c>
      <c r="J32" s="475"/>
      <c r="K32" s="602"/>
      <c r="L32" s="433"/>
      <c r="M32" s="433"/>
      <c r="N32" s="433"/>
      <c r="O32" s="433"/>
      <c r="P32" s="433"/>
      <c r="Q32" s="595"/>
      <c r="R32" s="433"/>
      <c r="S32" s="433"/>
      <c r="T32" s="433"/>
      <c r="U32" s="433"/>
      <c r="V32" s="433"/>
      <c r="W32" s="433"/>
      <c r="X32" s="659"/>
      <c r="Y32" s="661"/>
      <c r="Z32" s="433"/>
      <c r="AA32" s="433"/>
      <c r="AB32" s="433"/>
      <c r="AC32" s="433"/>
      <c r="AD32" s="433"/>
      <c r="AE32" s="644"/>
      <c r="AF32" s="661"/>
      <c r="AG32" s="433"/>
      <c r="AH32" s="433"/>
      <c r="AI32" s="433"/>
      <c r="AJ32" s="433"/>
      <c r="AK32" s="433"/>
      <c r="AL32" s="644"/>
    </row>
    <row r="33" spans="2:38" ht="16" thickBot="1" x14ac:dyDescent="0.5">
      <c r="B33" s="925"/>
      <c r="C33" s="831"/>
      <c r="D33" s="852"/>
      <c r="E33" s="911"/>
      <c r="F33" s="834" t="s">
        <v>115</v>
      </c>
      <c r="G33" s="816" t="s">
        <v>127</v>
      </c>
      <c r="H33" s="835"/>
      <c r="I33" s="981"/>
      <c r="J33" s="793"/>
      <c r="K33" s="763"/>
      <c r="L33" s="655"/>
      <c r="M33" s="655"/>
      <c r="N33" s="655"/>
      <c r="O33" s="655"/>
      <c r="P33" s="655"/>
      <c r="Q33" s="654"/>
      <c r="R33" s="655"/>
      <c r="S33" s="655"/>
      <c r="T33" s="655"/>
      <c r="U33" s="655"/>
      <c r="V33" s="655"/>
      <c r="W33" s="655"/>
      <c r="X33" s="660"/>
      <c r="Y33" s="662"/>
      <c r="Z33" s="655"/>
      <c r="AA33" s="655"/>
      <c r="AB33" s="655"/>
      <c r="AC33" s="655"/>
      <c r="AD33" s="655"/>
      <c r="AE33" s="656"/>
      <c r="AF33" s="662"/>
      <c r="AG33" s="655"/>
      <c r="AH33" s="655"/>
      <c r="AI33" s="655"/>
      <c r="AJ33" s="655"/>
      <c r="AK33" s="655"/>
      <c r="AL33" s="656"/>
    </row>
    <row r="34" spans="2:38" x14ac:dyDescent="0.45">
      <c r="D34" s="112"/>
      <c r="E34" s="195"/>
      <c r="G34" s="111"/>
      <c r="H34" s="111"/>
      <c r="I34" s="111"/>
      <c r="Z34" s="657"/>
      <c r="AA34" s="657"/>
      <c r="AB34" s="657"/>
      <c r="AC34" s="657"/>
      <c r="AD34" s="657"/>
      <c r="AE34" s="657"/>
      <c r="AG34" s="657"/>
      <c r="AH34" s="657"/>
      <c r="AI34" s="657"/>
      <c r="AJ34" s="657"/>
      <c r="AK34" s="657"/>
      <c r="AL34" s="657"/>
    </row>
    <row r="35" spans="2:38" ht="17" thickBot="1" x14ac:dyDescent="0.5">
      <c r="B35" s="749" t="s">
        <v>674</v>
      </c>
      <c r="C35" s="750" t="str">
        <f>RAP!B65</f>
        <v>Kuda-kuda baja IWF 150.75.5.7 + Meni</v>
      </c>
      <c r="D35" s="241"/>
      <c r="E35" s="241"/>
      <c r="F35" s="276"/>
      <c r="G35" s="240"/>
      <c r="H35" s="241"/>
      <c r="I35" s="241"/>
      <c r="J35" s="604"/>
      <c r="K35" s="603"/>
      <c r="L35" s="604"/>
      <c r="M35" s="604"/>
      <c r="N35" s="604"/>
      <c r="O35" s="604"/>
      <c r="P35" s="604"/>
      <c r="Q35" s="604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</row>
    <row r="36" spans="2:38" ht="19.5" customHeight="1" x14ac:dyDescent="0.45">
      <c r="B36" s="1168" t="s">
        <v>99</v>
      </c>
      <c r="C36" s="1171" t="s">
        <v>100</v>
      </c>
      <c r="D36" s="1171" t="s">
        <v>89</v>
      </c>
      <c r="E36" s="1171" t="s">
        <v>101</v>
      </c>
      <c r="F36" s="1171" t="s">
        <v>102</v>
      </c>
      <c r="G36" s="1109" t="s">
        <v>103</v>
      </c>
      <c r="H36" s="1110"/>
      <c r="I36" s="1175"/>
      <c r="J36" s="1152" t="s">
        <v>539</v>
      </c>
      <c r="K36" s="1152"/>
      <c r="L36" s="1152"/>
      <c r="M36" s="1152"/>
      <c r="N36" s="1152"/>
      <c r="O36" s="1152"/>
      <c r="P36" s="1152"/>
      <c r="Q36" s="1152"/>
      <c r="R36" s="1152"/>
      <c r="S36" s="1152"/>
      <c r="T36" s="1152"/>
      <c r="U36" s="1152"/>
      <c r="V36" s="1152"/>
      <c r="W36" s="1152"/>
      <c r="X36" s="1152"/>
      <c r="Y36" s="1153" t="s">
        <v>540</v>
      </c>
      <c r="Z36" s="1154"/>
      <c r="AA36" s="1154"/>
      <c r="AB36" s="1154"/>
      <c r="AC36" s="1154"/>
      <c r="AD36" s="1154"/>
      <c r="AE36" s="1155"/>
      <c r="AF36" s="1156" t="s">
        <v>541</v>
      </c>
      <c r="AG36" s="1157"/>
      <c r="AH36" s="1157"/>
      <c r="AI36" s="1157"/>
      <c r="AJ36" s="1157"/>
      <c r="AK36" s="1157"/>
      <c r="AL36" s="1158"/>
    </row>
    <row r="37" spans="2:38" ht="45" x14ac:dyDescent="0.45">
      <c r="B37" s="1169"/>
      <c r="C37" s="1089"/>
      <c r="D37" s="1089"/>
      <c r="E37" s="1089"/>
      <c r="F37" s="1089"/>
      <c r="G37" s="1026"/>
      <c r="H37" s="1027"/>
      <c r="I37" s="1176"/>
      <c r="J37" s="1173" t="s">
        <v>15</v>
      </c>
      <c r="K37" s="673" t="s">
        <v>493</v>
      </c>
      <c r="L37" s="1161" t="s">
        <v>491</v>
      </c>
      <c r="M37" s="1162"/>
      <c r="N37" s="1162"/>
      <c r="O37" s="1162"/>
      <c r="P37" s="1163"/>
      <c r="Q37" s="674" t="s">
        <v>533</v>
      </c>
      <c r="R37" s="1161" t="s">
        <v>501</v>
      </c>
      <c r="S37" s="1162"/>
      <c r="T37" s="1163"/>
      <c r="U37" s="674" t="s">
        <v>530</v>
      </c>
      <c r="V37" s="674" t="s">
        <v>531</v>
      </c>
      <c r="W37" s="674" t="s">
        <v>578</v>
      </c>
      <c r="X37" s="681" t="s">
        <v>579</v>
      </c>
      <c r="Y37" s="1164" t="s">
        <v>534</v>
      </c>
      <c r="Z37" s="1165"/>
      <c r="AA37" s="663" t="s">
        <v>537</v>
      </c>
      <c r="AB37" s="664" t="s">
        <v>538</v>
      </c>
      <c r="AC37" s="665" t="s">
        <v>530</v>
      </c>
      <c r="AD37" s="665" t="s">
        <v>578</v>
      </c>
      <c r="AE37" s="682" t="s">
        <v>579</v>
      </c>
      <c r="AF37" s="1166" t="s">
        <v>542</v>
      </c>
      <c r="AG37" s="1167"/>
      <c r="AH37" s="737" t="s">
        <v>543</v>
      </c>
      <c r="AI37" s="738" t="s">
        <v>544</v>
      </c>
      <c r="AJ37" s="739" t="s">
        <v>530</v>
      </c>
      <c r="AK37" s="739" t="s">
        <v>578</v>
      </c>
      <c r="AL37" s="740" t="s">
        <v>579</v>
      </c>
    </row>
    <row r="38" spans="2:38" ht="30" x14ac:dyDescent="0.45">
      <c r="B38" s="1170"/>
      <c r="C38" s="1090"/>
      <c r="D38" s="1090"/>
      <c r="E38" s="1090"/>
      <c r="F38" s="1090"/>
      <c r="G38" s="1085"/>
      <c r="H38" s="1086"/>
      <c r="I38" s="1177"/>
      <c r="J38" s="1174"/>
      <c r="K38" s="675" t="s">
        <v>495</v>
      </c>
      <c r="L38" s="676" t="s">
        <v>524</v>
      </c>
      <c r="M38" s="676" t="s">
        <v>525</v>
      </c>
      <c r="N38" s="676" t="s">
        <v>526</v>
      </c>
      <c r="O38" s="675" t="s">
        <v>517</v>
      </c>
      <c r="P38" s="675" t="s">
        <v>290</v>
      </c>
      <c r="Q38" s="675" t="s">
        <v>532</v>
      </c>
      <c r="R38" s="676" t="s">
        <v>527</v>
      </c>
      <c r="S38" s="676" t="s">
        <v>528</v>
      </c>
      <c r="T38" s="677" t="s">
        <v>529</v>
      </c>
      <c r="U38" s="675" t="s">
        <v>502</v>
      </c>
      <c r="V38" s="675" t="s">
        <v>502</v>
      </c>
      <c r="W38" s="675" t="s">
        <v>502</v>
      </c>
      <c r="X38" s="678" t="s">
        <v>504</v>
      </c>
      <c r="Y38" s="666" t="s">
        <v>535</v>
      </c>
      <c r="Z38" s="667" t="s">
        <v>536</v>
      </c>
      <c r="AA38" s="668" t="s">
        <v>532</v>
      </c>
      <c r="AB38" s="668" t="s">
        <v>532</v>
      </c>
      <c r="AC38" s="668" t="s">
        <v>532</v>
      </c>
      <c r="AD38" s="668" t="s">
        <v>532</v>
      </c>
      <c r="AE38" s="669" t="s">
        <v>532</v>
      </c>
      <c r="AF38" s="741" t="s">
        <v>535</v>
      </c>
      <c r="AG38" s="742" t="s">
        <v>536</v>
      </c>
      <c r="AH38" s="743" t="s">
        <v>532</v>
      </c>
      <c r="AI38" s="743" t="s">
        <v>532</v>
      </c>
      <c r="AJ38" s="743" t="s">
        <v>532</v>
      </c>
      <c r="AK38" s="743" t="s">
        <v>532</v>
      </c>
      <c r="AL38" s="744" t="s">
        <v>532</v>
      </c>
    </row>
    <row r="39" spans="2:38" ht="30" x14ac:dyDescent="0.45">
      <c r="B39" s="639" t="s">
        <v>4</v>
      </c>
      <c r="C39" s="600" t="s">
        <v>5</v>
      </c>
      <c r="D39" s="570" t="s">
        <v>6</v>
      </c>
      <c r="E39" s="570" t="s">
        <v>112</v>
      </c>
      <c r="F39" s="570" t="s">
        <v>114</v>
      </c>
      <c r="G39" s="1014" t="s">
        <v>115</v>
      </c>
      <c r="H39" s="1014"/>
      <c r="I39" s="1172"/>
      <c r="J39" s="791" t="s">
        <v>21</v>
      </c>
      <c r="K39" s="675" t="s">
        <v>496</v>
      </c>
      <c r="L39" s="675" t="s">
        <v>497</v>
      </c>
      <c r="M39" s="675" t="s">
        <v>498</v>
      </c>
      <c r="N39" s="675" t="s">
        <v>499</v>
      </c>
      <c r="O39" s="676" t="s">
        <v>552</v>
      </c>
      <c r="P39" s="675" t="s">
        <v>512</v>
      </c>
      <c r="Q39" s="675" t="s">
        <v>503</v>
      </c>
      <c r="R39" s="675" t="s">
        <v>553</v>
      </c>
      <c r="S39" s="675" t="s">
        <v>513</v>
      </c>
      <c r="T39" s="675" t="s">
        <v>514</v>
      </c>
      <c r="U39" s="675" t="s">
        <v>554</v>
      </c>
      <c r="V39" s="675" t="s">
        <v>515</v>
      </c>
      <c r="W39" s="675" t="s">
        <v>555</v>
      </c>
      <c r="X39" s="678" t="s">
        <v>516</v>
      </c>
      <c r="Y39" s="670" t="s">
        <v>556</v>
      </c>
      <c r="Z39" s="671" t="s">
        <v>557</v>
      </c>
      <c r="AA39" s="671" t="s">
        <v>558</v>
      </c>
      <c r="AB39" s="671" t="s">
        <v>559</v>
      </c>
      <c r="AC39" s="671" t="s">
        <v>560</v>
      </c>
      <c r="AD39" s="671" t="s">
        <v>561</v>
      </c>
      <c r="AE39" s="672" t="s">
        <v>562</v>
      </c>
      <c r="AF39" s="745" t="s">
        <v>563</v>
      </c>
      <c r="AG39" s="746" t="s">
        <v>564</v>
      </c>
      <c r="AH39" s="746" t="s">
        <v>565</v>
      </c>
      <c r="AI39" s="746" t="s">
        <v>566</v>
      </c>
      <c r="AJ39" s="746" t="s">
        <v>567</v>
      </c>
      <c r="AK39" s="746" t="s">
        <v>568</v>
      </c>
      <c r="AL39" s="747" t="s">
        <v>569</v>
      </c>
    </row>
    <row r="40" spans="2:38" x14ac:dyDescent="0.45">
      <c r="B40" s="926">
        <v>30</v>
      </c>
      <c r="C40" s="546" t="s">
        <v>37</v>
      </c>
      <c r="D40" s="547"/>
      <c r="E40" s="548">
        <v>1</v>
      </c>
      <c r="F40" s="548" t="s">
        <v>39</v>
      </c>
      <c r="G40" s="549" t="s">
        <v>157</v>
      </c>
      <c r="H40" s="550"/>
      <c r="I40" s="993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90"/>
    </row>
    <row r="41" spans="2:38" x14ac:dyDescent="0.45">
      <c r="B41" s="927"/>
      <c r="C41" s="277"/>
      <c r="D41" s="344"/>
      <c r="E41" s="284"/>
      <c r="F41" s="207" t="s">
        <v>4</v>
      </c>
      <c r="G41" s="231" t="s">
        <v>120</v>
      </c>
      <c r="H41" s="209"/>
      <c r="I41" s="966"/>
      <c r="J41" s="792">
        <f>RAP!E65</f>
        <v>880.32</v>
      </c>
      <c r="K41" s="601">
        <v>4</v>
      </c>
      <c r="L41" s="319"/>
      <c r="M41" s="319"/>
      <c r="N41" s="319"/>
      <c r="O41" s="598"/>
      <c r="P41" s="598"/>
      <c r="Q41" s="605"/>
      <c r="R41" s="485"/>
      <c r="S41" s="485"/>
      <c r="T41" s="485"/>
      <c r="U41" s="752">
        <f>SUM(R41:R56)+(SUM(S41:S56)+SUM(T41:T56))</f>
        <v>22022500</v>
      </c>
      <c r="V41" s="754">
        <f>RAP!H65</f>
        <v>25486364.399999999</v>
      </c>
      <c r="W41" s="752">
        <f>V41-U41</f>
        <v>3463864.3999999985</v>
      </c>
      <c r="X41" s="760">
        <f>W41/V41*100</f>
        <v>13.591049494685867</v>
      </c>
      <c r="Y41" s="755">
        <f>SUM(R41:R56)/J41</f>
        <v>10632.497273718647</v>
      </c>
      <c r="Z41" s="757">
        <v>9000</v>
      </c>
      <c r="AA41" s="758">
        <f>J41*Z41</f>
        <v>7922880</v>
      </c>
      <c r="AB41" s="758">
        <f>SUM(S41:S56)+SUM(T41:T56)</f>
        <v>12662500</v>
      </c>
      <c r="AC41" s="752">
        <f>AA41+AB41</f>
        <v>20585380</v>
      </c>
      <c r="AD41" s="752">
        <f>V41-AC41</f>
        <v>4900984.3999999985</v>
      </c>
      <c r="AE41" s="760">
        <f>AD41/V41*100</f>
        <v>19.229829422041846</v>
      </c>
      <c r="AF41" s="755">
        <f>(SUM(R41:R56)+SUM(S41:S56))/J41</f>
        <v>25016.471283169754</v>
      </c>
      <c r="AG41" s="757">
        <v>25000</v>
      </c>
      <c r="AH41" s="758">
        <f>AG41*J41</f>
        <v>22008000</v>
      </c>
      <c r="AI41" s="758">
        <f>SUM(T41:T56)</f>
        <v>0</v>
      </c>
      <c r="AJ41" s="752">
        <f>AH41+AI41</f>
        <v>22008000</v>
      </c>
      <c r="AK41" s="752">
        <f>V41-AJ41</f>
        <v>3478364.3999999985</v>
      </c>
      <c r="AL41" s="760">
        <f>AK41/V41*100</f>
        <v>13.647942662233921</v>
      </c>
    </row>
    <row r="42" spans="2:38" ht="15.5" x14ac:dyDescent="0.45">
      <c r="B42" s="924"/>
      <c r="C42" s="277"/>
      <c r="D42" s="279" t="s">
        <v>107</v>
      </c>
      <c r="E42" s="397">
        <v>0.06</v>
      </c>
      <c r="F42" s="211" t="s">
        <v>108</v>
      </c>
      <c r="G42" s="209" t="s">
        <v>51</v>
      </c>
      <c r="H42" s="209"/>
      <c r="I42" s="966"/>
      <c r="J42" s="475"/>
      <c r="K42" s="602"/>
      <c r="L42" s="433">
        <f>E42*J41/K41</f>
        <v>13.204800000000001</v>
      </c>
      <c r="M42" s="433"/>
      <c r="N42" s="433"/>
      <c r="O42" s="597">
        <v>14</v>
      </c>
      <c r="P42" s="596" t="str">
        <f>F42</f>
        <v>OH</v>
      </c>
      <c r="Q42" s="608">
        <f>'Analisa Upah RAP'!G5</f>
        <v>75000</v>
      </c>
      <c r="R42" s="453">
        <f>O42*Q42*K41</f>
        <v>4200000</v>
      </c>
      <c r="S42" s="453"/>
      <c r="T42" s="453"/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ht="15.5" x14ac:dyDescent="0.45">
      <c r="B43" s="924"/>
      <c r="C43" s="277"/>
      <c r="D43" s="279" t="s">
        <v>121</v>
      </c>
      <c r="E43" s="397">
        <v>0.06</v>
      </c>
      <c r="F43" s="211" t="s">
        <v>108</v>
      </c>
      <c r="G43" s="209" t="s">
        <v>58</v>
      </c>
      <c r="H43" s="209"/>
      <c r="I43" s="966"/>
      <c r="J43" s="475"/>
      <c r="K43" s="602"/>
      <c r="L43" s="433">
        <f>E43*J41/K41</f>
        <v>13.204800000000001</v>
      </c>
      <c r="M43" s="433"/>
      <c r="N43" s="433"/>
      <c r="O43" s="597">
        <v>14</v>
      </c>
      <c r="P43" s="596" t="str">
        <f>F43</f>
        <v>OH</v>
      </c>
      <c r="Q43" s="608">
        <f>'Analisa Upah RAP'!G8</f>
        <v>85000</v>
      </c>
      <c r="R43" s="453">
        <f>O43*Q43*K41</f>
        <v>4760000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ht="15.5" x14ac:dyDescent="0.45">
      <c r="B44" s="924"/>
      <c r="C44" s="277"/>
      <c r="D44" s="279" t="s">
        <v>122</v>
      </c>
      <c r="E44" s="399">
        <v>6.0000000000000001E-3</v>
      </c>
      <c r="F44" s="211" t="s">
        <v>108</v>
      </c>
      <c r="G44" s="209" t="s">
        <v>123</v>
      </c>
      <c r="H44" s="209"/>
      <c r="I44" s="966"/>
      <c r="J44" s="475"/>
      <c r="K44" s="602"/>
      <c r="L44" s="433">
        <f>E44*J41/K41</f>
        <v>1.3204800000000001</v>
      </c>
      <c r="M44" s="433"/>
      <c r="N44" s="433"/>
      <c r="O44" s="597">
        <v>0</v>
      </c>
      <c r="P44" s="596" t="str">
        <f>F44</f>
        <v>OH</v>
      </c>
      <c r="Q44" s="608">
        <f>'Analisa Upah RAP'!G11</f>
        <v>90000</v>
      </c>
      <c r="R44" s="453">
        <f>O44*Q44*K41</f>
        <v>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ht="15.5" x14ac:dyDescent="0.45">
      <c r="B45" s="924"/>
      <c r="C45" s="277"/>
      <c r="D45" s="343" t="s">
        <v>109</v>
      </c>
      <c r="E45" s="400">
        <v>3.0000000000000001E-3</v>
      </c>
      <c r="F45" s="253" t="s">
        <v>108</v>
      </c>
      <c r="G45" s="229" t="s">
        <v>52</v>
      </c>
      <c r="H45" s="229"/>
      <c r="I45" s="967"/>
      <c r="J45" s="475"/>
      <c r="K45" s="602"/>
      <c r="L45" s="433">
        <f>E45*J41/K41</f>
        <v>0.66024000000000005</v>
      </c>
      <c r="M45" s="433"/>
      <c r="N45" s="433"/>
      <c r="O45" s="597">
        <v>1</v>
      </c>
      <c r="P45" s="596" t="str">
        <f>F45</f>
        <v>OH</v>
      </c>
      <c r="Q45" s="608">
        <f>'Analisa Upah RAP'!G12</f>
        <v>100000</v>
      </c>
      <c r="R45" s="453">
        <f>O45*Q45*K41</f>
        <v>400000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x14ac:dyDescent="0.45">
      <c r="B46" s="924"/>
      <c r="C46" s="277"/>
      <c r="D46" s="344"/>
      <c r="E46" s="352"/>
      <c r="F46" s="207" t="s">
        <v>5</v>
      </c>
      <c r="G46" s="231" t="s">
        <v>124</v>
      </c>
      <c r="H46" s="209"/>
      <c r="I46" s="966"/>
      <c r="J46" s="475"/>
      <c r="K46" s="602"/>
      <c r="L46" s="433"/>
      <c r="M46" s="433"/>
      <c r="N46" s="433"/>
      <c r="O46" s="597"/>
      <c r="P46" s="596"/>
      <c r="Q46" s="608"/>
      <c r="R46" s="453"/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x14ac:dyDescent="0.45">
      <c r="B47" s="924"/>
      <c r="C47" s="277"/>
      <c r="D47" s="341"/>
      <c r="E47" s="402">
        <v>1.1499999999999999</v>
      </c>
      <c r="F47" s="269" t="s">
        <v>66</v>
      </c>
      <c r="G47" s="226" t="s">
        <v>158</v>
      </c>
      <c r="H47" s="226"/>
      <c r="I47" s="974"/>
      <c r="J47" s="475"/>
      <c r="K47" s="602"/>
      <c r="L47" s="433"/>
      <c r="M47" s="433">
        <f>E47*J41</f>
        <v>1012.3679999999999</v>
      </c>
      <c r="N47" s="433"/>
      <c r="O47" s="597">
        <v>1013</v>
      </c>
      <c r="P47" s="596" t="str">
        <f>F47</f>
        <v>kg</v>
      </c>
      <c r="Q47" s="608">
        <f>'Harga Bahan RAP'!G50</f>
        <v>12500</v>
      </c>
      <c r="R47" s="453"/>
      <c r="S47" s="453">
        <f>O47*Q47</f>
        <v>12662500</v>
      </c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x14ac:dyDescent="0.45">
      <c r="B48" s="924"/>
      <c r="C48" s="277"/>
      <c r="D48" s="341"/>
      <c r="E48" s="397"/>
      <c r="F48" s="269"/>
      <c r="G48" s="226"/>
      <c r="H48" s="226"/>
      <c r="I48" s="974"/>
      <c r="J48" s="475"/>
      <c r="K48" s="602"/>
      <c r="L48" s="433"/>
      <c r="M48" s="433">
        <f>E48*J41</f>
        <v>0</v>
      </c>
      <c r="N48" s="433"/>
      <c r="O48" s="597">
        <v>0</v>
      </c>
      <c r="P48" s="596">
        <f>F48</f>
        <v>0</v>
      </c>
      <c r="Q48" s="608">
        <v>0</v>
      </c>
      <c r="R48" s="433"/>
      <c r="S48" s="453">
        <f t="shared" ref="S48:S51" si="1">O48*Q48</f>
        <v>0</v>
      </c>
      <c r="T48" s="43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x14ac:dyDescent="0.45">
      <c r="B49" s="924"/>
      <c r="C49" s="277"/>
      <c r="D49" s="341"/>
      <c r="E49" s="402"/>
      <c r="F49" s="269"/>
      <c r="G49" s="226"/>
      <c r="H49" s="226"/>
      <c r="I49" s="974"/>
      <c r="J49" s="475"/>
      <c r="K49" s="602"/>
      <c r="L49" s="433"/>
      <c r="M49" s="433">
        <f>E49*J41</f>
        <v>0</v>
      </c>
      <c r="N49" s="433"/>
      <c r="O49" s="597">
        <v>0</v>
      </c>
      <c r="P49" s="596">
        <f>F49</f>
        <v>0</v>
      </c>
      <c r="Q49" s="608">
        <v>0</v>
      </c>
      <c r="R49" s="433"/>
      <c r="S49" s="453">
        <f t="shared" si="1"/>
        <v>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x14ac:dyDescent="0.45">
      <c r="B50" s="924"/>
      <c r="C50" s="277"/>
      <c r="D50" s="341"/>
      <c r="E50" s="402"/>
      <c r="F50" s="269"/>
      <c r="G50" s="226"/>
      <c r="H50" s="226"/>
      <c r="I50" s="974"/>
      <c r="J50" s="475"/>
      <c r="K50" s="602"/>
      <c r="L50" s="433"/>
      <c r="M50" s="433">
        <f>E50*J41</f>
        <v>0</v>
      </c>
      <c r="N50" s="433"/>
      <c r="O50" s="597">
        <v>0</v>
      </c>
      <c r="P50" s="596">
        <f>F50</f>
        <v>0</v>
      </c>
      <c r="Q50" s="608">
        <v>0</v>
      </c>
      <c r="R50" s="433"/>
      <c r="S50" s="453">
        <f t="shared" si="1"/>
        <v>0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x14ac:dyDescent="0.45">
      <c r="B51" s="924"/>
      <c r="C51" s="277"/>
      <c r="D51" s="341"/>
      <c r="E51" s="402"/>
      <c r="F51" s="269"/>
      <c r="G51" s="226"/>
      <c r="H51" s="226"/>
      <c r="I51" s="974"/>
      <c r="J51" s="475"/>
      <c r="K51" s="602"/>
      <c r="L51" s="433"/>
      <c r="M51" s="433">
        <f>E51*J41</f>
        <v>0</v>
      </c>
      <c r="N51" s="433"/>
      <c r="O51" s="597">
        <v>0</v>
      </c>
      <c r="P51" s="596">
        <f>F51</f>
        <v>0</v>
      </c>
      <c r="Q51" s="608"/>
      <c r="R51" s="433"/>
      <c r="S51" s="453">
        <f t="shared" si="1"/>
        <v>0</v>
      </c>
      <c r="T51" s="433"/>
      <c r="U51" s="753"/>
      <c r="V51" s="753"/>
      <c r="W51" s="753"/>
      <c r="X51" s="761"/>
      <c r="Y51" s="756"/>
      <c r="Z51" s="759"/>
      <c r="AA51" s="759"/>
      <c r="AB51" s="759"/>
      <c r="AC51" s="753"/>
      <c r="AD51" s="753"/>
      <c r="AE51" s="761"/>
      <c r="AF51" s="756"/>
      <c r="AG51" s="759"/>
      <c r="AH51" s="759"/>
      <c r="AI51" s="759"/>
      <c r="AJ51" s="753"/>
      <c r="AK51" s="753"/>
      <c r="AL51" s="761"/>
    </row>
    <row r="52" spans="2:38" ht="15.5" x14ac:dyDescent="0.45">
      <c r="B52" s="924"/>
      <c r="C52" s="277"/>
      <c r="D52" s="211"/>
      <c r="E52" s="267"/>
      <c r="F52" s="207" t="s">
        <v>6</v>
      </c>
      <c r="G52" s="208" t="s">
        <v>111</v>
      </c>
      <c r="H52" s="209"/>
      <c r="I52" s="966"/>
      <c r="J52" s="475"/>
      <c r="K52" s="602"/>
      <c r="L52" s="433"/>
      <c r="M52" s="433"/>
      <c r="N52" s="433"/>
      <c r="O52" s="597"/>
      <c r="P52" s="596"/>
      <c r="Q52" s="608"/>
      <c r="R52" s="433"/>
      <c r="S52" s="433"/>
      <c r="T52" s="433"/>
      <c r="U52" s="433"/>
      <c r="V52" s="433"/>
      <c r="W52" s="433"/>
      <c r="X52" s="659"/>
      <c r="Y52" s="661"/>
      <c r="Z52" s="433"/>
      <c r="AA52" s="433"/>
      <c r="AB52" s="433"/>
      <c r="AC52" s="433"/>
      <c r="AD52" s="433"/>
      <c r="AE52" s="644"/>
      <c r="AF52" s="661"/>
      <c r="AG52" s="433"/>
      <c r="AH52" s="433"/>
      <c r="AI52" s="433"/>
      <c r="AJ52" s="433"/>
      <c r="AK52" s="433"/>
      <c r="AL52" s="644"/>
    </row>
    <row r="53" spans="2:38" ht="15.5" x14ac:dyDescent="0.45">
      <c r="B53" s="924"/>
      <c r="C53" s="277"/>
      <c r="D53" s="211"/>
      <c r="E53" s="267"/>
      <c r="F53" s="207"/>
      <c r="G53" s="208"/>
      <c r="H53" s="209"/>
      <c r="I53" s="966"/>
      <c r="J53" s="475"/>
      <c r="K53" s="602"/>
      <c r="L53" s="433"/>
      <c r="M53" s="433"/>
      <c r="N53" s="433">
        <f>E53*J41</f>
        <v>0</v>
      </c>
      <c r="O53" s="597">
        <v>0</v>
      </c>
      <c r="P53" s="596">
        <v>0</v>
      </c>
      <c r="Q53" s="608"/>
      <c r="R53" s="433"/>
      <c r="S53" s="433"/>
      <c r="T53" s="453">
        <f>O53*Q53</f>
        <v>0</v>
      </c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ht="15.5" x14ac:dyDescent="0.45">
      <c r="B54" s="924"/>
      <c r="C54" s="277"/>
      <c r="D54" s="211"/>
      <c r="E54" s="267"/>
      <c r="F54" s="207" t="s">
        <v>112</v>
      </c>
      <c r="G54" s="208" t="s">
        <v>113</v>
      </c>
      <c r="H54" s="209"/>
      <c r="I54" s="966"/>
      <c r="J54" s="475"/>
      <c r="K54" s="602"/>
      <c r="L54" s="433"/>
      <c r="M54" s="433"/>
      <c r="N54" s="433"/>
      <c r="O54" s="433"/>
      <c r="P54" s="433"/>
      <c r="Q54" s="595"/>
      <c r="R54" s="433"/>
      <c r="S54" s="433"/>
      <c r="T54" s="433"/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ht="15.5" x14ac:dyDescent="0.45">
      <c r="B55" s="924"/>
      <c r="C55" s="277"/>
      <c r="D55" s="253"/>
      <c r="E55" s="275"/>
      <c r="F55" s="239" t="s">
        <v>114</v>
      </c>
      <c r="G55" s="257" t="str">
        <f>G32</f>
        <v>Overhead &amp; Profit</v>
      </c>
      <c r="H55" s="229"/>
      <c r="I55" s="980">
        <v>0.15</v>
      </c>
      <c r="J55" s="475"/>
      <c r="K55" s="602"/>
      <c r="L55" s="433"/>
      <c r="M55" s="433"/>
      <c r="N55" s="433"/>
      <c r="O55" s="433"/>
      <c r="P55" s="433"/>
      <c r="Q55" s="595"/>
      <c r="R55" s="433"/>
      <c r="S55" s="433"/>
      <c r="T55" s="433"/>
      <c r="U55" s="433"/>
      <c r="V55" s="433"/>
      <c r="W55" s="433"/>
      <c r="X55" s="659"/>
      <c r="Y55" s="661"/>
      <c r="Z55" s="433"/>
      <c r="AA55" s="433"/>
      <c r="AB55" s="433"/>
      <c r="AC55" s="433"/>
      <c r="AD55" s="433"/>
      <c r="AE55" s="644"/>
      <c r="AF55" s="661"/>
      <c r="AG55" s="433"/>
      <c r="AH55" s="433"/>
      <c r="AI55" s="433"/>
      <c r="AJ55" s="433"/>
      <c r="AK55" s="433"/>
      <c r="AL55" s="644"/>
    </row>
    <row r="56" spans="2:38" ht="16" thickBot="1" x14ac:dyDescent="0.5">
      <c r="B56" s="925"/>
      <c r="C56" s="831"/>
      <c r="D56" s="852"/>
      <c r="E56" s="911"/>
      <c r="F56" s="834" t="s">
        <v>115</v>
      </c>
      <c r="G56" s="816" t="s">
        <v>127</v>
      </c>
      <c r="H56" s="835"/>
      <c r="I56" s="981"/>
      <c r="J56" s="793"/>
      <c r="K56" s="763"/>
      <c r="L56" s="655"/>
      <c r="M56" s="655"/>
      <c r="N56" s="655"/>
      <c r="O56" s="655"/>
      <c r="P56" s="655"/>
      <c r="Q56" s="654"/>
      <c r="R56" s="655"/>
      <c r="S56" s="655"/>
      <c r="T56" s="655"/>
      <c r="U56" s="655"/>
      <c r="V56" s="655"/>
      <c r="W56" s="655"/>
      <c r="X56" s="660"/>
      <c r="Y56" s="662"/>
      <c r="Z56" s="655"/>
      <c r="AA56" s="655"/>
      <c r="AB56" s="655"/>
      <c r="AC56" s="655"/>
      <c r="AD56" s="655"/>
      <c r="AE56" s="656"/>
      <c r="AF56" s="662"/>
      <c r="AG56" s="655"/>
      <c r="AH56" s="655"/>
      <c r="AI56" s="655"/>
      <c r="AJ56" s="655"/>
      <c r="AK56" s="655"/>
      <c r="AL56" s="656"/>
    </row>
    <row r="57" spans="2:38" x14ac:dyDescent="0.45">
      <c r="D57" s="112"/>
      <c r="E57" s="195"/>
      <c r="G57" s="111"/>
      <c r="H57" s="111"/>
      <c r="I57" s="111"/>
      <c r="Z57" s="657"/>
      <c r="AA57" s="657"/>
      <c r="AB57" s="657"/>
      <c r="AC57" s="657"/>
      <c r="AD57" s="657"/>
      <c r="AE57" s="657"/>
      <c r="AG57" s="657"/>
      <c r="AH57" s="657"/>
      <c r="AI57" s="657"/>
      <c r="AJ57" s="657"/>
      <c r="AK57" s="657"/>
      <c r="AL57" s="657"/>
    </row>
    <row r="58" spans="2:38" ht="17" thickBot="1" x14ac:dyDescent="0.5">
      <c r="B58" s="749" t="s">
        <v>676</v>
      </c>
      <c r="C58" s="750" t="str">
        <f>RAP!B67</f>
        <v>Memasang Atap Galvalum gelombang 35 warna</v>
      </c>
      <c r="D58" s="241"/>
      <c r="E58" s="241"/>
      <c r="F58" s="276"/>
      <c r="G58" s="240"/>
      <c r="H58" s="241"/>
      <c r="I58" s="241"/>
      <c r="J58" s="604"/>
      <c r="K58" s="603"/>
      <c r="L58" s="604"/>
      <c r="M58" s="604"/>
      <c r="N58" s="604"/>
      <c r="O58" s="604"/>
      <c r="P58" s="604"/>
      <c r="Q58" s="604"/>
      <c r="R58" s="609"/>
      <c r="S58" s="609"/>
      <c r="T58" s="609"/>
      <c r="U58" s="609"/>
      <c r="V58" s="609"/>
      <c r="W58" s="609"/>
      <c r="X58" s="609"/>
      <c r="Y58" s="609"/>
      <c r="Z58" s="609"/>
      <c r="AA58" s="609"/>
      <c r="AB58" s="609"/>
      <c r="AC58" s="609"/>
      <c r="AD58" s="609"/>
      <c r="AE58" s="609"/>
      <c r="AF58" s="609"/>
      <c r="AG58" s="609"/>
      <c r="AH58" s="609"/>
      <c r="AI58" s="609"/>
      <c r="AJ58" s="609"/>
      <c r="AK58" s="609"/>
      <c r="AL58" s="609"/>
    </row>
    <row r="59" spans="2:38" ht="19.5" customHeight="1" x14ac:dyDescent="0.45">
      <c r="B59" s="1168" t="s">
        <v>99</v>
      </c>
      <c r="C59" s="1171" t="s">
        <v>100</v>
      </c>
      <c r="D59" s="1171" t="s">
        <v>89</v>
      </c>
      <c r="E59" s="1171" t="s">
        <v>101</v>
      </c>
      <c r="F59" s="1171" t="s">
        <v>102</v>
      </c>
      <c r="G59" s="1109" t="s">
        <v>103</v>
      </c>
      <c r="H59" s="1110"/>
      <c r="I59" s="1175"/>
      <c r="J59" s="1152" t="s">
        <v>539</v>
      </c>
      <c r="K59" s="1152"/>
      <c r="L59" s="1152"/>
      <c r="M59" s="1152"/>
      <c r="N59" s="1152"/>
      <c r="O59" s="1152"/>
      <c r="P59" s="1152"/>
      <c r="Q59" s="1152"/>
      <c r="R59" s="1152"/>
      <c r="S59" s="1152"/>
      <c r="T59" s="1152"/>
      <c r="U59" s="1152"/>
      <c r="V59" s="1152"/>
      <c r="W59" s="1152"/>
      <c r="X59" s="1152"/>
      <c r="Y59" s="1153" t="s">
        <v>540</v>
      </c>
      <c r="Z59" s="1154"/>
      <c r="AA59" s="1154"/>
      <c r="AB59" s="1154"/>
      <c r="AC59" s="1154"/>
      <c r="AD59" s="1154"/>
      <c r="AE59" s="1155"/>
      <c r="AF59" s="1156" t="s">
        <v>541</v>
      </c>
      <c r="AG59" s="1157"/>
      <c r="AH59" s="1157"/>
      <c r="AI59" s="1157"/>
      <c r="AJ59" s="1157"/>
      <c r="AK59" s="1157"/>
      <c r="AL59" s="1158"/>
    </row>
    <row r="60" spans="2:38" ht="45" x14ac:dyDescent="0.45">
      <c r="B60" s="1169"/>
      <c r="C60" s="1089"/>
      <c r="D60" s="1089"/>
      <c r="E60" s="1089"/>
      <c r="F60" s="1089"/>
      <c r="G60" s="1026"/>
      <c r="H60" s="1027"/>
      <c r="I60" s="1176"/>
      <c r="J60" s="1173" t="s">
        <v>15</v>
      </c>
      <c r="K60" s="673" t="s">
        <v>493</v>
      </c>
      <c r="L60" s="1161" t="s">
        <v>491</v>
      </c>
      <c r="M60" s="1162"/>
      <c r="N60" s="1162"/>
      <c r="O60" s="1162"/>
      <c r="P60" s="1163"/>
      <c r="Q60" s="674" t="s">
        <v>533</v>
      </c>
      <c r="R60" s="1161" t="s">
        <v>501</v>
      </c>
      <c r="S60" s="1162"/>
      <c r="T60" s="1163"/>
      <c r="U60" s="674" t="s">
        <v>530</v>
      </c>
      <c r="V60" s="674" t="s">
        <v>531</v>
      </c>
      <c r="W60" s="674" t="s">
        <v>578</v>
      </c>
      <c r="X60" s="681" t="s">
        <v>579</v>
      </c>
      <c r="Y60" s="1164" t="s">
        <v>534</v>
      </c>
      <c r="Z60" s="1165"/>
      <c r="AA60" s="663" t="s">
        <v>537</v>
      </c>
      <c r="AB60" s="664" t="s">
        <v>538</v>
      </c>
      <c r="AC60" s="665" t="s">
        <v>530</v>
      </c>
      <c r="AD60" s="665" t="s">
        <v>578</v>
      </c>
      <c r="AE60" s="682" t="s">
        <v>579</v>
      </c>
      <c r="AF60" s="1166" t="s">
        <v>542</v>
      </c>
      <c r="AG60" s="1167"/>
      <c r="AH60" s="737" t="s">
        <v>543</v>
      </c>
      <c r="AI60" s="738" t="s">
        <v>544</v>
      </c>
      <c r="AJ60" s="739" t="s">
        <v>530</v>
      </c>
      <c r="AK60" s="739" t="s">
        <v>578</v>
      </c>
      <c r="AL60" s="740" t="s">
        <v>579</v>
      </c>
    </row>
    <row r="61" spans="2:38" ht="30" x14ac:dyDescent="0.45">
      <c r="B61" s="1170"/>
      <c r="C61" s="1090"/>
      <c r="D61" s="1090"/>
      <c r="E61" s="1090"/>
      <c r="F61" s="1090"/>
      <c r="G61" s="1085"/>
      <c r="H61" s="1086"/>
      <c r="I61" s="1177"/>
      <c r="J61" s="1174"/>
      <c r="K61" s="675" t="s">
        <v>495</v>
      </c>
      <c r="L61" s="676" t="s">
        <v>524</v>
      </c>
      <c r="M61" s="676" t="s">
        <v>525</v>
      </c>
      <c r="N61" s="676" t="s">
        <v>526</v>
      </c>
      <c r="O61" s="675" t="s">
        <v>517</v>
      </c>
      <c r="P61" s="675" t="s">
        <v>290</v>
      </c>
      <c r="Q61" s="675" t="s">
        <v>532</v>
      </c>
      <c r="R61" s="676" t="s">
        <v>527</v>
      </c>
      <c r="S61" s="676" t="s">
        <v>528</v>
      </c>
      <c r="T61" s="677" t="s">
        <v>529</v>
      </c>
      <c r="U61" s="675" t="s">
        <v>502</v>
      </c>
      <c r="V61" s="675" t="s">
        <v>502</v>
      </c>
      <c r="W61" s="675" t="s">
        <v>502</v>
      </c>
      <c r="X61" s="678" t="s">
        <v>504</v>
      </c>
      <c r="Y61" s="666" t="s">
        <v>535</v>
      </c>
      <c r="Z61" s="667" t="s">
        <v>536</v>
      </c>
      <c r="AA61" s="668" t="s">
        <v>532</v>
      </c>
      <c r="AB61" s="668" t="s">
        <v>532</v>
      </c>
      <c r="AC61" s="668" t="s">
        <v>532</v>
      </c>
      <c r="AD61" s="668" t="s">
        <v>532</v>
      </c>
      <c r="AE61" s="669" t="s">
        <v>532</v>
      </c>
      <c r="AF61" s="741" t="s">
        <v>535</v>
      </c>
      <c r="AG61" s="742" t="s">
        <v>536</v>
      </c>
      <c r="AH61" s="743" t="s">
        <v>532</v>
      </c>
      <c r="AI61" s="743" t="s">
        <v>532</v>
      </c>
      <c r="AJ61" s="743" t="s">
        <v>532</v>
      </c>
      <c r="AK61" s="743" t="s">
        <v>532</v>
      </c>
      <c r="AL61" s="744" t="s">
        <v>532</v>
      </c>
    </row>
    <row r="62" spans="2:38" ht="30" x14ac:dyDescent="0.45">
      <c r="B62" s="639" t="s">
        <v>4</v>
      </c>
      <c r="C62" s="600" t="s">
        <v>5</v>
      </c>
      <c r="D62" s="570" t="s">
        <v>6</v>
      </c>
      <c r="E62" s="570" t="s">
        <v>112</v>
      </c>
      <c r="F62" s="570" t="s">
        <v>114</v>
      </c>
      <c r="G62" s="1014" t="s">
        <v>115</v>
      </c>
      <c r="H62" s="1014"/>
      <c r="I62" s="1172"/>
      <c r="J62" s="791" t="s">
        <v>21</v>
      </c>
      <c r="K62" s="675" t="s">
        <v>496</v>
      </c>
      <c r="L62" s="675" t="s">
        <v>497</v>
      </c>
      <c r="M62" s="675" t="s">
        <v>498</v>
      </c>
      <c r="N62" s="675" t="s">
        <v>499</v>
      </c>
      <c r="O62" s="676" t="s">
        <v>552</v>
      </c>
      <c r="P62" s="675" t="s">
        <v>512</v>
      </c>
      <c r="Q62" s="675" t="s">
        <v>503</v>
      </c>
      <c r="R62" s="675" t="s">
        <v>553</v>
      </c>
      <c r="S62" s="675" t="s">
        <v>513</v>
      </c>
      <c r="T62" s="675" t="s">
        <v>514</v>
      </c>
      <c r="U62" s="675" t="s">
        <v>554</v>
      </c>
      <c r="V62" s="675" t="s">
        <v>515</v>
      </c>
      <c r="W62" s="675" t="s">
        <v>555</v>
      </c>
      <c r="X62" s="678" t="s">
        <v>516</v>
      </c>
      <c r="Y62" s="670" t="s">
        <v>556</v>
      </c>
      <c r="Z62" s="671" t="s">
        <v>557</v>
      </c>
      <c r="AA62" s="671" t="s">
        <v>558</v>
      </c>
      <c r="AB62" s="671" t="s">
        <v>559</v>
      </c>
      <c r="AC62" s="671" t="s">
        <v>560</v>
      </c>
      <c r="AD62" s="671" t="s">
        <v>561</v>
      </c>
      <c r="AE62" s="672" t="s">
        <v>562</v>
      </c>
      <c r="AF62" s="745" t="s">
        <v>563</v>
      </c>
      <c r="AG62" s="746" t="s">
        <v>564</v>
      </c>
      <c r="AH62" s="746" t="s">
        <v>565</v>
      </c>
      <c r="AI62" s="746" t="s">
        <v>566</v>
      </c>
      <c r="AJ62" s="746" t="s">
        <v>567</v>
      </c>
      <c r="AK62" s="746" t="s">
        <v>568</v>
      </c>
      <c r="AL62" s="747" t="s">
        <v>569</v>
      </c>
    </row>
    <row r="63" spans="2:38" x14ac:dyDescent="0.45">
      <c r="B63" s="926">
        <v>3</v>
      </c>
      <c r="C63" s="546" t="s">
        <v>266</v>
      </c>
      <c r="D63" s="547"/>
      <c r="E63" s="548">
        <v>1</v>
      </c>
      <c r="F63" s="548" t="s">
        <v>30</v>
      </c>
      <c r="G63" s="549" t="s">
        <v>265</v>
      </c>
      <c r="H63" s="550"/>
      <c r="I63" s="993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789"/>
      <c r="V63" s="789"/>
      <c r="W63" s="789"/>
      <c r="X63" s="789"/>
      <c r="Y63" s="789"/>
      <c r="Z63" s="789"/>
      <c r="AA63" s="789"/>
      <c r="AB63" s="789"/>
      <c r="AC63" s="789"/>
      <c r="AD63" s="789"/>
      <c r="AE63" s="789"/>
      <c r="AF63" s="789"/>
      <c r="AG63" s="789"/>
      <c r="AH63" s="789"/>
      <c r="AI63" s="789"/>
      <c r="AJ63" s="789"/>
      <c r="AK63" s="789"/>
      <c r="AL63" s="790"/>
    </row>
    <row r="64" spans="2:38" x14ac:dyDescent="0.45">
      <c r="B64" s="927"/>
      <c r="C64" s="277"/>
      <c r="D64" s="344"/>
      <c r="E64" s="284"/>
      <c r="F64" s="207" t="s">
        <v>4</v>
      </c>
      <c r="G64" s="231" t="s">
        <v>120</v>
      </c>
      <c r="H64" s="209"/>
      <c r="I64" s="966"/>
      <c r="J64" s="792">
        <f>RAP!E67</f>
        <v>571.17471999999998</v>
      </c>
      <c r="K64" s="601">
        <v>5</v>
      </c>
      <c r="L64" s="319"/>
      <c r="M64" s="319"/>
      <c r="N64" s="319"/>
      <c r="O64" s="598"/>
      <c r="P64" s="598"/>
      <c r="Q64" s="605"/>
      <c r="R64" s="485"/>
      <c r="S64" s="485"/>
      <c r="T64" s="485"/>
      <c r="U64" s="752">
        <f>SUM(R64:R79)+(SUM(S64:S79)+SUM(T64:T79))</f>
        <v>34977000</v>
      </c>
      <c r="V64" s="754">
        <f>RAP!H67</f>
        <v>40153297.229999997</v>
      </c>
      <c r="W64" s="752">
        <f>V64-U64</f>
        <v>5176297.2299999967</v>
      </c>
      <c r="X64" s="760">
        <f>W64/V64*100</f>
        <v>12.891337915165272</v>
      </c>
      <c r="Y64" s="755">
        <f>SUM(R64:R79)/J64</f>
        <v>15275.536004114469</v>
      </c>
      <c r="Z64" s="757">
        <v>15000</v>
      </c>
      <c r="AA64" s="758">
        <f>J64*Z64</f>
        <v>8567620.7999999989</v>
      </c>
      <c r="AB64" s="758">
        <f>SUM(S64:S79)+SUM(T64:T79)</f>
        <v>26252000</v>
      </c>
      <c r="AC64" s="752">
        <f>AA64+AB64</f>
        <v>34819620.799999997</v>
      </c>
      <c r="AD64" s="752">
        <f>V64-AC64</f>
        <v>5333676.43</v>
      </c>
      <c r="AE64" s="760">
        <f>AD64/V64*100</f>
        <v>13.283283809666857</v>
      </c>
      <c r="AF64" s="755">
        <f>(SUM(R64:R79)+SUM(S64:S79))/J64</f>
        <v>61236.953904402493</v>
      </c>
      <c r="AG64" s="757">
        <v>60000</v>
      </c>
      <c r="AH64" s="758">
        <f>AG64*J64</f>
        <v>34270483.199999996</v>
      </c>
      <c r="AI64" s="758">
        <f>SUM(T64:T79)</f>
        <v>0</v>
      </c>
      <c r="AJ64" s="752">
        <f>AH64+AI64</f>
        <v>34270483.199999996</v>
      </c>
      <c r="AK64" s="752">
        <f>V64-AJ64</f>
        <v>5882814.0300000012</v>
      </c>
      <c r="AL64" s="760">
        <f>AK64/V64*100</f>
        <v>14.650886566806612</v>
      </c>
    </row>
    <row r="65" spans="2:38" ht="15.5" x14ac:dyDescent="0.45">
      <c r="B65" s="924"/>
      <c r="C65" s="277"/>
      <c r="D65" s="279" t="s">
        <v>107</v>
      </c>
      <c r="E65" s="397">
        <v>0.12</v>
      </c>
      <c r="F65" s="211" t="s">
        <v>108</v>
      </c>
      <c r="G65" s="209" t="s">
        <v>51</v>
      </c>
      <c r="H65" s="209"/>
      <c r="I65" s="966"/>
      <c r="J65" s="475"/>
      <c r="K65" s="602"/>
      <c r="L65" s="433">
        <f>E65*J64/K64</f>
        <v>13.70819328</v>
      </c>
      <c r="M65" s="433"/>
      <c r="N65" s="433"/>
      <c r="O65" s="597">
        <v>14</v>
      </c>
      <c r="P65" s="596" t="str">
        <f>F65</f>
        <v>OH</v>
      </c>
      <c r="Q65" s="608">
        <f>'Analisa Upah RAP'!G5</f>
        <v>75000</v>
      </c>
      <c r="R65" s="453">
        <f>O65*Q65*K64</f>
        <v>5250000</v>
      </c>
      <c r="S65" s="453"/>
      <c r="T65" s="453"/>
      <c r="U65" s="753"/>
      <c r="V65" s="753"/>
      <c r="W65" s="753"/>
      <c r="X65" s="761"/>
      <c r="Y65" s="756"/>
      <c r="Z65" s="759"/>
      <c r="AA65" s="759"/>
      <c r="AB65" s="759"/>
      <c r="AC65" s="753"/>
      <c r="AD65" s="753"/>
      <c r="AE65" s="761"/>
      <c r="AF65" s="756"/>
      <c r="AG65" s="759"/>
      <c r="AH65" s="759"/>
      <c r="AI65" s="759"/>
      <c r="AJ65" s="753"/>
      <c r="AK65" s="753"/>
      <c r="AL65" s="761"/>
    </row>
    <row r="66" spans="2:38" ht="15.5" x14ac:dyDescent="0.45">
      <c r="B66" s="924"/>
      <c r="C66" s="277"/>
      <c r="D66" s="279" t="s">
        <v>121</v>
      </c>
      <c r="E66" s="397">
        <v>0.06</v>
      </c>
      <c r="F66" s="211" t="s">
        <v>108</v>
      </c>
      <c r="G66" s="209" t="s">
        <v>58</v>
      </c>
      <c r="H66" s="209"/>
      <c r="I66" s="966"/>
      <c r="J66" s="475"/>
      <c r="K66" s="602"/>
      <c r="L66" s="433">
        <f>E66*J64/K64</f>
        <v>6.8540966399999999</v>
      </c>
      <c r="M66" s="433"/>
      <c r="N66" s="433"/>
      <c r="O66" s="597">
        <v>7</v>
      </c>
      <c r="P66" s="596" t="str">
        <f>F66</f>
        <v>OH</v>
      </c>
      <c r="Q66" s="608">
        <f>'Analisa Upah RAP'!G8</f>
        <v>85000</v>
      </c>
      <c r="R66" s="453">
        <f>O66*Q66*K64</f>
        <v>2975000</v>
      </c>
      <c r="S66" s="453"/>
      <c r="T66" s="453"/>
      <c r="U66" s="753"/>
      <c r="V66" s="753"/>
      <c r="W66" s="753"/>
      <c r="X66" s="761"/>
      <c r="Y66" s="756"/>
      <c r="Z66" s="759"/>
      <c r="AA66" s="759"/>
      <c r="AB66" s="759"/>
      <c r="AC66" s="753"/>
      <c r="AD66" s="753"/>
      <c r="AE66" s="761"/>
      <c r="AF66" s="756"/>
      <c r="AG66" s="759"/>
      <c r="AH66" s="759"/>
      <c r="AI66" s="759"/>
      <c r="AJ66" s="753"/>
      <c r="AK66" s="753"/>
      <c r="AL66" s="761"/>
    </row>
    <row r="67" spans="2:38" ht="15.5" x14ac:dyDescent="0.45">
      <c r="B67" s="924"/>
      <c r="C67" s="277"/>
      <c r="D67" s="279" t="s">
        <v>122</v>
      </c>
      <c r="E67" s="399">
        <v>6.0000000000000001E-3</v>
      </c>
      <c r="F67" s="211" t="s">
        <v>108</v>
      </c>
      <c r="G67" s="209" t="s">
        <v>123</v>
      </c>
      <c r="H67" s="209"/>
      <c r="I67" s="966"/>
      <c r="J67" s="475"/>
      <c r="K67" s="602"/>
      <c r="L67" s="433">
        <f>E67*J64/K64</f>
        <v>0.68540966400000003</v>
      </c>
      <c r="M67" s="433"/>
      <c r="N67" s="433"/>
      <c r="O67" s="597">
        <v>0</v>
      </c>
      <c r="P67" s="596" t="str">
        <f>F67</f>
        <v>OH</v>
      </c>
      <c r="Q67" s="608">
        <f>'Analisa Upah RAP'!G11</f>
        <v>90000</v>
      </c>
      <c r="R67" s="453">
        <f>O67*Q67*K64</f>
        <v>0</v>
      </c>
      <c r="S67" s="453"/>
      <c r="T67" s="453"/>
      <c r="U67" s="753"/>
      <c r="V67" s="753"/>
      <c r="W67" s="753"/>
      <c r="X67" s="761"/>
      <c r="Y67" s="756"/>
      <c r="Z67" s="759"/>
      <c r="AA67" s="759"/>
      <c r="AB67" s="759"/>
      <c r="AC67" s="753"/>
      <c r="AD67" s="753"/>
      <c r="AE67" s="761"/>
      <c r="AF67" s="756"/>
      <c r="AG67" s="759"/>
      <c r="AH67" s="759"/>
      <c r="AI67" s="759"/>
      <c r="AJ67" s="753"/>
      <c r="AK67" s="753"/>
      <c r="AL67" s="761"/>
    </row>
    <row r="68" spans="2:38" ht="15.5" x14ac:dyDescent="0.45">
      <c r="B68" s="924"/>
      <c r="C68" s="277"/>
      <c r="D68" s="343" t="s">
        <v>109</v>
      </c>
      <c r="E68" s="400">
        <v>6.0000000000000001E-3</v>
      </c>
      <c r="F68" s="253" t="s">
        <v>108</v>
      </c>
      <c r="G68" s="229" t="s">
        <v>52</v>
      </c>
      <c r="H68" s="229"/>
      <c r="I68" s="967"/>
      <c r="J68" s="475"/>
      <c r="K68" s="602"/>
      <c r="L68" s="433">
        <f>E68*J64/K64</f>
        <v>0.68540966400000003</v>
      </c>
      <c r="M68" s="433"/>
      <c r="N68" s="433"/>
      <c r="O68" s="597">
        <v>1</v>
      </c>
      <c r="P68" s="596" t="str">
        <f>F68</f>
        <v>OH</v>
      </c>
      <c r="Q68" s="608">
        <f>'Analisa Upah RAP'!G12</f>
        <v>100000</v>
      </c>
      <c r="R68" s="453">
        <f>O68*Q68*K64</f>
        <v>500000</v>
      </c>
      <c r="S68" s="453"/>
      <c r="T68" s="453"/>
      <c r="U68" s="753"/>
      <c r="V68" s="753"/>
      <c r="W68" s="753"/>
      <c r="X68" s="761"/>
      <c r="Y68" s="756"/>
      <c r="Z68" s="759"/>
      <c r="AA68" s="759"/>
      <c r="AB68" s="759"/>
      <c r="AC68" s="753"/>
      <c r="AD68" s="753"/>
      <c r="AE68" s="761"/>
      <c r="AF68" s="756"/>
      <c r="AG68" s="759"/>
      <c r="AH68" s="759"/>
      <c r="AI68" s="759"/>
      <c r="AJ68" s="753"/>
      <c r="AK68" s="753"/>
      <c r="AL68" s="761"/>
    </row>
    <row r="69" spans="2:38" x14ac:dyDescent="0.45">
      <c r="B69" s="924"/>
      <c r="C69" s="277"/>
      <c r="D69" s="344"/>
      <c r="E69" s="352"/>
      <c r="F69" s="207" t="s">
        <v>5</v>
      </c>
      <c r="G69" s="231" t="s">
        <v>124</v>
      </c>
      <c r="H69" s="209"/>
      <c r="I69" s="966"/>
      <c r="J69" s="475"/>
      <c r="K69" s="602"/>
      <c r="L69" s="433"/>
      <c r="M69" s="433"/>
      <c r="N69" s="433"/>
      <c r="O69" s="597"/>
      <c r="P69" s="596"/>
      <c r="Q69" s="608"/>
      <c r="R69" s="453"/>
      <c r="S69" s="453"/>
      <c r="T69" s="453"/>
      <c r="U69" s="753"/>
      <c r="V69" s="753"/>
      <c r="W69" s="753"/>
      <c r="X69" s="761"/>
      <c r="Y69" s="756"/>
      <c r="Z69" s="759"/>
      <c r="AA69" s="759"/>
      <c r="AB69" s="759"/>
      <c r="AC69" s="753"/>
      <c r="AD69" s="753"/>
      <c r="AE69" s="761"/>
      <c r="AF69" s="756"/>
      <c r="AG69" s="759"/>
      <c r="AH69" s="759"/>
      <c r="AI69" s="759"/>
      <c r="AJ69" s="753"/>
      <c r="AK69" s="753"/>
      <c r="AL69" s="761"/>
    </row>
    <row r="70" spans="2:38" x14ac:dyDescent="0.45">
      <c r="B70" s="924"/>
      <c r="C70" s="277"/>
      <c r="D70" s="341"/>
      <c r="E70" s="402">
        <v>0.7</v>
      </c>
      <c r="F70" s="269" t="s">
        <v>133</v>
      </c>
      <c r="G70" s="226" t="s">
        <v>452</v>
      </c>
      <c r="H70" s="226"/>
      <c r="I70" s="974"/>
      <c r="J70" s="475"/>
      <c r="K70" s="602"/>
      <c r="L70" s="433"/>
      <c r="M70" s="433">
        <f>E70*J64</f>
        <v>399.82230399999997</v>
      </c>
      <c r="N70" s="433"/>
      <c r="O70" s="597">
        <v>400</v>
      </c>
      <c r="P70" s="596" t="str">
        <f>F70</f>
        <v>Lbr</v>
      </c>
      <c r="Q70" s="608">
        <f>'Harga Bahan RAP'!G23</f>
        <v>65000</v>
      </c>
      <c r="R70" s="453"/>
      <c r="S70" s="453">
        <f>O70*Q70</f>
        <v>26000000</v>
      </c>
      <c r="T70" s="453"/>
      <c r="U70" s="753"/>
      <c r="V70" s="753"/>
      <c r="W70" s="753"/>
      <c r="X70" s="761"/>
      <c r="Y70" s="756"/>
      <c r="Z70" s="759"/>
      <c r="AA70" s="759"/>
      <c r="AB70" s="759"/>
      <c r="AC70" s="753"/>
      <c r="AD70" s="753"/>
      <c r="AE70" s="761"/>
      <c r="AF70" s="756"/>
      <c r="AG70" s="759"/>
      <c r="AH70" s="759"/>
      <c r="AI70" s="759"/>
      <c r="AJ70" s="753"/>
      <c r="AK70" s="753"/>
      <c r="AL70" s="761"/>
    </row>
    <row r="71" spans="2:38" x14ac:dyDescent="0.45">
      <c r="B71" s="924"/>
      <c r="C71" s="277"/>
      <c r="D71" s="341"/>
      <c r="E71" s="402">
        <v>0.02</v>
      </c>
      <c r="F71" s="269" t="s">
        <v>39</v>
      </c>
      <c r="G71" s="226" t="s">
        <v>453</v>
      </c>
      <c r="H71" s="226"/>
      <c r="I71" s="974"/>
      <c r="J71" s="475"/>
      <c r="K71" s="602"/>
      <c r="L71" s="433"/>
      <c r="M71" s="433">
        <f>E71*J64</f>
        <v>11.423494399999999</v>
      </c>
      <c r="N71" s="433"/>
      <c r="O71" s="597">
        <v>12</v>
      </c>
      <c r="P71" s="596" t="str">
        <f>F71</f>
        <v>Kg</v>
      </c>
      <c r="Q71" s="608">
        <f>'Harga Bahan RAP'!G124</f>
        <v>21000</v>
      </c>
      <c r="R71" s="433"/>
      <c r="S71" s="453">
        <f t="shared" ref="S71:S74" si="2">O71*Q71</f>
        <v>252000</v>
      </c>
      <c r="T71" s="433"/>
      <c r="U71" s="753"/>
      <c r="V71" s="753"/>
      <c r="W71" s="753"/>
      <c r="X71" s="761"/>
      <c r="Y71" s="756"/>
      <c r="Z71" s="759"/>
      <c r="AA71" s="759"/>
      <c r="AB71" s="759"/>
      <c r="AC71" s="753"/>
      <c r="AD71" s="753"/>
      <c r="AE71" s="761"/>
      <c r="AF71" s="756"/>
      <c r="AG71" s="759"/>
      <c r="AH71" s="759"/>
      <c r="AI71" s="759"/>
      <c r="AJ71" s="753"/>
      <c r="AK71" s="753"/>
      <c r="AL71" s="761"/>
    </row>
    <row r="72" spans="2:38" x14ac:dyDescent="0.45">
      <c r="B72" s="924"/>
      <c r="C72" s="277"/>
      <c r="D72" s="341"/>
      <c r="E72" s="923"/>
      <c r="F72" s="269"/>
      <c r="G72" s="226"/>
      <c r="H72" s="226"/>
      <c r="I72" s="974"/>
      <c r="J72" s="475"/>
      <c r="K72" s="602"/>
      <c r="L72" s="433"/>
      <c r="M72" s="433">
        <f>E72*J64</f>
        <v>0</v>
      </c>
      <c r="N72" s="433"/>
      <c r="O72" s="597">
        <v>0</v>
      </c>
      <c r="P72" s="596">
        <f>F72</f>
        <v>0</v>
      </c>
      <c r="Q72" s="608">
        <v>0</v>
      </c>
      <c r="R72" s="433"/>
      <c r="S72" s="453">
        <f t="shared" si="2"/>
        <v>0</v>
      </c>
      <c r="T72" s="433"/>
      <c r="U72" s="753"/>
      <c r="V72" s="753"/>
      <c r="W72" s="753"/>
      <c r="X72" s="761"/>
      <c r="Y72" s="756"/>
      <c r="Z72" s="759"/>
      <c r="AA72" s="759"/>
      <c r="AB72" s="759"/>
      <c r="AC72" s="753"/>
      <c r="AD72" s="753"/>
      <c r="AE72" s="761"/>
      <c r="AF72" s="756"/>
      <c r="AG72" s="759"/>
      <c r="AH72" s="759"/>
      <c r="AI72" s="759"/>
      <c r="AJ72" s="753"/>
      <c r="AK72" s="753"/>
      <c r="AL72" s="761"/>
    </row>
    <row r="73" spans="2:38" x14ac:dyDescent="0.45">
      <c r="B73" s="924"/>
      <c r="C73" s="277"/>
      <c r="D73" s="341"/>
      <c r="E73" s="923"/>
      <c r="F73" s="269"/>
      <c r="G73" s="226"/>
      <c r="H73" s="226"/>
      <c r="I73" s="974"/>
      <c r="J73" s="475"/>
      <c r="K73" s="602"/>
      <c r="L73" s="433"/>
      <c r="M73" s="433">
        <f>E73*J64</f>
        <v>0</v>
      </c>
      <c r="N73" s="433"/>
      <c r="O73" s="597">
        <v>0</v>
      </c>
      <c r="P73" s="596">
        <f>F73</f>
        <v>0</v>
      </c>
      <c r="Q73" s="608">
        <v>0</v>
      </c>
      <c r="R73" s="433"/>
      <c r="S73" s="453">
        <f t="shared" si="2"/>
        <v>0</v>
      </c>
      <c r="T73" s="433"/>
      <c r="U73" s="753"/>
      <c r="V73" s="753"/>
      <c r="W73" s="753"/>
      <c r="X73" s="761"/>
      <c r="Y73" s="756"/>
      <c r="Z73" s="759"/>
      <c r="AA73" s="759"/>
      <c r="AB73" s="759"/>
      <c r="AC73" s="753"/>
      <c r="AD73" s="753"/>
      <c r="AE73" s="761"/>
      <c r="AF73" s="756"/>
      <c r="AG73" s="759"/>
      <c r="AH73" s="759"/>
      <c r="AI73" s="759"/>
      <c r="AJ73" s="753"/>
      <c r="AK73" s="753"/>
      <c r="AL73" s="761"/>
    </row>
    <row r="74" spans="2:38" x14ac:dyDescent="0.45">
      <c r="B74" s="924"/>
      <c r="C74" s="277"/>
      <c r="D74" s="341"/>
      <c r="E74" s="923"/>
      <c r="F74" s="269"/>
      <c r="G74" s="226"/>
      <c r="H74" s="226"/>
      <c r="I74" s="974"/>
      <c r="J74" s="475"/>
      <c r="K74" s="602"/>
      <c r="L74" s="433"/>
      <c r="M74" s="433">
        <f>E74*J64</f>
        <v>0</v>
      </c>
      <c r="N74" s="433"/>
      <c r="O74" s="597">
        <v>0</v>
      </c>
      <c r="P74" s="596">
        <f>F74</f>
        <v>0</v>
      </c>
      <c r="Q74" s="608"/>
      <c r="R74" s="433"/>
      <c r="S74" s="453">
        <f t="shared" si="2"/>
        <v>0</v>
      </c>
      <c r="T74" s="433"/>
      <c r="U74" s="753"/>
      <c r="V74" s="753"/>
      <c r="W74" s="753"/>
      <c r="X74" s="761"/>
      <c r="Y74" s="756"/>
      <c r="Z74" s="759"/>
      <c r="AA74" s="759"/>
      <c r="AB74" s="759"/>
      <c r="AC74" s="753"/>
      <c r="AD74" s="753"/>
      <c r="AE74" s="761"/>
      <c r="AF74" s="756"/>
      <c r="AG74" s="759"/>
      <c r="AH74" s="759"/>
      <c r="AI74" s="759"/>
      <c r="AJ74" s="753"/>
      <c r="AK74" s="753"/>
      <c r="AL74" s="761"/>
    </row>
    <row r="75" spans="2:38" ht="15.5" x14ac:dyDescent="0.45">
      <c r="B75" s="924"/>
      <c r="C75" s="277"/>
      <c r="D75" s="211"/>
      <c r="E75" s="267"/>
      <c r="F75" s="207" t="s">
        <v>6</v>
      </c>
      <c r="G75" s="208" t="s">
        <v>111</v>
      </c>
      <c r="H75" s="209"/>
      <c r="I75" s="966"/>
      <c r="J75" s="475"/>
      <c r="K75" s="602"/>
      <c r="L75" s="433"/>
      <c r="M75" s="433"/>
      <c r="N75" s="433"/>
      <c r="O75" s="597"/>
      <c r="P75" s="596"/>
      <c r="Q75" s="608"/>
      <c r="R75" s="433"/>
      <c r="S75" s="433"/>
      <c r="T75" s="433"/>
      <c r="U75" s="433"/>
      <c r="V75" s="433"/>
      <c r="W75" s="433"/>
      <c r="X75" s="659"/>
      <c r="Y75" s="661"/>
      <c r="Z75" s="433"/>
      <c r="AA75" s="433"/>
      <c r="AB75" s="433"/>
      <c r="AC75" s="433"/>
      <c r="AD75" s="433"/>
      <c r="AE75" s="644"/>
      <c r="AF75" s="661"/>
      <c r="AG75" s="433"/>
      <c r="AH75" s="433"/>
      <c r="AI75" s="433"/>
      <c r="AJ75" s="433"/>
      <c r="AK75" s="433"/>
      <c r="AL75" s="644"/>
    </row>
    <row r="76" spans="2:38" ht="15.5" x14ac:dyDescent="0.45">
      <c r="B76" s="924"/>
      <c r="C76" s="277"/>
      <c r="D76" s="211"/>
      <c r="E76" s="267"/>
      <c r="F76" s="207"/>
      <c r="G76" s="208"/>
      <c r="H76" s="209"/>
      <c r="I76" s="966"/>
      <c r="J76" s="475"/>
      <c r="K76" s="602"/>
      <c r="L76" s="433"/>
      <c r="M76" s="433"/>
      <c r="N76" s="433">
        <f>E76*J64</f>
        <v>0</v>
      </c>
      <c r="O76" s="597">
        <v>0</v>
      </c>
      <c r="P76" s="596">
        <v>0</v>
      </c>
      <c r="Q76" s="608"/>
      <c r="R76" s="433"/>
      <c r="S76" s="433"/>
      <c r="T76" s="453">
        <f>O76*Q76</f>
        <v>0</v>
      </c>
      <c r="U76" s="433"/>
      <c r="V76" s="433"/>
      <c r="W76" s="433"/>
      <c r="X76" s="659"/>
      <c r="Y76" s="661"/>
      <c r="Z76" s="433"/>
      <c r="AA76" s="433"/>
      <c r="AB76" s="433"/>
      <c r="AC76" s="433"/>
      <c r="AD76" s="433"/>
      <c r="AE76" s="644"/>
      <c r="AF76" s="661"/>
      <c r="AG76" s="433"/>
      <c r="AH76" s="433"/>
      <c r="AI76" s="433"/>
      <c r="AJ76" s="433"/>
      <c r="AK76" s="433"/>
      <c r="AL76" s="644"/>
    </row>
    <row r="77" spans="2:38" ht="15.5" x14ac:dyDescent="0.45">
      <c r="B77" s="924"/>
      <c r="C77" s="277"/>
      <c r="D77" s="211"/>
      <c r="E77" s="267"/>
      <c r="F77" s="207" t="s">
        <v>112</v>
      </c>
      <c r="G77" s="208" t="s">
        <v>113</v>
      </c>
      <c r="H77" s="209"/>
      <c r="I77" s="966"/>
      <c r="J77" s="475"/>
      <c r="K77" s="602"/>
      <c r="L77" s="433"/>
      <c r="M77" s="433"/>
      <c r="N77" s="433"/>
      <c r="O77" s="433"/>
      <c r="P77" s="433"/>
      <c r="Q77" s="595"/>
      <c r="R77" s="433"/>
      <c r="S77" s="433"/>
      <c r="T77" s="433"/>
      <c r="U77" s="433"/>
      <c r="V77" s="433"/>
      <c r="W77" s="433"/>
      <c r="X77" s="659"/>
      <c r="Y77" s="661"/>
      <c r="Z77" s="433"/>
      <c r="AA77" s="433"/>
      <c r="AB77" s="433"/>
      <c r="AC77" s="433"/>
      <c r="AD77" s="433"/>
      <c r="AE77" s="644"/>
      <c r="AF77" s="661"/>
      <c r="AG77" s="433"/>
      <c r="AH77" s="433"/>
      <c r="AI77" s="433"/>
      <c r="AJ77" s="433"/>
      <c r="AK77" s="433"/>
      <c r="AL77" s="644"/>
    </row>
    <row r="78" spans="2:38" ht="15.5" x14ac:dyDescent="0.45">
      <c r="B78" s="924"/>
      <c r="C78" s="277"/>
      <c r="D78" s="253"/>
      <c r="E78" s="275"/>
      <c r="F78" s="239" t="s">
        <v>114</v>
      </c>
      <c r="G78" s="257" t="str">
        <f>G55</f>
        <v>Overhead &amp; Profit</v>
      </c>
      <c r="H78" s="229"/>
      <c r="I78" s="980">
        <v>0.15</v>
      </c>
      <c r="J78" s="475"/>
      <c r="K78" s="602"/>
      <c r="L78" s="433"/>
      <c r="M78" s="433"/>
      <c r="N78" s="433"/>
      <c r="O78" s="433"/>
      <c r="P78" s="433"/>
      <c r="Q78" s="595"/>
      <c r="R78" s="433"/>
      <c r="S78" s="433"/>
      <c r="T78" s="433"/>
      <c r="U78" s="433"/>
      <c r="V78" s="433"/>
      <c r="W78" s="433"/>
      <c r="X78" s="659"/>
      <c r="Y78" s="661"/>
      <c r="Z78" s="433"/>
      <c r="AA78" s="433"/>
      <c r="AB78" s="433"/>
      <c r="AC78" s="433"/>
      <c r="AD78" s="433"/>
      <c r="AE78" s="644"/>
      <c r="AF78" s="661"/>
      <c r="AG78" s="433"/>
      <c r="AH78" s="433"/>
      <c r="AI78" s="433"/>
      <c r="AJ78" s="433"/>
      <c r="AK78" s="433"/>
      <c r="AL78" s="644"/>
    </row>
    <row r="79" spans="2:38" ht="16" thickBot="1" x14ac:dyDescent="0.5">
      <c r="B79" s="925"/>
      <c r="C79" s="831"/>
      <c r="D79" s="852"/>
      <c r="E79" s="911"/>
      <c r="F79" s="834" t="s">
        <v>115</v>
      </c>
      <c r="G79" s="816" t="s">
        <v>127</v>
      </c>
      <c r="H79" s="835"/>
      <c r="I79" s="981"/>
      <c r="J79" s="793"/>
      <c r="K79" s="763"/>
      <c r="L79" s="655"/>
      <c r="M79" s="655"/>
      <c r="N79" s="655"/>
      <c r="O79" s="655"/>
      <c r="P79" s="655"/>
      <c r="Q79" s="654"/>
      <c r="R79" s="655"/>
      <c r="S79" s="655"/>
      <c r="T79" s="655"/>
      <c r="U79" s="655"/>
      <c r="V79" s="655"/>
      <c r="W79" s="655"/>
      <c r="X79" s="660"/>
      <c r="Y79" s="662"/>
      <c r="Z79" s="655"/>
      <c r="AA79" s="655"/>
      <c r="AB79" s="655"/>
      <c r="AC79" s="655"/>
      <c r="AD79" s="655"/>
      <c r="AE79" s="656"/>
      <c r="AF79" s="662"/>
      <c r="AG79" s="655"/>
      <c r="AH79" s="655"/>
      <c r="AI79" s="655"/>
      <c r="AJ79" s="655"/>
      <c r="AK79" s="655"/>
      <c r="AL79" s="656"/>
    </row>
    <row r="80" spans="2:38" x14ac:dyDescent="0.45">
      <c r="D80" s="112"/>
      <c r="E80" s="195"/>
      <c r="G80" s="111"/>
      <c r="H80" s="111"/>
      <c r="I80" s="111"/>
      <c r="Z80" s="657"/>
      <c r="AA80" s="657"/>
      <c r="AB80" s="657"/>
      <c r="AC80" s="657"/>
      <c r="AD80" s="657"/>
      <c r="AE80" s="657"/>
      <c r="AG80" s="657"/>
      <c r="AH80" s="657"/>
      <c r="AI80" s="657"/>
      <c r="AJ80" s="657"/>
      <c r="AK80" s="657"/>
      <c r="AL80" s="657"/>
    </row>
    <row r="81" spans="2:38" ht="17" thickBot="1" x14ac:dyDescent="0.5">
      <c r="B81" s="749" t="s">
        <v>678</v>
      </c>
      <c r="C81" s="750" t="str">
        <f>RAP!B68</f>
        <v>Memasang bubungan seng Galvalum plat</v>
      </c>
      <c r="D81" s="241"/>
      <c r="E81" s="241"/>
      <c r="F81" s="276"/>
      <c r="G81" s="240"/>
      <c r="H81" s="241"/>
      <c r="I81" s="241"/>
      <c r="J81" s="604"/>
      <c r="K81" s="603"/>
      <c r="L81" s="604"/>
      <c r="M81" s="604"/>
      <c r="N81" s="604"/>
      <c r="O81" s="604"/>
      <c r="P81" s="604"/>
      <c r="Q81" s="604"/>
      <c r="R81" s="609"/>
      <c r="S81" s="609"/>
      <c r="T81" s="609"/>
      <c r="U81" s="609"/>
      <c r="V81" s="609"/>
      <c r="W81" s="609"/>
      <c r="X81" s="609"/>
      <c r="Y81" s="609"/>
      <c r="Z81" s="609"/>
      <c r="AA81" s="609"/>
      <c r="AB81" s="609"/>
      <c r="AC81" s="609"/>
      <c r="AD81" s="609"/>
      <c r="AE81" s="609"/>
      <c r="AF81" s="609"/>
      <c r="AG81" s="609"/>
      <c r="AH81" s="609"/>
      <c r="AI81" s="609"/>
      <c r="AJ81" s="609"/>
      <c r="AK81" s="609"/>
      <c r="AL81" s="609"/>
    </row>
    <row r="82" spans="2:38" ht="19.5" customHeight="1" x14ac:dyDescent="0.45">
      <c r="B82" s="1168" t="s">
        <v>99</v>
      </c>
      <c r="C82" s="1171" t="s">
        <v>100</v>
      </c>
      <c r="D82" s="1171" t="s">
        <v>89</v>
      </c>
      <c r="E82" s="1171" t="s">
        <v>101</v>
      </c>
      <c r="F82" s="1171" t="s">
        <v>102</v>
      </c>
      <c r="G82" s="1109" t="s">
        <v>103</v>
      </c>
      <c r="H82" s="1110"/>
      <c r="I82" s="1175"/>
      <c r="J82" s="1152" t="s">
        <v>539</v>
      </c>
      <c r="K82" s="1152"/>
      <c r="L82" s="1152"/>
      <c r="M82" s="1152"/>
      <c r="N82" s="1152"/>
      <c r="O82" s="1152"/>
      <c r="P82" s="1152"/>
      <c r="Q82" s="1152"/>
      <c r="R82" s="1152"/>
      <c r="S82" s="1152"/>
      <c r="T82" s="1152"/>
      <c r="U82" s="1152"/>
      <c r="V82" s="1152"/>
      <c r="W82" s="1152"/>
      <c r="X82" s="1152"/>
      <c r="Y82" s="1153" t="s">
        <v>540</v>
      </c>
      <c r="Z82" s="1154"/>
      <c r="AA82" s="1154"/>
      <c r="AB82" s="1154"/>
      <c r="AC82" s="1154"/>
      <c r="AD82" s="1154"/>
      <c r="AE82" s="1155"/>
      <c r="AF82" s="1156" t="s">
        <v>541</v>
      </c>
      <c r="AG82" s="1157"/>
      <c r="AH82" s="1157"/>
      <c r="AI82" s="1157"/>
      <c r="AJ82" s="1157"/>
      <c r="AK82" s="1157"/>
      <c r="AL82" s="1158"/>
    </row>
    <row r="83" spans="2:38" ht="45" x14ac:dyDescent="0.45">
      <c r="B83" s="1169"/>
      <c r="C83" s="1089"/>
      <c r="D83" s="1089"/>
      <c r="E83" s="1089"/>
      <c r="F83" s="1089"/>
      <c r="G83" s="1026"/>
      <c r="H83" s="1027"/>
      <c r="I83" s="1176"/>
      <c r="J83" s="1173" t="s">
        <v>15</v>
      </c>
      <c r="K83" s="673" t="s">
        <v>493</v>
      </c>
      <c r="L83" s="1161" t="s">
        <v>491</v>
      </c>
      <c r="M83" s="1162"/>
      <c r="N83" s="1162"/>
      <c r="O83" s="1162"/>
      <c r="P83" s="1163"/>
      <c r="Q83" s="674" t="s">
        <v>533</v>
      </c>
      <c r="R83" s="1161" t="s">
        <v>501</v>
      </c>
      <c r="S83" s="1162"/>
      <c r="T83" s="1163"/>
      <c r="U83" s="674" t="s">
        <v>530</v>
      </c>
      <c r="V83" s="674" t="s">
        <v>531</v>
      </c>
      <c r="W83" s="674" t="s">
        <v>578</v>
      </c>
      <c r="X83" s="681" t="s">
        <v>579</v>
      </c>
      <c r="Y83" s="1164" t="s">
        <v>534</v>
      </c>
      <c r="Z83" s="1165"/>
      <c r="AA83" s="663" t="s">
        <v>537</v>
      </c>
      <c r="AB83" s="664" t="s">
        <v>538</v>
      </c>
      <c r="AC83" s="665" t="s">
        <v>530</v>
      </c>
      <c r="AD83" s="665" t="s">
        <v>578</v>
      </c>
      <c r="AE83" s="682" t="s">
        <v>579</v>
      </c>
      <c r="AF83" s="1166" t="s">
        <v>542</v>
      </c>
      <c r="AG83" s="1167"/>
      <c r="AH83" s="737" t="s">
        <v>543</v>
      </c>
      <c r="AI83" s="738" t="s">
        <v>544</v>
      </c>
      <c r="AJ83" s="739" t="s">
        <v>530</v>
      </c>
      <c r="AK83" s="739" t="s">
        <v>578</v>
      </c>
      <c r="AL83" s="740" t="s">
        <v>579</v>
      </c>
    </row>
    <row r="84" spans="2:38" ht="30" x14ac:dyDescent="0.45">
      <c r="B84" s="1170"/>
      <c r="C84" s="1090"/>
      <c r="D84" s="1090"/>
      <c r="E84" s="1090"/>
      <c r="F84" s="1090"/>
      <c r="G84" s="1085"/>
      <c r="H84" s="1086"/>
      <c r="I84" s="1177"/>
      <c r="J84" s="1174"/>
      <c r="K84" s="675" t="s">
        <v>495</v>
      </c>
      <c r="L84" s="676" t="s">
        <v>524</v>
      </c>
      <c r="M84" s="676" t="s">
        <v>525</v>
      </c>
      <c r="N84" s="676" t="s">
        <v>526</v>
      </c>
      <c r="O84" s="675" t="s">
        <v>517</v>
      </c>
      <c r="P84" s="675" t="s">
        <v>290</v>
      </c>
      <c r="Q84" s="675" t="s">
        <v>532</v>
      </c>
      <c r="R84" s="676" t="s">
        <v>527</v>
      </c>
      <c r="S84" s="676" t="s">
        <v>528</v>
      </c>
      <c r="T84" s="677" t="s">
        <v>529</v>
      </c>
      <c r="U84" s="675" t="s">
        <v>502</v>
      </c>
      <c r="V84" s="675" t="s">
        <v>502</v>
      </c>
      <c r="W84" s="675" t="s">
        <v>502</v>
      </c>
      <c r="X84" s="678" t="s">
        <v>504</v>
      </c>
      <c r="Y84" s="666" t="s">
        <v>535</v>
      </c>
      <c r="Z84" s="667" t="s">
        <v>536</v>
      </c>
      <c r="AA84" s="668" t="s">
        <v>532</v>
      </c>
      <c r="AB84" s="668" t="s">
        <v>532</v>
      </c>
      <c r="AC84" s="668" t="s">
        <v>532</v>
      </c>
      <c r="AD84" s="668" t="s">
        <v>532</v>
      </c>
      <c r="AE84" s="669" t="s">
        <v>532</v>
      </c>
      <c r="AF84" s="741" t="s">
        <v>535</v>
      </c>
      <c r="AG84" s="742" t="s">
        <v>536</v>
      </c>
      <c r="AH84" s="743" t="s">
        <v>532</v>
      </c>
      <c r="AI84" s="743" t="s">
        <v>532</v>
      </c>
      <c r="AJ84" s="743" t="s">
        <v>532</v>
      </c>
      <c r="AK84" s="743" t="s">
        <v>532</v>
      </c>
      <c r="AL84" s="744" t="s">
        <v>532</v>
      </c>
    </row>
    <row r="85" spans="2:38" ht="30" x14ac:dyDescent="0.45">
      <c r="B85" s="639" t="s">
        <v>4</v>
      </c>
      <c r="C85" s="600" t="s">
        <v>5</v>
      </c>
      <c r="D85" s="570" t="s">
        <v>6</v>
      </c>
      <c r="E85" s="570" t="s">
        <v>112</v>
      </c>
      <c r="F85" s="570" t="s">
        <v>114</v>
      </c>
      <c r="G85" s="1014" t="s">
        <v>115</v>
      </c>
      <c r="H85" s="1014"/>
      <c r="I85" s="1172"/>
      <c r="J85" s="791" t="s">
        <v>21</v>
      </c>
      <c r="K85" s="675" t="s">
        <v>496</v>
      </c>
      <c r="L85" s="675" t="s">
        <v>497</v>
      </c>
      <c r="M85" s="675" t="s">
        <v>498</v>
      </c>
      <c r="N85" s="675" t="s">
        <v>499</v>
      </c>
      <c r="O85" s="676" t="s">
        <v>552</v>
      </c>
      <c r="P85" s="675" t="s">
        <v>512</v>
      </c>
      <c r="Q85" s="675" t="s">
        <v>503</v>
      </c>
      <c r="R85" s="675" t="s">
        <v>553</v>
      </c>
      <c r="S85" s="675" t="s">
        <v>513</v>
      </c>
      <c r="T85" s="675" t="s">
        <v>514</v>
      </c>
      <c r="U85" s="675" t="s">
        <v>554</v>
      </c>
      <c r="V85" s="675" t="s">
        <v>515</v>
      </c>
      <c r="W85" s="675" t="s">
        <v>555</v>
      </c>
      <c r="X85" s="678" t="s">
        <v>516</v>
      </c>
      <c r="Y85" s="670" t="s">
        <v>556</v>
      </c>
      <c r="Z85" s="671" t="s">
        <v>557</v>
      </c>
      <c r="AA85" s="671" t="s">
        <v>558</v>
      </c>
      <c r="AB85" s="671" t="s">
        <v>559</v>
      </c>
      <c r="AC85" s="671" t="s">
        <v>560</v>
      </c>
      <c r="AD85" s="671" t="s">
        <v>561</v>
      </c>
      <c r="AE85" s="672" t="s">
        <v>562</v>
      </c>
      <c r="AF85" s="745" t="s">
        <v>563</v>
      </c>
      <c r="AG85" s="746" t="s">
        <v>564</v>
      </c>
      <c r="AH85" s="746" t="s">
        <v>565</v>
      </c>
      <c r="AI85" s="746" t="s">
        <v>566</v>
      </c>
      <c r="AJ85" s="746" t="s">
        <v>567</v>
      </c>
      <c r="AK85" s="746" t="s">
        <v>568</v>
      </c>
      <c r="AL85" s="747" t="s">
        <v>569</v>
      </c>
    </row>
    <row r="86" spans="2:38" x14ac:dyDescent="0.45">
      <c r="B86" s="926">
        <v>4</v>
      </c>
      <c r="C86" s="546" t="s">
        <v>454</v>
      </c>
      <c r="D86" s="547"/>
      <c r="E86" s="548">
        <v>1</v>
      </c>
      <c r="F86" s="548" t="s">
        <v>31</v>
      </c>
      <c r="G86" s="549" t="s">
        <v>455</v>
      </c>
      <c r="H86" s="550"/>
      <c r="I86" s="993"/>
      <c r="J86" s="789"/>
      <c r="K86" s="789"/>
      <c r="L86" s="789"/>
      <c r="M86" s="789"/>
      <c r="N86" s="789"/>
      <c r="O86" s="789"/>
      <c r="P86" s="789"/>
      <c r="Q86" s="789"/>
      <c r="R86" s="789"/>
      <c r="S86" s="789"/>
      <c r="T86" s="789"/>
      <c r="U86" s="789"/>
      <c r="V86" s="789"/>
      <c r="W86" s="789"/>
      <c r="X86" s="789"/>
      <c r="Y86" s="789"/>
      <c r="Z86" s="789"/>
      <c r="AA86" s="789"/>
      <c r="AB86" s="789"/>
      <c r="AC86" s="789"/>
      <c r="AD86" s="789"/>
      <c r="AE86" s="789"/>
      <c r="AF86" s="789"/>
      <c r="AG86" s="789"/>
      <c r="AH86" s="789"/>
      <c r="AI86" s="789"/>
      <c r="AJ86" s="789"/>
      <c r="AK86" s="789"/>
      <c r="AL86" s="790"/>
    </row>
    <row r="87" spans="2:38" x14ac:dyDescent="0.45">
      <c r="B87" s="927"/>
      <c r="C87" s="277"/>
      <c r="D87" s="344"/>
      <c r="E87" s="284"/>
      <c r="F87" s="207" t="s">
        <v>4</v>
      </c>
      <c r="G87" s="231" t="s">
        <v>120</v>
      </c>
      <c r="H87" s="209"/>
      <c r="I87" s="966"/>
      <c r="J87" s="792">
        <f>RAP!E68</f>
        <v>52</v>
      </c>
      <c r="K87" s="601">
        <v>1</v>
      </c>
      <c r="L87" s="319"/>
      <c r="M87" s="319"/>
      <c r="N87" s="319"/>
      <c r="O87" s="598"/>
      <c r="P87" s="598"/>
      <c r="Q87" s="605"/>
      <c r="R87" s="485"/>
      <c r="S87" s="485"/>
      <c r="T87" s="485"/>
      <c r="U87" s="752">
        <f>SUM(R87:R102)+(SUM(S87:S102)+SUM(T87:T102))</f>
        <v>1802000</v>
      </c>
      <c r="V87" s="754">
        <f>RAP!H68</f>
        <v>1936025</v>
      </c>
      <c r="W87" s="752">
        <f>V87-U87</f>
        <v>134025</v>
      </c>
      <c r="X87" s="760">
        <f>W87/V87*100</f>
        <v>6.9226895313851831</v>
      </c>
      <c r="Y87" s="755">
        <f>SUM(R87:R102)/J87</f>
        <v>20000</v>
      </c>
      <c r="Z87" s="757">
        <v>20000</v>
      </c>
      <c r="AA87" s="758">
        <f>J87*Z87</f>
        <v>1040000</v>
      </c>
      <c r="AB87" s="758">
        <f>SUM(S87:S102)+SUM(T87:T102)</f>
        <v>762000</v>
      </c>
      <c r="AC87" s="752">
        <f>AA87+AB87</f>
        <v>1802000</v>
      </c>
      <c r="AD87" s="752">
        <f>V87-AC87</f>
        <v>134025</v>
      </c>
      <c r="AE87" s="760">
        <f>AD87/V87*100</f>
        <v>6.9226895313851831</v>
      </c>
      <c r="AF87" s="755">
        <f>(SUM(R87:R102)+SUM(S87:S102))/J87</f>
        <v>34653.846153846156</v>
      </c>
      <c r="AG87" s="757">
        <v>35000</v>
      </c>
      <c r="AH87" s="758">
        <f>AG87*J87</f>
        <v>1820000</v>
      </c>
      <c r="AI87" s="758">
        <f>SUM(T87:T102)</f>
        <v>0</v>
      </c>
      <c r="AJ87" s="752">
        <f>AH87+AI87</f>
        <v>1820000</v>
      </c>
      <c r="AK87" s="752">
        <f>V87-AJ87</f>
        <v>116025</v>
      </c>
      <c r="AL87" s="760">
        <f>AK87/V87*100</f>
        <v>5.9929494712103413</v>
      </c>
    </row>
    <row r="88" spans="2:38" ht="15.5" x14ac:dyDescent="0.45">
      <c r="B88" s="924"/>
      <c r="C88" s="277"/>
      <c r="D88" s="279" t="s">
        <v>107</v>
      </c>
      <c r="E88" s="397">
        <v>0.15</v>
      </c>
      <c r="F88" s="211" t="s">
        <v>108</v>
      </c>
      <c r="G88" s="209" t="s">
        <v>51</v>
      </c>
      <c r="H88" s="209"/>
      <c r="I88" s="966"/>
      <c r="J88" s="475"/>
      <c r="K88" s="602"/>
      <c r="L88" s="433">
        <f>E88*J87/K87</f>
        <v>7.8</v>
      </c>
      <c r="M88" s="433"/>
      <c r="N88" s="433"/>
      <c r="O88" s="597">
        <v>8</v>
      </c>
      <c r="P88" s="596" t="str">
        <f>F88</f>
        <v>OH</v>
      </c>
      <c r="Q88" s="608">
        <f>Q65</f>
        <v>75000</v>
      </c>
      <c r="R88" s="453">
        <f>O88*Q88*K87</f>
        <v>600000</v>
      </c>
      <c r="S88" s="453"/>
      <c r="T88" s="453"/>
      <c r="U88" s="753"/>
      <c r="V88" s="753"/>
      <c r="W88" s="753"/>
      <c r="X88" s="761"/>
      <c r="Y88" s="756"/>
      <c r="Z88" s="759"/>
      <c r="AA88" s="759"/>
      <c r="AB88" s="759"/>
      <c r="AC88" s="753"/>
      <c r="AD88" s="753"/>
      <c r="AE88" s="761"/>
      <c r="AF88" s="756"/>
      <c r="AG88" s="759"/>
      <c r="AH88" s="759"/>
      <c r="AI88" s="759"/>
      <c r="AJ88" s="753"/>
      <c r="AK88" s="753"/>
      <c r="AL88" s="761"/>
    </row>
    <row r="89" spans="2:38" ht="15.5" x14ac:dyDescent="0.45">
      <c r="B89" s="924"/>
      <c r="C89" s="277"/>
      <c r="D89" s="279" t="s">
        <v>121</v>
      </c>
      <c r="E89" s="397">
        <v>7.0000000000000007E-2</v>
      </c>
      <c r="F89" s="211" t="s">
        <v>108</v>
      </c>
      <c r="G89" s="209" t="s">
        <v>58</v>
      </c>
      <c r="H89" s="209"/>
      <c r="I89" s="966"/>
      <c r="J89" s="475"/>
      <c r="K89" s="602"/>
      <c r="L89" s="433">
        <f>E89*J87/K87</f>
        <v>3.6400000000000006</v>
      </c>
      <c r="M89" s="433"/>
      <c r="N89" s="433"/>
      <c r="O89" s="597">
        <v>4</v>
      </c>
      <c r="P89" s="596" t="str">
        <f>F89</f>
        <v>OH</v>
      </c>
      <c r="Q89" s="608">
        <f t="shared" ref="Q89:Q91" si="3">Q66</f>
        <v>85000</v>
      </c>
      <c r="R89" s="453">
        <f>O89*Q89*K87</f>
        <v>340000</v>
      </c>
      <c r="S89" s="453"/>
      <c r="T89" s="453"/>
      <c r="U89" s="753"/>
      <c r="V89" s="753"/>
      <c r="W89" s="753"/>
      <c r="X89" s="761"/>
      <c r="Y89" s="756"/>
      <c r="Z89" s="759"/>
      <c r="AA89" s="759"/>
      <c r="AB89" s="759"/>
      <c r="AC89" s="753"/>
      <c r="AD89" s="753"/>
      <c r="AE89" s="761"/>
      <c r="AF89" s="756"/>
      <c r="AG89" s="759"/>
      <c r="AH89" s="759"/>
      <c r="AI89" s="759"/>
      <c r="AJ89" s="753"/>
      <c r="AK89" s="753"/>
      <c r="AL89" s="761"/>
    </row>
    <row r="90" spans="2:38" ht="15.5" x14ac:dyDescent="0.45">
      <c r="B90" s="924"/>
      <c r="C90" s="277"/>
      <c r="D90" s="279" t="s">
        <v>122</v>
      </c>
      <c r="E90" s="399">
        <v>7.0000000000000001E-3</v>
      </c>
      <c r="F90" s="211" t="s">
        <v>108</v>
      </c>
      <c r="G90" s="209" t="s">
        <v>123</v>
      </c>
      <c r="H90" s="209"/>
      <c r="I90" s="966"/>
      <c r="J90" s="475"/>
      <c r="K90" s="602"/>
      <c r="L90" s="433">
        <f>E90*J87/K87</f>
        <v>0.36399999999999999</v>
      </c>
      <c r="M90" s="433"/>
      <c r="N90" s="433"/>
      <c r="O90" s="597">
        <v>0</v>
      </c>
      <c r="P90" s="596" t="str">
        <f>F90</f>
        <v>OH</v>
      </c>
      <c r="Q90" s="608">
        <f t="shared" si="3"/>
        <v>90000</v>
      </c>
      <c r="R90" s="453">
        <f>O90*Q90*K87</f>
        <v>0</v>
      </c>
      <c r="S90" s="453"/>
      <c r="T90" s="453"/>
      <c r="U90" s="753"/>
      <c r="V90" s="753"/>
      <c r="W90" s="753"/>
      <c r="X90" s="761"/>
      <c r="Y90" s="756"/>
      <c r="Z90" s="759"/>
      <c r="AA90" s="759"/>
      <c r="AB90" s="759"/>
      <c r="AC90" s="753"/>
      <c r="AD90" s="753"/>
      <c r="AE90" s="761"/>
      <c r="AF90" s="756"/>
      <c r="AG90" s="759"/>
      <c r="AH90" s="759"/>
      <c r="AI90" s="759"/>
      <c r="AJ90" s="753"/>
      <c r="AK90" s="753"/>
      <c r="AL90" s="761"/>
    </row>
    <row r="91" spans="2:38" ht="15.5" x14ac:dyDescent="0.45">
      <c r="B91" s="924"/>
      <c r="C91" s="277"/>
      <c r="D91" s="343" t="s">
        <v>109</v>
      </c>
      <c r="E91" s="400">
        <v>6.0000000000000001E-3</v>
      </c>
      <c r="F91" s="253" t="s">
        <v>108</v>
      </c>
      <c r="G91" s="229" t="s">
        <v>52</v>
      </c>
      <c r="H91" s="229"/>
      <c r="I91" s="967"/>
      <c r="J91" s="475"/>
      <c r="K91" s="602"/>
      <c r="L91" s="433">
        <f>E91*J87/K87</f>
        <v>0.312</v>
      </c>
      <c r="M91" s="433"/>
      <c r="N91" s="433"/>
      <c r="O91" s="597">
        <v>1</v>
      </c>
      <c r="P91" s="596" t="str">
        <f>F91</f>
        <v>OH</v>
      </c>
      <c r="Q91" s="608">
        <f t="shared" si="3"/>
        <v>100000</v>
      </c>
      <c r="R91" s="453">
        <f>O91*Q91*K87</f>
        <v>100000</v>
      </c>
      <c r="S91" s="453"/>
      <c r="T91" s="453"/>
      <c r="U91" s="753"/>
      <c r="V91" s="753"/>
      <c r="W91" s="753"/>
      <c r="X91" s="761"/>
      <c r="Y91" s="756"/>
      <c r="Z91" s="759"/>
      <c r="AA91" s="759"/>
      <c r="AB91" s="759"/>
      <c r="AC91" s="753"/>
      <c r="AD91" s="753"/>
      <c r="AE91" s="761"/>
      <c r="AF91" s="756"/>
      <c r="AG91" s="759"/>
      <c r="AH91" s="759"/>
      <c r="AI91" s="759"/>
      <c r="AJ91" s="753"/>
      <c r="AK91" s="753"/>
      <c r="AL91" s="761"/>
    </row>
    <row r="92" spans="2:38" x14ac:dyDescent="0.45">
      <c r="B92" s="924"/>
      <c r="C92" s="277"/>
      <c r="D92" s="344"/>
      <c r="E92" s="352"/>
      <c r="F92" s="207" t="s">
        <v>5</v>
      </c>
      <c r="G92" s="231" t="s">
        <v>124</v>
      </c>
      <c r="H92" s="209"/>
      <c r="I92" s="966"/>
      <c r="J92" s="475"/>
      <c r="K92" s="602"/>
      <c r="L92" s="433"/>
      <c r="M92" s="433"/>
      <c r="N92" s="433"/>
      <c r="O92" s="597"/>
      <c r="P92" s="596"/>
      <c r="Q92" s="608"/>
      <c r="R92" s="453"/>
      <c r="S92" s="453"/>
      <c r="T92" s="453"/>
      <c r="U92" s="753"/>
      <c r="V92" s="753"/>
      <c r="W92" s="753"/>
      <c r="X92" s="761"/>
      <c r="Y92" s="756"/>
      <c r="Z92" s="759"/>
      <c r="AA92" s="759"/>
      <c r="AB92" s="759"/>
      <c r="AC92" s="753"/>
      <c r="AD92" s="753"/>
      <c r="AE92" s="761"/>
      <c r="AF92" s="756"/>
      <c r="AG92" s="759"/>
      <c r="AH92" s="759"/>
      <c r="AI92" s="759"/>
      <c r="AJ92" s="753"/>
      <c r="AK92" s="753"/>
      <c r="AL92" s="761"/>
    </row>
    <row r="93" spans="2:38" x14ac:dyDescent="0.45">
      <c r="B93" s="924"/>
      <c r="C93" s="277"/>
      <c r="D93" s="341"/>
      <c r="E93" s="402">
        <v>0.3</v>
      </c>
      <c r="F93" s="269" t="s">
        <v>133</v>
      </c>
      <c r="G93" s="226" t="s">
        <v>456</v>
      </c>
      <c r="H93" s="226"/>
      <c r="I93" s="974"/>
      <c r="J93" s="475"/>
      <c r="K93" s="602"/>
      <c r="L93" s="433"/>
      <c r="M93" s="433">
        <f>E93*J87</f>
        <v>15.6</v>
      </c>
      <c r="N93" s="433"/>
      <c r="O93" s="597">
        <v>16</v>
      </c>
      <c r="P93" s="596" t="str">
        <f>F93</f>
        <v>Lbr</v>
      </c>
      <c r="Q93" s="608">
        <f>'Harga Bahan RAP'!G19</f>
        <v>45000</v>
      </c>
      <c r="R93" s="453"/>
      <c r="S93" s="453">
        <f>O93*Q93</f>
        <v>720000</v>
      </c>
      <c r="T93" s="453"/>
      <c r="U93" s="753"/>
      <c r="V93" s="753"/>
      <c r="W93" s="753"/>
      <c r="X93" s="761"/>
      <c r="Y93" s="756"/>
      <c r="Z93" s="759"/>
      <c r="AA93" s="759"/>
      <c r="AB93" s="759"/>
      <c r="AC93" s="753"/>
      <c r="AD93" s="753"/>
      <c r="AE93" s="761"/>
      <c r="AF93" s="756"/>
      <c r="AG93" s="759"/>
      <c r="AH93" s="759"/>
      <c r="AI93" s="759"/>
      <c r="AJ93" s="753"/>
      <c r="AK93" s="753"/>
      <c r="AL93" s="761"/>
    </row>
    <row r="94" spans="2:38" x14ac:dyDescent="0.45">
      <c r="B94" s="924"/>
      <c r="C94" s="277"/>
      <c r="D94" s="341"/>
      <c r="E94" s="402">
        <v>0.04</v>
      </c>
      <c r="F94" s="269" t="s">
        <v>39</v>
      </c>
      <c r="G94" s="226" t="s">
        <v>453</v>
      </c>
      <c r="H94" s="226"/>
      <c r="I94" s="974"/>
      <c r="J94" s="475"/>
      <c r="K94" s="602"/>
      <c r="L94" s="433"/>
      <c r="M94" s="433">
        <f>E94*J87</f>
        <v>2.08</v>
      </c>
      <c r="N94" s="433"/>
      <c r="O94" s="597">
        <v>2</v>
      </c>
      <c r="P94" s="596" t="str">
        <f>F94</f>
        <v>Kg</v>
      </c>
      <c r="Q94" s="608">
        <f>'Harga Bahan RAP'!G124</f>
        <v>21000</v>
      </c>
      <c r="R94" s="433"/>
      <c r="S94" s="453">
        <f t="shared" ref="S94:S97" si="4">O94*Q94</f>
        <v>42000</v>
      </c>
      <c r="T94" s="433"/>
      <c r="U94" s="753"/>
      <c r="V94" s="753"/>
      <c r="W94" s="753"/>
      <c r="X94" s="761"/>
      <c r="Y94" s="756"/>
      <c r="Z94" s="759"/>
      <c r="AA94" s="759"/>
      <c r="AB94" s="759"/>
      <c r="AC94" s="753"/>
      <c r="AD94" s="753"/>
      <c r="AE94" s="761"/>
      <c r="AF94" s="756"/>
      <c r="AG94" s="759"/>
      <c r="AH94" s="759"/>
      <c r="AI94" s="759"/>
      <c r="AJ94" s="753"/>
      <c r="AK94" s="753"/>
      <c r="AL94" s="761"/>
    </row>
    <row r="95" spans="2:38" x14ac:dyDescent="0.45">
      <c r="B95" s="924"/>
      <c r="C95" s="277"/>
      <c r="D95" s="341"/>
      <c r="E95" s="397"/>
      <c r="F95" s="269"/>
      <c r="G95" s="226"/>
      <c r="H95" s="226"/>
      <c r="I95" s="974"/>
      <c r="J95" s="475"/>
      <c r="K95" s="602"/>
      <c r="L95" s="433"/>
      <c r="M95" s="433">
        <f>E95*J87</f>
        <v>0</v>
      </c>
      <c r="N95" s="433"/>
      <c r="O95" s="597">
        <v>0</v>
      </c>
      <c r="P95" s="596">
        <f>F95</f>
        <v>0</v>
      </c>
      <c r="Q95" s="608">
        <v>0</v>
      </c>
      <c r="R95" s="433"/>
      <c r="S95" s="453">
        <f t="shared" si="4"/>
        <v>0</v>
      </c>
      <c r="T95" s="433"/>
      <c r="U95" s="753"/>
      <c r="V95" s="753"/>
      <c r="W95" s="753"/>
      <c r="X95" s="761"/>
      <c r="Y95" s="756"/>
      <c r="Z95" s="759"/>
      <c r="AA95" s="759"/>
      <c r="AB95" s="759"/>
      <c r="AC95" s="753"/>
      <c r="AD95" s="753"/>
      <c r="AE95" s="761"/>
      <c r="AF95" s="756"/>
      <c r="AG95" s="759"/>
      <c r="AH95" s="759"/>
      <c r="AI95" s="759"/>
      <c r="AJ95" s="753"/>
      <c r="AK95" s="753"/>
      <c r="AL95" s="761"/>
    </row>
    <row r="96" spans="2:38" x14ac:dyDescent="0.45">
      <c r="B96" s="924"/>
      <c r="C96" s="277"/>
      <c r="D96" s="341"/>
      <c r="E96" s="402"/>
      <c r="F96" s="269"/>
      <c r="G96" s="226"/>
      <c r="H96" s="226"/>
      <c r="I96" s="974"/>
      <c r="J96" s="475"/>
      <c r="K96" s="602"/>
      <c r="L96" s="433"/>
      <c r="M96" s="433">
        <f>E96*J87</f>
        <v>0</v>
      </c>
      <c r="N96" s="433"/>
      <c r="O96" s="597">
        <v>0</v>
      </c>
      <c r="P96" s="596">
        <f>F96</f>
        <v>0</v>
      </c>
      <c r="Q96" s="608">
        <v>0</v>
      </c>
      <c r="R96" s="433"/>
      <c r="S96" s="453">
        <f t="shared" si="4"/>
        <v>0</v>
      </c>
      <c r="T96" s="433"/>
      <c r="U96" s="753"/>
      <c r="V96" s="753"/>
      <c r="W96" s="753"/>
      <c r="X96" s="761"/>
      <c r="Y96" s="756"/>
      <c r="Z96" s="759"/>
      <c r="AA96" s="759"/>
      <c r="AB96" s="759"/>
      <c r="AC96" s="753"/>
      <c r="AD96" s="753"/>
      <c r="AE96" s="761"/>
      <c r="AF96" s="756"/>
      <c r="AG96" s="759"/>
      <c r="AH96" s="759"/>
      <c r="AI96" s="759"/>
      <c r="AJ96" s="753"/>
      <c r="AK96" s="753"/>
      <c r="AL96" s="761"/>
    </row>
    <row r="97" spans="2:38" x14ac:dyDescent="0.45">
      <c r="B97" s="924"/>
      <c r="C97" s="277"/>
      <c r="D97" s="341"/>
      <c r="E97" s="402"/>
      <c r="F97" s="269"/>
      <c r="G97" s="226"/>
      <c r="H97" s="226"/>
      <c r="I97" s="974"/>
      <c r="J97" s="475"/>
      <c r="K97" s="602"/>
      <c r="L97" s="433"/>
      <c r="M97" s="433">
        <f>E97*J87</f>
        <v>0</v>
      </c>
      <c r="N97" s="433"/>
      <c r="O97" s="597">
        <v>0</v>
      </c>
      <c r="P97" s="596">
        <f>F97</f>
        <v>0</v>
      </c>
      <c r="Q97" s="608"/>
      <c r="R97" s="433"/>
      <c r="S97" s="453">
        <f t="shared" si="4"/>
        <v>0</v>
      </c>
      <c r="T97" s="433"/>
      <c r="U97" s="753"/>
      <c r="V97" s="753"/>
      <c r="W97" s="753"/>
      <c r="X97" s="761"/>
      <c r="Y97" s="756"/>
      <c r="Z97" s="759"/>
      <c r="AA97" s="759"/>
      <c r="AB97" s="759"/>
      <c r="AC97" s="753"/>
      <c r="AD97" s="753"/>
      <c r="AE97" s="761"/>
      <c r="AF97" s="756"/>
      <c r="AG97" s="759"/>
      <c r="AH97" s="759"/>
      <c r="AI97" s="759"/>
      <c r="AJ97" s="753"/>
      <c r="AK97" s="753"/>
      <c r="AL97" s="761"/>
    </row>
    <row r="98" spans="2:38" ht="15.5" x14ac:dyDescent="0.45">
      <c r="B98" s="924"/>
      <c r="C98" s="277"/>
      <c r="D98" s="211"/>
      <c r="E98" s="267"/>
      <c r="F98" s="207" t="s">
        <v>6</v>
      </c>
      <c r="G98" s="208" t="s">
        <v>111</v>
      </c>
      <c r="H98" s="209"/>
      <c r="I98" s="966"/>
      <c r="J98" s="475"/>
      <c r="K98" s="602"/>
      <c r="L98" s="433"/>
      <c r="M98" s="433"/>
      <c r="N98" s="433"/>
      <c r="O98" s="597"/>
      <c r="P98" s="596"/>
      <c r="Q98" s="608"/>
      <c r="R98" s="433"/>
      <c r="S98" s="433"/>
      <c r="T98" s="433"/>
      <c r="U98" s="433"/>
      <c r="V98" s="433"/>
      <c r="W98" s="433"/>
      <c r="X98" s="659"/>
      <c r="Y98" s="661"/>
      <c r="Z98" s="433"/>
      <c r="AA98" s="433"/>
      <c r="AB98" s="433"/>
      <c r="AC98" s="433"/>
      <c r="AD98" s="433"/>
      <c r="AE98" s="644"/>
      <c r="AF98" s="661"/>
      <c r="AG98" s="433"/>
      <c r="AH98" s="433"/>
      <c r="AI98" s="433"/>
      <c r="AJ98" s="433"/>
      <c r="AK98" s="433"/>
      <c r="AL98" s="644"/>
    </row>
    <row r="99" spans="2:38" ht="15.5" x14ac:dyDescent="0.45">
      <c r="B99" s="924"/>
      <c r="C99" s="277"/>
      <c r="D99" s="211"/>
      <c r="E99" s="267"/>
      <c r="F99" s="207"/>
      <c r="G99" s="208"/>
      <c r="H99" s="209"/>
      <c r="I99" s="966"/>
      <c r="J99" s="475"/>
      <c r="K99" s="602"/>
      <c r="L99" s="433"/>
      <c r="M99" s="433"/>
      <c r="N99" s="433">
        <f>E99*J87</f>
        <v>0</v>
      </c>
      <c r="O99" s="597">
        <v>0</v>
      </c>
      <c r="P99" s="596">
        <v>0</v>
      </c>
      <c r="Q99" s="608"/>
      <c r="R99" s="433"/>
      <c r="S99" s="433"/>
      <c r="T99" s="453">
        <f>O99*Q99</f>
        <v>0</v>
      </c>
      <c r="U99" s="433"/>
      <c r="V99" s="433"/>
      <c r="W99" s="433"/>
      <c r="X99" s="659"/>
      <c r="Y99" s="661"/>
      <c r="Z99" s="433"/>
      <c r="AA99" s="433"/>
      <c r="AB99" s="433"/>
      <c r="AC99" s="433"/>
      <c r="AD99" s="433"/>
      <c r="AE99" s="644"/>
      <c r="AF99" s="661"/>
      <c r="AG99" s="433"/>
      <c r="AH99" s="433"/>
      <c r="AI99" s="433"/>
      <c r="AJ99" s="433"/>
      <c r="AK99" s="433"/>
      <c r="AL99" s="644"/>
    </row>
    <row r="100" spans="2:38" ht="15.5" x14ac:dyDescent="0.45">
      <c r="B100" s="924"/>
      <c r="C100" s="277"/>
      <c r="D100" s="211"/>
      <c r="E100" s="267"/>
      <c r="F100" s="207" t="s">
        <v>112</v>
      </c>
      <c r="G100" s="208" t="s">
        <v>113</v>
      </c>
      <c r="H100" s="209"/>
      <c r="I100" s="966"/>
      <c r="J100" s="475"/>
      <c r="K100" s="602"/>
      <c r="L100" s="433"/>
      <c r="M100" s="433"/>
      <c r="N100" s="433"/>
      <c r="O100" s="433"/>
      <c r="P100" s="433"/>
      <c r="Q100" s="595"/>
      <c r="R100" s="433"/>
      <c r="S100" s="433"/>
      <c r="T100" s="433"/>
      <c r="U100" s="433"/>
      <c r="V100" s="433"/>
      <c r="W100" s="433"/>
      <c r="X100" s="659"/>
      <c r="Y100" s="661"/>
      <c r="Z100" s="433"/>
      <c r="AA100" s="433"/>
      <c r="AB100" s="433"/>
      <c r="AC100" s="433"/>
      <c r="AD100" s="433"/>
      <c r="AE100" s="644"/>
      <c r="AF100" s="661"/>
      <c r="AG100" s="433"/>
      <c r="AH100" s="433"/>
      <c r="AI100" s="433"/>
      <c r="AJ100" s="433"/>
      <c r="AK100" s="433"/>
      <c r="AL100" s="644"/>
    </row>
    <row r="101" spans="2:38" ht="15.5" x14ac:dyDescent="0.45">
      <c r="B101" s="924"/>
      <c r="C101" s="277"/>
      <c r="D101" s="253"/>
      <c r="E101" s="275"/>
      <c r="F101" s="239" t="s">
        <v>114</v>
      </c>
      <c r="G101" s="257" t="str">
        <f>G78</f>
        <v>Overhead &amp; Profit</v>
      </c>
      <c r="H101" s="229"/>
      <c r="I101" s="980">
        <v>0.15</v>
      </c>
      <c r="J101" s="475"/>
      <c r="K101" s="602"/>
      <c r="L101" s="433"/>
      <c r="M101" s="433"/>
      <c r="N101" s="433"/>
      <c r="O101" s="433"/>
      <c r="P101" s="433"/>
      <c r="Q101" s="595"/>
      <c r="R101" s="433"/>
      <c r="S101" s="433"/>
      <c r="T101" s="433"/>
      <c r="U101" s="433"/>
      <c r="V101" s="433"/>
      <c r="W101" s="433"/>
      <c r="X101" s="659"/>
      <c r="Y101" s="661"/>
      <c r="Z101" s="433"/>
      <c r="AA101" s="433"/>
      <c r="AB101" s="433"/>
      <c r="AC101" s="433"/>
      <c r="AD101" s="433"/>
      <c r="AE101" s="644"/>
      <c r="AF101" s="661"/>
      <c r="AG101" s="433"/>
      <c r="AH101" s="433"/>
      <c r="AI101" s="433"/>
      <c r="AJ101" s="433"/>
      <c r="AK101" s="433"/>
      <c r="AL101" s="644"/>
    </row>
    <row r="102" spans="2:38" ht="16" thickBot="1" x14ac:dyDescent="0.5">
      <c r="B102" s="925"/>
      <c r="C102" s="831"/>
      <c r="D102" s="852"/>
      <c r="E102" s="911"/>
      <c r="F102" s="834" t="s">
        <v>115</v>
      </c>
      <c r="G102" s="816" t="s">
        <v>127</v>
      </c>
      <c r="H102" s="835"/>
      <c r="I102" s="981"/>
      <c r="J102" s="793"/>
      <c r="K102" s="763"/>
      <c r="L102" s="655"/>
      <c r="M102" s="655"/>
      <c r="N102" s="655"/>
      <c r="O102" s="655"/>
      <c r="P102" s="655"/>
      <c r="Q102" s="654"/>
      <c r="R102" s="655"/>
      <c r="S102" s="655"/>
      <c r="T102" s="655"/>
      <c r="U102" s="655"/>
      <c r="V102" s="655"/>
      <c r="W102" s="655"/>
      <c r="X102" s="660"/>
      <c r="Y102" s="662"/>
      <c r="Z102" s="655"/>
      <c r="AA102" s="655"/>
      <c r="AB102" s="655"/>
      <c r="AC102" s="655"/>
      <c r="AD102" s="655"/>
      <c r="AE102" s="656"/>
      <c r="AF102" s="662"/>
      <c r="AG102" s="655"/>
      <c r="AH102" s="655"/>
      <c r="AI102" s="655"/>
      <c r="AJ102" s="655"/>
      <c r="AK102" s="655"/>
      <c r="AL102" s="656"/>
    </row>
    <row r="103" spans="2:38" x14ac:dyDescent="0.45">
      <c r="D103" s="112"/>
      <c r="E103" s="195"/>
      <c r="G103" s="111"/>
      <c r="H103" s="111"/>
      <c r="I103" s="111"/>
      <c r="Z103" s="657"/>
      <c r="AA103" s="657"/>
      <c r="AB103" s="657"/>
      <c r="AC103" s="657"/>
      <c r="AD103" s="657"/>
      <c r="AE103" s="657"/>
      <c r="AG103" s="657"/>
      <c r="AH103" s="657"/>
      <c r="AI103" s="657"/>
      <c r="AJ103" s="657"/>
      <c r="AK103" s="657"/>
      <c r="AL103" s="657"/>
    </row>
    <row r="104" spans="2:38" ht="17" thickBot="1" x14ac:dyDescent="0.5">
      <c r="B104" s="749" t="s">
        <v>679</v>
      </c>
      <c r="C104" s="750" t="str">
        <f>RAP!B69</f>
        <v>Rangka Plafond Hollow Galvalume / Zincalume 0.35 mm</v>
      </c>
      <c r="D104" s="241"/>
      <c r="E104" s="241"/>
      <c r="F104" s="276"/>
      <c r="G104" s="240"/>
      <c r="H104" s="241"/>
      <c r="I104" s="241"/>
      <c r="J104" s="604"/>
      <c r="K104" s="603"/>
      <c r="L104" s="604"/>
      <c r="M104" s="604"/>
      <c r="N104" s="604"/>
      <c r="O104" s="604"/>
      <c r="P104" s="604"/>
      <c r="Q104" s="604"/>
      <c r="R104" s="609"/>
      <c r="S104" s="609"/>
      <c r="T104" s="609"/>
      <c r="U104" s="609"/>
      <c r="V104" s="609"/>
      <c r="W104" s="609"/>
      <c r="X104" s="609"/>
      <c r="Y104" s="609"/>
      <c r="Z104" s="609"/>
      <c r="AA104" s="609"/>
      <c r="AB104" s="609"/>
      <c r="AC104" s="609"/>
      <c r="AD104" s="609"/>
      <c r="AE104" s="609"/>
      <c r="AF104" s="609"/>
      <c r="AG104" s="609"/>
      <c r="AH104" s="609"/>
      <c r="AI104" s="609"/>
      <c r="AJ104" s="609"/>
      <c r="AK104" s="609"/>
      <c r="AL104" s="609"/>
    </row>
    <row r="105" spans="2:38" ht="19.5" customHeight="1" x14ac:dyDescent="0.45">
      <c r="B105" s="1168" t="s">
        <v>99</v>
      </c>
      <c r="C105" s="1171" t="s">
        <v>100</v>
      </c>
      <c r="D105" s="1171" t="s">
        <v>89</v>
      </c>
      <c r="E105" s="1171" t="s">
        <v>101</v>
      </c>
      <c r="F105" s="1171" t="s">
        <v>102</v>
      </c>
      <c r="G105" s="1109" t="s">
        <v>103</v>
      </c>
      <c r="H105" s="1110"/>
      <c r="I105" s="1175"/>
      <c r="J105" s="1152" t="s">
        <v>539</v>
      </c>
      <c r="K105" s="1152"/>
      <c r="L105" s="1152"/>
      <c r="M105" s="1152"/>
      <c r="N105" s="1152"/>
      <c r="O105" s="1152"/>
      <c r="P105" s="1152"/>
      <c r="Q105" s="1152"/>
      <c r="R105" s="1152"/>
      <c r="S105" s="1152"/>
      <c r="T105" s="1152"/>
      <c r="U105" s="1152"/>
      <c r="V105" s="1152"/>
      <c r="W105" s="1152"/>
      <c r="X105" s="1152"/>
      <c r="Y105" s="1153" t="s">
        <v>540</v>
      </c>
      <c r="Z105" s="1154"/>
      <c r="AA105" s="1154"/>
      <c r="AB105" s="1154"/>
      <c r="AC105" s="1154"/>
      <c r="AD105" s="1154"/>
      <c r="AE105" s="1155"/>
      <c r="AF105" s="1156" t="s">
        <v>541</v>
      </c>
      <c r="AG105" s="1157"/>
      <c r="AH105" s="1157"/>
      <c r="AI105" s="1157"/>
      <c r="AJ105" s="1157"/>
      <c r="AK105" s="1157"/>
      <c r="AL105" s="1158"/>
    </row>
    <row r="106" spans="2:38" ht="45" x14ac:dyDescent="0.45">
      <c r="B106" s="1169"/>
      <c r="C106" s="1089"/>
      <c r="D106" s="1089"/>
      <c r="E106" s="1089"/>
      <c r="F106" s="1089"/>
      <c r="G106" s="1026"/>
      <c r="H106" s="1027"/>
      <c r="I106" s="1176"/>
      <c r="J106" s="1173" t="s">
        <v>15</v>
      </c>
      <c r="K106" s="673" t="s">
        <v>493</v>
      </c>
      <c r="L106" s="1161" t="s">
        <v>491</v>
      </c>
      <c r="M106" s="1162"/>
      <c r="N106" s="1162"/>
      <c r="O106" s="1162"/>
      <c r="P106" s="1163"/>
      <c r="Q106" s="674" t="s">
        <v>533</v>
      </c>
      <c r="R106" s="1161" t="s">
        <v>501</v>
      </c>
      <c r="S106" s="1162"/>
      <c r="T106" s="1163"/>
      <c r="U106" s="674" t="s">
        <v>530</v>
      </c>
      <c r="V106" s="674" t="s">
        <v>531</v>
      </c>
      <c r="W106" s="674" t="s">
        <v>578</v>
      </c>
      <c r="X106" s="681" t="s">
        <v>579</v>
      </c>
      <c r="Y106" s="1164" t="s">
        <v>534</v>
      </c>
      <c r="Z106" s="1165"/>
      <c r="AA106" s="663" t="s">
        <v>537</v>
      </c>
      <c r="AB106" s="664" t="s">
        <v>538</v>
      </c>
      <c r="AC106" s="665" t="s">
        <v>530</v>
      </c>
      <c r="AD106" s="665" t="s">
        <v>578</v>
      </c>
      <c r="AE106" s="682" t="s">
        <v>579</v>
      </c>
      <c r="AF106" s="1166" t="s">
        <v>542</v>
      </c>
      <c r="AG106" s="1167"/>
      <c r="AH106" s="737" t="s">
        <v>543</v>
      </c>
      <c r="AI106" s="738" t="s">
        <v>544</v>
      </c>
      <c r="AJ106" s="739" t="s">
        <v>530</v>
      </c>
      <c r="AK106" s="739" t="s">
        <v>578</v>
      </c>
      <c r="AL106" s="740" t="s">
        <v>579</v>
      </c>
    </row>
    <row r="107" spans="2:38" ht="30" x14ac:dyDescent="0.45">
      <c r="B107" s="1170"/>
      <c r="C107" s="1090"/>
      <c r="D107" s="1090"/>
      <c r="E107" s="1090"/>
      <c r="F107" s="1090"/>
      <c r="G107" s="1085"/>
      <c r="H107" s="1086"/>
      <c r="I107" s="1177"/>
      <c r="J107" s="1174"/>
      <c r="K107" s="675" t="s">
        <v>495</v>
      </c>
      <c r="L107" s="676" t="s">
        <v>524</v>
      </c>
      <c r="M107" s="676" t="s">
        <v>525</v>
      </c>
      <c r="N107" s="676" t="s">
        <v>526</v>
      </c>
      <c r="O107" s="675" t="s">
        <v>517</v>
      </c>
      <c r="P107" s="675" t="s">
        <v>290</v>
      </c>
      <c r="Q107" s="675" t="s">
        <v>532</v>
      </c>
      <c r="R107" s="676" t="s">
        <v>527</v>
      </c>
      <c r="S107" s="676" t="s">
        <v>528</v>
      </c>
      <c r="T107" s="677" t="s">
        <v>529</v>
      </c>
      <c r="U107" s="675" t="s">
        <v>502</v>
      </c>
      <c r="V107" s="675" t="s">
        <v>502</v>
      </c>
      <c r="W107" s="675" t="s">
        <v>502</v>
      </c>
      <c r="X107" s="678" t="s">
        <v>504</v>
      </c>
      <c r="Y107" s="666" t="s">
        <v>535</v>
      </c>
      <c r="Z107" s="667" t="s">
        <v>536</v>
      </c>
      <c r="AA107" s="668" t="s">
        <v>532</v>
      </c>
      <c r="AB107" s="668" t="s">
        <v>532</v>
      </c>
      <c r="AC107" s="668" t="s">
        <v>532</v>
      </c>
      <c r="AD107" s="668" t="s">
        <v>532</v>
      </c>
      <c r="AE107" s="669" t="s">
        <v>532</v>
      </c>
      <c r="AF107" s="741" t="s">
        <v>535</v>
      </c>
      <c r="AG107" s="742" t="s">
        <v>536</v>
      </c>
      <c r="AH107" s="743" t="s">
        <v>532</v>
      </c>
      <c r="AI107" s="743" t="s">
        <v>532</v>
      </c>
      <c r="AJ107" s="743" t="s">
        <v>532</v>
      </c>
      <c r="AK107" s="743" t="s">
        <v>532</v>
      </c>
      <c r="AL107" s="744" t="s">
        <v>532</v>
      </c>
    </row>
    <row r="108" spans="2:38" ht="30" x14ac:dyDescent="0.45">
      <c r="B108" s="639" t="s">
        <v>4</v>
      </c>
      <c r="C108" s="600" t="s">
        <v>5</v>
      </c>
      <c r="D108" s="570" t="s">
        <v>6</v>
      </c>
      <c r="E108" s="570" t="s">
        <v>112</v>
      </c>
      <c r="F108" s="570" t="s">
        <v>114</v>
      </c>
      <c r="G108" s="1014" t="s">
        <v>115</v>
      </c>
      <c r="H108" s="1014"/>
      <c r="I108" s="1172"/>
      <c r="J108" s="791" t="s">
        <v>21</v>
      </c>
      <c r="K108" s="675" t="s">
        <v>496</v>
      </c>
      <c r="L108" s="675" t="s">
        <v>497</v>
      </c>
      <c r="M108" s="675" t="s">
        <v>498</v>
      </c>
      <c r="N108" s="675" t="s">
        <v>499</v>
      </c>
      <c r="O108" s="676" t="s">
        <v>552</v>
      </c>
      <c r="P108" s="675" t="s">
        <v>512</v>
      </c>
      <c r="Q108" s="675" t="s">
        <v>503</v>
      </c>
      <c r="R108" s="675" t="s">
        <v>553</v>
      </c>
      <c r="S108" s="675" t="s">
        <v>513</v>
      </c>
      <c r="T108" s="675" t="s">
        <v>514</v>
      </c>
      <c r="U108" s="675" t="s">
        <v>554</v>
      </c>
      <c r="V108" s="675" t="s">
        <v>515</v>
      </c>
      <c r="W108" s="675" t="s">
        <v>555</v>
      </c>
      <c r="X108" s="678" t="s">
        <v>516</v>
      </c>
      <c r="Y108" s="670" t="s">
        <v>556</v>
      </c>
      <c r="Z108" s="671" t="s">
        <v>557</v>
      </c>
      <c r="AA108" s="671" t="s">
        <v>558</v>
      </c>
      <c r="AB108" s="671" t="s">
        <v>559</v>
      </c>
      <c r="AC108" s="671" t="s">
        <v>560</v>
      </c>
      <c r="AD108" s="671" t="s">
        <v>561</v>
      </c>
      <c r="AE108" s="672" t="s">
        <v>562</v>
      </c>
      <c r="AF108" s="745" t="s">
        <v>563</v>
      </c>
      <c r="AG108" s="746" t="s">
        <v>564</v>
      </c>
      <c r="AH108" s="746" t="s">
        <v>565</v>
      </c>
      <c r="AI108" s="746" t="s">
        <v>566</v>
      </c>
      <c r="AJ108" s="746" t="s">
        <v>567</v>
      </c>
      <c r="AK108" s="746" t="s">
        <v>568</v>
      </c>
      <c r="AL108" s="747" t="s">
        <v>569</v>
      </c>
    </row>
    <row r="109" spans="2:38" x14ac:dyDescent="0.45">
      <c r="B109" s="812">
        <v>5</v>
      </c>
      <c r="C109" s="439" t="s">
        <v>458</v>
      </c>
      <c r="D109" s="555"/>
      <c r="E109" s="556">
        <v>1</v>
      </c>
      <c r="F109" s="448" t="s">
        <v>30</v>
      </c>
      <c r="G109" s="557" t="s">
        <v>459</v>
      </c>
      <c r="H109" s="555"/>
      <c r="I109" s="994"/>
      <c r="J109" s="789"/>
      <c r="K109" s="789"/>
      <c r="L109" s="789"/>
      <c r="M109" s="789"/>
      <c r="N109" s="789"/>
      <c r="O109" s="789"/>
      <c r="P109" s="789"/>
      <c r="Q109" s="789"/>
      <c r="R109" s="789"/>
      <c r="S109" s="789"/>
      <c r="T109" s="789"/>
      <c r="U109" s="789"/>
      <c r="V109" s="789"/>
      <c r="W109" s="789"/>
      <c r="X109" s="789"/>
      <c r="Y109" s="789"/>
      <c r="Z109" s="789"/>
      <c r="AA109" s="789"/>
      <c r="AB109" s="789"/>
      <c r="AC109" s="789"/>
      <c r="AD109" s="789"/>
      <c r="AE109" s="789"/>
      <c r="AF109" s="789"/>
      <c r="AG109" s="789"/>
      <c r="AH109" s="789"/>
      <c r="AI109" s="789"/>
      <c r="AJ109" s="789"/>
      <c r="AK109" s="789"/>
      <c r="AL109" s="790"/>
    </row>
    <row r="110" spans="2:38" ht="15.5" x14ac:dyDescent="0.45">
      <c r="B110" s="876"/>
      <c r="C110" s="277"/>
      <c r="D110" s="226"/>
      <c r="E110" s="390"/>
      <c r="F110" s="206" t="s">
        <v>4</v>
      </c>
      <c r="G110" s="274" t="s">
        <v>120</v>
      </c>
      <c r="H110" s="204"/>
      <c r="I110" s="995"/>
      <c r="J110" s="792">
        <f>RAP!E69</f>
        <v>428.48</v>
      </c>
      <c r="K110" s="601">
        <v>8</v>
      </c>
      <c r="L110" s="319"/>
      <c r="M110" s="319"/>
      <c r="N110" s="319"/>
      <c r="O110" s="598"/>
      <c r="P110" s="598"/>
      <c r="Q110" s="605"/>
      <c r="R110" s="485"/>
      <c r="S110" s="485"/>
      <c r="T110" s="485"/>
      <c r="U110" s="752">
        <f>SUM(R110:R125)+(SUM(S110:S125)+SUM(T110:T125))</f>
        <v>42665000</v>
      </c>
      <c r="V110" s="754">
        <f>RAP!H69</f>
        <v>46468977.359999999</v>
      </c>
      <c r="W110" s="752">
        <f>V110-U110</f>
        <v>3803977.3599999994</v>
      </c>
      <c r="X110" s="760">
        <f>W110/V110*100</f>
        <v>8.1860578306472966</v>
      </c>
      <c r="Y110" s="755">
        <f>SUM(R110:R125)/J110</f>
        <v>55638.536221060487</v>
      </c>
      <c r="Z110" s="757">
        <v>50000</v>
      </c>
      <c r="AA110" s="758">
        <f>J110*Z110</f>
        <v>21424000</v>
      </c>
      <c r="AB110" s="758">
        <f>SUM(S110:S125)+SUM(T110:T125)</f>
        <v>18825000</v>
      </c>
      <c r="AC110" s="752">
        <f>AA110+AB110</f>
        <v>40249000</v>
      </c>
      <c r="AD110" s="752">
        <f>V110-AC110</f>
        <v>6219977.3599999994</v>
      </c>
      <c r="AE110" s="760">
        <f>AD110/V110*100</f>
        <v>13.385225398470011</v>
      </c>
      <c r="AF110" s="755">
        <f>(SUM(R110:R125)+SUM(S110:S125))/J110</f>
        <v>99572.908887229278</v>
      </c>
      <c r="AG110" s="757">
        <v>95000</v>
      </c>
      <c r="AH110" s="758">
        <f>AG110*J110</f>
        <v>40705600</v>
      </c>
      <c r="AI110" s="758">
        <f>SUM(T110:T125)</f>
        <v>0</v>
      </c>
      <c r="AJ110" s="752">
        <f>AH110+AI110</f>
        <v>40705600</v>
      </c>
      <c r="AK110" s="752">
        <f>V110-AJ110</f>
        <v>5763377.3599999994</v>
      </c>
      <c r="AL110" s="760">
        <f>AK110/V110*100</f>
        <v>12.402634375511463</v>
      </c>
    </row>
    <row r="111" spans="2:38" ht="15.5" x14ac:dyDescent="0.45">
      <c r="B111" s="877"/>
      <c r="C111" s="277"/>
      <c r="D111" s="279" t="s">
        <v>107</v>
      </c>
      <c r="E111" s="381">
        <v>0.35</v>
      </c>
      <c r="F111" s="267" t="s">
        <v>108</v>
      </c>
      <c r="G111" s="339" t="s">
        <v>51</v>
      </c>
      <c r="H111" s="209"/>
      <c r="I111" s="966"/>
      <c r="J111" s="475"/>
      <c r="K111" s="602"/>
      <c r="L111" s="433">
        <f>E111*J110/K110</f>
        <v>18.745999999999999</v>
      </c>
      <c r="M111" s="433"/>
      <c r="N111" s="433"/>
      <c r="O111" s="597">
        <v>18</v>
      </c>
      <c r="P111" s="596" t="str">
        <f>F111</f>
        <v>OH</v>
      </c>
      <c r="Q111" s="608">
        <f>Q88</f>
        <v>75000</v>
      </c>
      <c r="R111" s="453">
        <f>O111*Q111*K110</f>
        <v>10800000</v>
      </c>
      <c r="S111" s="453"/>
      <c r="T111" s="453"/>
      <c r="U111" s="753"/>
      <c r="V111" s="753"/>
      <c r="W111" s="753"/>
      <c r="X111" s="761"/>
      <c r="Y111" s="756"/>
      <c r="Z111" s="759"/>
      <c r="AA111" s="759"/>
      <c r="AB111" s="759"/>
      <c r="AC111" s="753"/>
      <c r="AD111" s="753"/>
      <c r="AE111" s="761"/>
      <c r="AF111" s="756"/>
      <c r="AG111" s="759"/>
      <c r="AH111" s="759"/>
      <c r="AI111" s="759"/>
      <c r="AJ111" s="753"/>
      <c r="AK111" s="753"/>
      <c r="AL111" s="761"/>
    </row>
    <row r="112" spans="2:38" ht="15.5" x14ac:dyDescent="0.45">
      <c r="B112" s="877"/>
      <c r="C112" s="277"/>
      <c r="D112" s="279" t="s">
        <v>121</v>
      </c>
      <c r="E112" s="381">
        <v>0.35</v>
      </c>
      <c r="F112" s="267" t="s">
        <v>108</v>
      </c>
      <c r="G112" s="339" t="s">
        <v>58</v>
      </c>
      <c r="H112" s="209"/>
      <c r="I112" s="966"/>
      <c r="J112" s="475"/>
      <c r="K112" s="602"/>
      <c r="L112" s="433">
        <f>E112*J110/K110</f>
        <v>18.745999999999999</v>
      </c>
      <c r="M112" s="433"/>
      <c r="N112" s="433"/>
      <c r="O112" s="597">
        <v>18</v>
      </c>
      <c r="P112" s="596" t="str">
        <f>F112</f>
        <v>OH</v>
      </c>
      <c r="Q112" s="608">
        <f t="shared" ref="Q112:Q114" si="5">Q89</f>
        <v>85000</v>
      </c>
      <c r="R112" s="453">
        <f>O112*Q112*K110</f>
        <v>12240000</v>
      </c>
      <c r="S112" s="453"/>
      <c r="T112" s="453"/>
      <c r="U112" s="753"/>
      <c r="V112" s="753"/>
      <c r="W112" s="753"/>
      <c r="X112" s="761"/>
      <c r="Y112" s="756"/>
      <c r="Z112" s="759"/>
      <c r="AA112" s="759"/>
      <c r="AB112" s="759"/>
      <c r="AC112" s="753"/>
      <c r="AD112" s="753"/>
      <c r="AE112" s="761"/>
      <c r="AF112" s="756"/>
      <c r="AG112" s="759"/>
      <c r="AH112" s="759"/>
      <c r="AI112" s="759"/>
      <c r="AJ112" s="753"/>
      <c r="AK112" s="753"/>
      <c r="AL112" s="761"/>
    </row>
    <row r="113" spans="2:38" ht="15.5" x14ac:dyDescent="0.45">
      <c r="B113" s="877"/>
      <c r="C113" s="277"/>
      <c r="D113" s="279" t="s">
        <v>122</v>
      </c>
      <c r="E113" s="381">
        <v>3.5000000000000003E-2</v>
      </c>
      <c r="F113" s="267" t="s">
        <v>108</v>
      </c>
      <c r="G113" s="339" t="s">
        <v>123</v>
      </c>
      <c r="H113" s="209"/>
      <c r="I113" s="966"/>
      <c r="J113" s="475"/>
      <c r="K113" s="602"/>
      <c r="L113" s="433">
        <f>E113*J110/K110</f>
        <v>1.8746000000000003</v>
      </c>
      <c r="M113" s="433"/>
      <c r="N113" s="433"/>
      <c r="O113" s="597">
        <v>0</v>
      </c>
      <c r="P113" s="596" t="str">
        <f>F113</f>
        <v>OH</v>
      </c>
      <c r="Q113" s="608">
        <f t="shared" si="5"/>
        <v>90000</v>
      </c>
      <c r="R113" s="453">
        <f>O113*Q113*K110</f>
        <v>0</v>
      </c>
      <c r="S113" s="453"/>
      <c r="T113" s="453"/>
      <c r="U113" s="753"/>
      <c r="V113" s="753"/>
      <c r="W113" s="753"/>
      <c r="X113" s="761"/>
      <c r="Y113" s="756"/>
      <c r="Z113" s="759"/>
      <c r="AA113" s="759"/>
      <c r="AB113" s="759"/>
      <c r="AC113" s="753"/>
      <c r="AD113" s="753"/>
      <c r="AE113" s="761"/>
      <c r="AF113" s="756"/>
      <c r="AG113" s="759"/>
      <c r="AH113" s="759"/>
      <c r="AI113" s="759"/>
      <c r="AJ113" s="753"/>
      <c r="AK113" s="753"/>
      <c r="AL113" s="761"/>
    </row>
    <row r="114" spans="2:38" ht="15.5" x14ac:dyDescent="0.45">
      <c r="B114" s="877"/>
      <c r="C114" s="277"/>
      <c r="D114" s="369" t="s">
        <v>109</v>
      </c>
      <c r="E114" s="382">
        <v>1.7999999999999999E-2</v>
      </c>
      <c r="F114" s="271" t="s">
        <v>108</v>
      </c>
      <c r="G114" s="370" t="s">
        <v>52</v>
      </c>
      <c r="H114" s="226"/>
      <c r="I114" s="974"/>
      <c r="J114" s="475"/>
      <c r="K114" s="602"/>
      <c r="L114" s="433">
        <f>E114*J110/K110</f>
        <v>0.96407999999999994</v>
      </c>
      <c r="M114" s="433"/>
      <c r="N114" s="433"/>
      <c r="O114" s="597">
        <v>1</v>
      </c>
      <c r="P114" s="596" t="str">
        <f>F114</f>
        <v>OH</v>
      </c>
      <c r="Q114" s="608">
        <f t="shared" si="5"/>
        <v>100000</v>
      </c>
      <c r="R114" s="453">
        <f>O114*Q114*K110</f>
        <v>800000</v>
      </c>
      <c r="S114" s="453"/>
      <c r="T114" s="453"/>
      <c r="U114" s="753"/>
      <c r="V114" s="753"/>
      <c r="W114" s="753"/>
      <c r="X114" s="761"/>
      <c r="Y114" s="756"/>
      <c r="Z114" s="759"/>
      <c r="AA114" s="759"/>
      <c r="AB114" s="759"/>
      <c r="AC114" s="753"/>
      <c r="AD114" s="753"/>
      <c r="AE114" s="761"/>
      <c r="AF114" s="756"/>
      <c r="AG114" s="759"/>
      <c r="AH114" s="759"/>
      <c r="AI114" s="759"/>
      <c r="AJ114" s="753"/>
      <c r="AK114" s="753"/>
      <c r="AL114" s="761"/>
    </row>
    <row r="115" spans="2:38" ht="15.5" x14ac:dyDescent="0.45">
      <c r="B115" s="877"/>
      <c r="C115" s="277"/>
      <c r="D115" s="232"/>
      <c r="E115" s="391"/>
      <c r="F115" s="285" t="s">
        <v>5</v>
      </c>
      <c r="G115" s="353" t="s">
        <v>124</v>
      </c>
      <c r="H115" s="231"/>
      <c r="I115" s="968"/>
      <c r="J115" s="475"/>
      <c r="K115" s="602"/>
      <c r="L115" s="433"/>
      <c r="M115" s="433"/>
      <c r="N115" s="433"/>
      <c r="O115" s="597"/>
      <c r="P115" s="596"/>
      <c r="Q115" s="608"/>
      <c r="R115" s="453"/>
      <c r="S115" s="453"/>
      <c r="T115" s="453"/>
      <c r="U115" s="753"/>
      <c r="V115" s="753"/>
      <c r="W115" s="753"/>
      <c r="X115" s="761"/>
      <c r="Y115" s="756"/>
      <c r="Z115" s="759"/>
      <c r="AA115" s="759"/>
      <c r="AB115" s="759"/>
      <c r="AC115" s="753"/>
      <c r="AD115" s="753"/>
      <c r="AE115" s="761"/>
      <c r="AF115" s="756"/>
      <c r="AG115" s="759"/>
      <c r="AH115" s="759"/>
      <c r="AI115" s="759"/>
      <c r="AJ115" s="753"/>
      <c r="AK115" s="753"/>
      <c r="AL115" s="761"/>
    </row>
    <row r="116" spans="2:38" ht="15.5" x14ac:dyDescent="0.45">
      <c r="B116" s="877"/>
      <c r="C116" s="277"/>
      <c r="D116" s="842"/>
      <c r="E116" s="928">
        <f>4/4</f>
        <v>1</v>
      </c>
      <c r="F116" s="819" t="s">
        <v>365</v>
      </c>
      <c r="G116" s="842" t="s">
        <v>460</v>
      </c>
      <c r="H116" s="821"/>
      <c r="I116" s="977"/>
      <c r="J116" s="475"/>
      <c r="K116" s="602"/>
      <c r="L116" s="433"/>
      <c r="M116" s="433">
        <f>E116*J110</f>
        <v>428.48</v>
      </c>
      <c r="N116" s="433"/>
      <c r="O116" s="597">
        <v>429</v>
      </c>
      <c r="P116" s="596" t="str">
        <f>F116</f>
        <v>btg</v>
      </c>
      <c r="Q116" s="608">
        <f>'Harga Bahan RAP'!G52</f>
        <v>25000</v>
      </c>
      <c r="R116" s="453"/>
      <c r="S116" s="453">
        <f>O116*Q116</f>
        <v>10725000</v>
      </c>
      <c r="T116" s="453"/>
      <c r="U116" s="753"/>
      <c r="V116" s="753"/>
      <c r="W116" s="753"/>
      <c r="X116" s="761"/>
      <c r="Y116" s="756"/>
      <c r="Z116" s="759"/>
      <c r="AA116" s="759"/>
      <c r="AB116" s="759"/>
      <c r="AC116" s="753"/>
      <c r="AD116" s="753"/>
      <c r="AE116" s="761"/>
      <c r="AF116" s="756"/>
      <c r="AG116" s="759"/>
      <c r="AH116" s="759"/>
      <c r="AI116" s="759"/>
      <c r="AJ116" s="753"/>
      <c r="AK116" s="753"/>
      <c r="AL116" s="761"/>
    </row>
    <row r="117" spans="2:38" ht="15.5" x14ac:dyDescent="0.45">
      <c r="B117" s="877"/>
      <c r="C117" s="277"/>
      <c r="D117" s="370"/>
      <c r="E117" s="342">
        <v>1</v>
      </c>
      <c r="F117" s="271" t="s">
        <v>175</v>
      </c>
      <c r="G117" s="370" t="s">
        <v>461</v>
      </c>
      <c r="H117" s="226"/>
      <c r="I117" s="974"/>
      <c r="J117" s="475"/>
      <c r="K117" s="602"/>
      <c r="L117" s="433"/>
      <c r="M117" s="433">
        <f>E117*J110</f>
        <v>428.48</v>
      </c>
      <c r="N117" s="433"/>
      <c r="O117" s="597">
        <v>0</v>
      </c>
      <c r="P117" s="596" t="str">
        <f>F117</f>
        <v>Ls</v>
      </c>
      <c r="Q117" s="608">
        <v>0</v>
      </c>
      <c r="R117" s="433"/>
      <c r="S117" s="453">
        <f t="shared" ref="S117:S120" si="6">O117*Q117</f>
        <v>0</v>
      </c>
      <c r="T117" s="433"/>
      <c r="U117" s="753"/>
      <c r="V117" s="753"/>
      <c r="W117" s="753"/>
      <c r="X117" s="761"/>
      <c r="Y117" s="756"/>
      <c r="Z117" s="759"/>
      <c r="AA117" s="759"/>
      <c r="AB117" s="759"/>
      <c r="AC117" s="753"/>
      <c r="AD117" s="753"/>
      <c r="AE117" s="761"/>
      <c r="AF117" s="756"/>
      <c r="AG117" s="759"/>
      <c r="AH117" s="759"/>
      <c r="AI117" s="759"/>
      <c r="AJ117" s="753"/>
      <c r="AK117" s="753"/>
      <c r="AL117" s="761"/>
    </row>
    <row r="118" spans="2:38" ht="15.5" x14ac:dyDescent="0.45">
      <c r="B118" s="877"/>
      <c r="C118" s="277"/>
      <c r="D118" s="929"/>
      <c r="E118" s="930">
        <f>4/4</f>
        <v>1</v>
      </c>
      <c r="F118" s="931" t="s">
        <v>365</v>
      </c>
      <c r="G118" s="929" t="s">
        <v>680</v>
      </c>
      <c r="H118" s="932"/>
      <c r="I118" s="996"/>
      <c r="J118" s="475"/>
      <c r="K118" s="602"/>
      <c r="L118" s="433"/>
      <c r="M118" s="433">
        <f>E118*J110</f>
        <v>428.48</v>
      </c>
      <c r="N118" s="433"/>
      <c r="O118" s="597">
        <v>429</v>
      </c>
      <c r="P118" s="596" t="str">
        <f>F118</f>
        <v>btg</v>
      </c>
      <c r="Q118" s="608">
        <f>'Harga Bahan RAP'!G53</f>
        <v>18000</v>
      </c>
      <c r="R118" s="433"/>
      <c r="S118" s="453">
        <f t="shared" si="6"/>
        <v>7722000</v>
      </c>
      <c r="T118" s="433"/>
      <c r="U118" s="753"/>
      <c r="V118" s="753"/>
      <c r="W118" s="753"/>
      <c r="X118" s="761"/>
      <c r="Y118" s="756"/>
      <c r="Z118" s="759"/>
      <c r="AA118" s="759"/>
      <c r="AB118" s="759"/>
      <c r="AC118" s="753"/>
      <c r="AD118" s="753"/>
      <c r="AE118" s="761"/>
      <c r="AF118" s="756"/>
      <c r="AG118" s="759"/>
      <c r="AH118" s="759"/>
      <c r="AI118" s="759"/>
      <c r="AJ118" s="753"/>
      <c r="AK118" s="753"/>
      <c r="AL118" s="761"/>
    </row>
    <row r="119" spans="2:38" ht="15.5" x14ac:dyDescent="0.45">
      <c r="B119" s="877"/>
      <c r="C119" s="277"/>
      <c r="D119" s="929"/>
      <c r="E119" s="930">
        <v>0.04</v>
      </c>
      <c r="F119" s="931" t="s">
        <v>66</v>
      </c>
      <c r="G119" s="929" t="s">
        <v>270</v>
      </c>
      <c r="H119" s="932"/>
      <c r="I119" s="996"/>
      <c r="J119" s="475"/>
      <c r="K119" s="602"/>
      <c r="L119" s="433"/>
      <c r="M119" s="433">
        <f>E119*J110</f>
        <v>17.139200000000002</v>
      </c>
      <c r="N119" s="433"/>
      <c r="O119" s="597">
        <v>18</v>
      </c>
      <c r="P119" s="596" t="str">
        <f>F119</f>
        <v>kg</v>
      </c>
      <c r="Q119" s="608">
        <f>'Harga Bahan RAP'!G124</f>
        <v>21000</v>
      </c>
      <c r="R119" s="433"/>
      <c r="S119" s="453">
        <f t="shared" si="6"/>
        <v>378000</v>
      </c>
      <c r="T119" s="433"/>
      <c r="U119" s="753"/>
      <c r="V119" s="753"/>
      <c r="W119" s="753"/>
      <c r="X119" s="761"/>
      <c r="Y119" s="756"/>
      <c r="Z119" s="759"/>
      <c r="AA119" s="759"/>
      <c r="AB119" s="759"/>
      <c r="AC119" s="753"/>
      <c r="AD119" s="753"/>
      <c r="AE119" s="761"/>
      <c r="AF119" s="756"/>
      <c r="AG119" s="759"/>
      <c r="AH119" s="759"/>
      <c r="AI119" s="759"/>
      <c r="AJ119" s="753"/>
      <c r="AK119" s="753"/>
      <c r="AL119" s="761"/>
    </row>
    <row r="120" spans="2:38" ht="15.5" x14ac:dyDescent="0.45">
      <c r="B120" s="877"/>
      <c r="C120" s="277"/>
      <c r="D120" s="226"/>
      <c r="E120" s="342"/>
      <c r="F120" s="271"/>
      <c r="G120" s="226"/>
      <c r="H120" s="226"/>
      <c r="I120" s="974"/>
      <c r="J120" s="475"/>
      <c r="K120" s="602"/>
      <c r="L120" s="433"/>
      <c r="M120" s="433">
        <f>E120*J110</f>
        <v>0</v>
      </c>
      <c r="N120" s="433"/>
      <c r="O120" s="597">
        <v>0</v>
      </c>
      <c r="P120" s="596">
        <f>F120</f>
        <v>0</v>
      </c>
      <c r="Q120" s="608"/>
      <c r="R120" s="433"/>
      <c r="S120" s="453">
        <f t="shared" si="6"/>
        <v>0</v>
      </c>
      <c r="T120" s="433"/>
      <c r="U120" s="753"/>
      <c r="V120" s="753"/>
      <c r="W120" s="753"/>
      <c r="X120" s="761"/>
      <c r="Y120" s="756"/>
      <c r="Z120" s="759"/>
      <c r="AA120" s="759"/>
      <c r="AB120" s="759"/>
      <c r="AC120" s="753"/>
      <c r="AD120" s="753"/>
      <c r="AE120" s="761"/>
      <c r="AF120" s="756"/>
      <c r="AG120" s="759"/>
      <c r="AH120" s="759"/>
      <c r="AI120" s="759"/>
      <c r="AJ120" s="753"/>
      <c r="AK120" s="753"/>
      <c r="AL120" s="761"/>
    </row>
    <row r="121" spans="2:38" x14ac:dyDescent="0.45">
      <c r="B121" s="814"/>
      <c r="C121" s="277"/>
      <c r="D121" s="379"/>
      <c r="E121" s="384"/>
      <c r="F121" s="207" t="s">
        <v>6</v>
      </c>
      <c r="G121" s="208" t="s">
        <v>111</v>
      </c>
      <c r="H121" s="209"/>
      <c r="I121" s="966"/>
      <c r="J121" s="475"/>
      <c r="K121" s="602"/>
      <c r="L121" s="433"/>
      <c r="M121" s="433"/>
      <c r="N121" s="433"/>
      <c r="O121" s="597"/>
      <c r="P121" s="596"/>
      <c r="Q121" s="608"/>
      <c r="R121" s="433"/>
      <c r="S121" s="433"/>
      <c r="T121" s="433"/>
      <c r="U121" s="433"/>
      <c r="V121" s="433"/>
      <c r="W121" s="433"/>
      <c r="X121" s="659"/>
      <c r="Y121" s="661"/>
      <c r="Z121" s="433"/>
      <c r="AA121" s="433"/>
      <c r="AB121" s="433"/>
      <c r="AC121" s="433"/>
      <c r="AD121" s="433"/>
      <c r="AE121" s="644"/>
      <c r="AF121" s="661"/>
      <c r="AG121" s="433"/>
      <c r="AH121" s="433"/>
      <c r="AI121" s="433"/>
      <c r="AJ121" s="433"/>
      <c r="AK121" s="433"/>
      <c r="AL121" s="644"/>
    </row>
    <row r="122" spans="2:38" x14ac:dyDescent="0.45">
      <c r="B122" s="814"/>
      <c r="C122" s="277"/>
      <c r="D122" s="379"/>
      <c r="E122" s="384"/>
      <c r="F122" s="207"/>
      <c r="G122" s="208"/>
      <c r="H122" s="209"/>
      <c r="I122" s="966"/>
      <c r="J122" s="475"/>
      <c r="K122" s="602"/>
      <c r="L122" s="433"/>
      <c r="M122" s="433"/>
      <c r="N122" s="433">
        <f>E122*J110</f>
        <v>0</v>
      </c>
      <c r="O122" s="597">
        <v>0</v>
      </c>
      <c r="P122" s="596">
        <v>0</v>
      </c>
      <c r="Q122" s="608"/>
      <c r="R122" s="433"/>
      <c r="S122" s="433"/>
      <c r="T122" s="453">
        <f>O122*Q122</f>
        <v>0</v>
      </c>
      <c r="U122" s="433"/>
      <c r="V122" s="433"/>
      <c r="W122" s="433"/>
      <c r="X122" s="659"/>
      <c r="Y122" s="661"/>
      <c r="Z122" s="433"/>
      <c r="AA122" s="433"/>
      <c r="AB122" s="433"/>
      <c r="AC122" s="433"/>
      <c r="AD122" s="433"/>
      <c r="AE122" s="644"/>
      <c r="AF122" s="661"/>
      <c r="AG122" s="433"/>
      <c r="AH122" s="433"/>
      <c r="AI122" s="433"/>
      <c r="AJ122" s="433"/>
      <c r="AK122" s="433"/>
      <c r="AL122" s="644"/>
    </row>
    <row r="123" spans="2:38" x14ac:dyDescent="0.45">
      <c r="B123" s="814"/>
      <c r="C123" s="277"/>
      <c r="D123" s="379"/>
      <c r="E123" s="384"/>
      <c r="F123" s="207" t="s">
        <v>112</v>
      </c>
      <c r="G123" s="208" t="s">
        <v>113</v>
      </c>
      <c r="H123" s="209"/>
      <c r="I123" s="966"/>
      <c r="J123" s="475"/>
      <c r="K123" s="602"/>
      <c r="L123" s="433"/>
      <c r="M123" s="433"/>
      <c r="N123" s="433"/>
      <c r="O123" s="433"/>
      <c r="P123" s="433"/>
      <c r="Q123" s="595"/>
      <c r="R123" s="433"/>
      <c r="S123" s="433"/>
      <c r="T123" s="433"/>
      <c r="U123" s="433"/>
      <c r="V123" s="433"/>
      <c r="W123" s="433"/>
      <c r="X123" s="659"/>
      <c r="Y123" s="661"/>
      <c r="Z123" s="433"/>
      <c r="AA123" s="433"/>
      <c r="AB123" s="433"/>
      <c r="AC123" s="433"/>
      <c r="AD123" s="433"/>
      <c r="AE123" s="644"/>
      <c r="AF123" s="661"/>
      <c r="AG123" s="433"/>
      <c r="AH123" s="433"/>
      <c r="AI123" s="433"/>
      <c r="AJ123" s="433"/>
      <c r="AK123" s="433"/>
      <c r="AL123" s="644"/>
    </row>
    <row r="124" spans="2:38" x14ac:dyDescent="0.45">
      <c r="B124" s="814"/>
      <c r="C124" s="277"/>
      <c r="D124" s="380"/>
      <c r="E124" s="393"/>
      <c r="F124" s="239" t="s">
        <v>114</v>
      </c>
      <c r="G124" s="257" t="s">
        <v>166</v>
      </c>
      <c r="H124" s="229"/>
      <c r="I124" s="980">
        <v>0.15</v>
      </c>
      <c r="J124" s="475"/>
      <c r="K124" s="602"/>
      <c r="L124" s="433"/>
      <c r="M124" s="433"/>
      <c r="N124" s="433"/>
      <c r="O124" s="433"/>
      <c r="P124" s="433"/>
      <c r="Q124" s="595"/>
      <c r="R124" s="433"/>
      <c r="S124" s="433"/>
      <c r="T124" s="433"/>
      <c r="U124" s="433"/>
      <c r="V124" s="433"/>
      <c r="W124" s="433"/>
      <c r="X124" s="659"/>
      <c r="Y124" s="661"/>
      <c r="Z124" s="433"/>
      <c r="AA124" s="433"/>
      <c r="AB124" s="433"/>
      <c r="AC124" s="433"/>
      <c r="AD124" s="433"/>
      <c r="AE124" s="644"/>
      <c r="AF124" s="661"/>
      <c r="AG124" s="433"/>
      <c r="AH124" s="433"/>
      <c r="AI124" s="433"/>
      <c r="AJ124" s="433"/>
      <c r="AK124" s="433"/>
      <c r="AL124" s="644"/>
    </row>
    <row r="125" spans="2:38" ht="17" thickBot="1" x14ac:dyDescent="0.5">
      <c r="B125" s="815"/>
      <c r="C125" s="831"/>
      <c r="D125" s="935"/>
      <c r="E125" s="936"/>
      <c r="F125" s="834" t="s">
        <v>115</v>
      </c>
      <c r="G125" s="816" t="s">
        <v>127</v>
      </c>
      <c r="H125" s="835"/>
      <c r="I125" s="981"/>
      <c r="J125" s="793"/>
      <c r="K125" s="763"/>
      <c r="L125" s="655"/>
      <c r="M125" s="655"/>
      <c r="N125" s="655"/>
      <c r="O125" s="655"/>
      <c r="P125" s="655"/>
      <c r="Q125" s="654"/>
      <c r="R125" s="655"/>
      <c r="S125" s="655"/>
      <c r="T125" s="655"/>
      <c r="U125" s="655"/>
      <c r="V125" s="655"/>
      <c r="W125" s="655"/>
      <c r="X125" s="660"/>
      <c r="Y125" s="662"/>
      <c r="Z125" s="655"/>
      <c r="AA125" s="655"/>
      <c r="AB125" s="655"/>
      <c r="AC125" s="655"/>
      <c r="AD125" s="655"/>
      <c r="AE125" s="656"/>
      <c r="AF125" s="662"/>
      <c r="AG125" s="655"/>
      <c r="AH125" s="655"/>
      <c r="AI125" s="655"/>
      <c r="AJ125" s="655"/>
      <c r="AK125" s="655"/>
      <c r="AL125" s="656"/>
    </row>
    <row r="126" spans="2:38" x14ac:dyDescent="0.45">
      <c r="D126" s="112"/>
      <c r="E126" s="195"/>
      <c r="G126" s="111"/>
      <c r="H126" s="111"/>
      <c r="I126" s="111"/>
      <c r="Z126" s="657"/>
      <c r="AA126" s="657"/>
      <c r="AB126" s="657"/>
      <c r="AC126" s="657"/>
      <c r="AD126" s="657"/>
      <c r="AE126" s="657"/>
      <c r="AG126" s="657"/>
      <c r="AH126" s="657"/>
      <c r="AI126" s="657"/>
      <c r="AJ126" s="657"/>
      <c r="AK126" s="657"/>
      <c r="AL126" s="657"/>
    </row>
    <row r="127" spans="2:38" ht="17" thickBot="1" x14ac:dyDescent="0.5">
      <c r="B127" s="749" t="s">
        <v>685</v>
      </c>
      <c r="C127" s="750" t="str">
        <f>RAP!B70</f>
        <v>Memasang Plafond Gypsum Board 9 mm</v>
      </c>
      <c r="D127" s="241"/>
      <c r="E127" s="241"/>
      <c r="F127" s="276"/>
      <c r="G127" s="240"/>
      <c r="H127" s="241"/>
      <c r="I127" s="241"/>
      <c r="J127" s="604"/>
      <c r="K127" s="603"/>
      <c r="L127" s="604"/>
      <c r="M127" s="604"/>
      <c r="N127" s="604"/>
      <c r="O127" s="604"/>
      <c r="P127" s="604"/>
      <c r="Q127" s="604"/>
      <c r="R127" s="609"/>
      <c r="S127" s="609"/>
      <c r="T127" s="609"/>
      <c r="U127" s="609"/>
      <c r="V127" s="609"/>
      <c r="W127" s="609"/>
      <c r="X127" s="609"/>
      <c r="Y127" s="609"/>
      <c r="Z127" s="609"/>
      <c r="AA127" s="609"/>
      <c r="AB127" s="609"/>
      <c r="AC127" s="609"/>
      <c r="AD127" s="609"/>
      <c r="AE127" s="609"/>
      <c r="AF127" s="609"/>
      <c r="AG127" s="609"/>
      <c r="AH127" s="609"/>
      <c r="AI127" s="609"/>
      <c r="AJ127" s="609"/>
      <c r="AK127" s="609"/>
      <c r="AL127" s="609"/>
    </row>
    <row r="128" spans="2:38" ht="19.5" customHeight="1" x14ac:dyDescent="0.45">
      <c r="B128" s="1168" t="s">
        <v>99</v>
      </c>
      <c r="C128" s="1171" t="s">
        <v>100</v>
      </c>
      <c r="D128" s="1171" t="s">
        <v>89</v>
      </c>
      <c r="E128" s="1171" t="s">
        <v>101</v>
      </c>
      <c r="F128" s="1171" t="s">
        <v>102</v>
      </c>
      <c r="G128" s="1109" t="s">
        <v>103</v>
      </c>
      <c r="H128" s="1110"/>
      <c r="I128" s="1175"/>
      <c r="J128" s="1152" t="s">
        <v>539</v>
      </c>
      <c r="K128" s="1152"/>
      <c r="L128" s="1152"/>
      <c r="M128" s="1152"/>
      <c r="N128" s="1152"/>
      <c r="O128" s="1152"/>
      <c r="P128" s="1152"/>
      <c r="Q128" s="1152"/>
      <c r="R128" s="1152"/>
      <c r="S128" s="1152"/>
      <c r="T128" s="1152"/>
      <c r="U128" s="1152"/>
      <c r="V128" s="1152"/>
      <c r="W128" s="1152"/>
      <c r="X128" s="1152"/>
      <c r="Y128" s="1153" t="s">
        <v>540</v>
      </c>
      <c r="Z128" s="1154"/>
      <c r="AA128" s="1154"/>
      <c r="AB128" s="1154"/>
      <c r="AC128" s="1154"/>
      <c r="AD128" s="1154"/>
      <c r="AE128" s="1155"/>
      <c r="AF128" s="1156" t="s">
        <v>541</v>
      </c>
      <c r="AG128" s="1157"/>
      <c r="AH128" s="1157"/>
      <c r="AI128" s="1157"/>
      <c r="AJ128" s="1157"/>
      <c r="AK128" s="1157"/>
      <c r="AL128" s="1158"/>
    </row>
    <row r="129" spans="2:38" ht="45" x14ac:dyDescent="0.45">
      <c r="B129" s="1169"/>
      <c r="C129" s="1089"/>
      <c r="D129" s="1089"/>
      <c r="E129" s="1089"/>
      <c r="F129" s="1089"/>
      <c r="G129" s="1026"/>
      <c r="H129" s="1027"/>
      <c r="I129" s="1176"/>
      <c r="J129" s="1173" t="s">
        <v>15</v>
      </c>
      <c r="K129" s="673" t="s">
        <v>493</v>
      </c>
      <c r="L129" s="1161" t="s">
        <v>491</v>
      </c>
      <c r="M129" s="1162"/>
      <c r="N129" s="1162"/>
      <c r="O129" s="1162"/>
      <c r="P129" s="1163"/>
      <c r="Q129" s="674" t="s">
        <v>533</v>
      </c>
      <c r="R129" s="1161" t="s">
        <v>501</v>
      </c>
      <c r="S129" s="1162"/>
      <c r="T129" s="1163"/>
      <c r="U129" s="674" t="s">
        <v>530</v>
      </c>
      <c r="V129" s="674" t="s">
        <v>531</v>
      </c>
      <c r="W129" s="674" t="s">
        <v>578</v>
      </c>
      <c r="X129" s="681" t="s">
        <v>579</v>
      </c>
      <c r="Y129" s="1164" t="s">
        <v>534</v>
      </c>
      <c r="Z129" s="1165"/>
      <c r="AA129" s="663" t="s">
        <v>537</v>
      </c>
      <c r="AB129" s="664" t="s">
        <v>538</v>
      </c>
      <c r="AC129" s="665" t="s">
        <v>530</v>
      </c>
      <c r="AD129" s="665" t="s">
        <v>578</v>
      </c>
      <c r="AE129" s="682" t="s">
        <v>579</v>
      </c>
      <c r="AF129" s="1166" t="s">
        <v>542</v>
      </c>
      <c r="AG129" s="1167"/>
      <c r="AH129" s="737" t="s">
        <v>543</v>
      </c>
      <c r="AI129" s="738" t="s">
        <v>544</v>
      </c>
      <c r="AJ129" s="739" t="s">
        <v>530</v>
      </c>
      <c r="AK129" s="739" t="s">
        <v>578</v>
      </c>
      <c r="AL129" s="740" t="s">
        <v>579</v>
      </c>
    </row>
    <row r="130" spans="2:38" ht="30" x14ac:dyDescent="0.45">
      <c r="B130" s="1170"/>
      <c r="C130" s="1090"/>
      <c r="D130" s="1090"/>
      <c r="E130" s="1090"/>
      <c r="F130" s="1090"/>
      <c r="G130" s="1085"/>
      <c r="H130" s="1086"/>
      <c r="I130" s="1177"/>
      <c r="J130" s="1174"/>
      <c r="K130" s="675" t="s">
        <v>495</v>
      </c>
      <c r="L130" s="676" t="s">
        <v>524</v>
      </c>
      <c r="M130" s="676" t="s">
        <v>525</v>
      </c>
      <c r="N130" s="676" t="s">
        <v>526</v>
      </c>
      <c r="O130" s="675" t="s">
        <v>517</v>
      </c>
      <c r="P130" s="675" t="s">
        <v>290</v>
      </c>
      <c r="Q130" s="675" t="s">
        <v>532</v>
      </c>
      <c r="R130" s="676" t="s">
        <v>527</v>
      </c>
      <c r="S130" s="676" t="s">
        <v>528</v>
      </c>
      <c r="T130" s="677" t="s">
        <v>529</v>
      </c>
      <c r="U130" s="675" t="s">
        <v>502</v>
      </c>
      <c r="V130" s="675" t="s">
        <v>502</v>
      </c>
      <c r="W130" s="675" t="s">
        <v>502</v>
      </c>
      <c r="X130" s="678" t="s">
        <v>504</v>
      </c>
      <c r="Y130" s="666" t="s">
        <v>535</v>
      </c>
      <c r="Z130" s="667" t="s">
        <v>536</v>
      </c>
      <c r="AA130" s="668" t="s">
        <v>532</v>
      </c>
      <c r="AB130" s="668" t="s">
        <v>532</v>
      </c>
      <c r="AC130" s="668" t="s">
        <v>532</v>
      </c>
      <c r="AD130" s="668" t="s">
        <v>532</v>
      </c>
      <c r="AE130" s="669" t="s">
        <v>532</v>
      </c>
      <c r="AF130" s="741" t="s">
        <v>535</v>
      </c>
      <c r="AG130" s="742" t="s">
        <v>536</v>
      </c>
      <c r="AH130" s="743" t="s">
        <v>532</v>
      </c>
      <c r="AI130" s="743" t="s">
        <v>532</v>
      </c>
      <c r="AJ130" s="743" t="s">
        <v>532</v>
      </c>
      <c r="AK130" s="743" t="s">
        <v>532</v>
      </c>
      <c r="AL130" s="744" t="s">
        <v>532</v>
      </c>
    </row>
    <row r="131" spans="2:38" ht="30" x14ac:dyDescent="0.45">
      <c r="B131" s="639" t="s">
        <v>4</v>
      </c>
      <c r="C131" s="600" t="s">
        <v>5</v>
      </c>
      <c r="D131" s="570" t="s">
        <v>6</v>
      </c>
      <c r="E131" s="570" t="s">
        <v>112</v>
      </c>
      <c r="F131" s="570" t="s">
        <v>114</v>
      </c>
      <c r="G131" s="1014" t="s">
        <v>115</v>
      </c>
      <c r="H131" s="1014"/>
      <c r="I131" s="1172"/>
      <c r="J131" s="791" t="s">
        <v>21</v>
      </c>
      <c r="K131" s="675" t="s">
        <v>496</v>
      </c>
      <c r="L131" s="675" t="s">
        <v>497</v>
      </c>
      <c r="M131" s="675" t="s">
        <v>498</v>
      </c>
      <c r="N131" s="675" t="s">
        <v>499</v>
      </c>
      <c r="O131" s="676" t="s">
        <v>552</v>
      </c>
      <c r="P131" s="675" t="s">
        <v>512</v>
      </c>
      <c r="Q131" s="675" t="s">
        <v>503</v>
      </c>
      <c r="R131" s="675" t="s">
        <v>553</v>
      </c>
      <c r="S131" s="675" t="s">
        <v>513</v>
      </c>
      <c r="T131" s="675" t="s">
        <v>514</v>
      </c>
      <c r="U131" s="675" t="s">
        <v>554</v>
      </c>
      <c r="V131" s="675" t="s">
        <v>515</v>
      </c>
      <c r="W131" s="675" t="s">
        <v>555</v>
      </c>
      <c r="X131" s="678" t="s">
        <v>516</v>
      </c>
      <c r="Y131" s="670" t="s">
        <v>556</v>
      </c>
      <c r="Z131" s="671" t="s">
        <v>557</v>
      </c>
      <c r="AA131" s="671" t="s">
        <v>558</v>
      </c>
      <c r="AB131" s="671" t="s">
        <v>559</v>
      </c>
      <c r="AC131" s="671" t="s">
        <v>560</v>
      </c>
      <c r="AD131" s="671" t="s">
        <v>561</v>
      </c>
      <c r="AE131" s="672" t="s">
        <v>562</v>
      </c>
      <c r="AF131" s="745" t="s">
        <v>563</v>
      </c>
      <c r="AG131" s="746" t="s">
        <v>564</v>
      </c>
      <c r="AH131" s="746" t="s">
        <v>565</v>
      </c>
      <c r="AI131" s="746" t="s">
        <v>566</v>
      </c>
      <c r="AJ131" s="746" t="s">
        <v>567</v>
      </c>
      <c r="AK131" s="746" t="s">
        <v>568</v>
      </c>
      <c r="AL131" s="747" t="s">
        <v>569</v>
      </c>
    </row>
    <row r="132" spans="2:38" ht="15.5" x14ac:dyDescent="0.45">
      <c r="B132" s="1178">
        <v>6</v>
      </c>
      <c r="C132" s="1069" t="s">
        <v>206</v>
      </c>
      <c r="D132" s="486"/>
      <c r="E132" s="1079">
        <v>1</v>
      </c>
      <c r="F132" s="1071" t="s">
        <v>30</v>
      </c>
      <c r="G132" s="487" t="s">
        <v>268</v>
      </c>
      <c r="H132" s="458"/>
      <c r="I132" s="972"/>
      <c r="J132" s="828"/>
      <c r="K132" s="828"/>
      <c r="L132" s="828"/>
      <c r="M132" s="828"/>
      <c r="N132" s="828"/>
      <c r="O132" s="828"/>
      <c r="P132" s="828"/>
      <c r="Q132" s="828"/>
      <c r="R132" s="828"/>
      <c r="S132" s="828"/>
      <c r="T132" s="828"/>
      <c r="U132" s="828"/>
      <c r="V132" s="828"/>
      <c r="W132" s="828"/>
      <c r="X132" s="828"/>
      <c r="Y132" s="828"/>
      <c r="Z132" s="828"/>
      <c r="AA132" s="828"/>
      <c r="AB132" s="828"/>
      <c r="AC132" s="828"/>
      <c r="AD132" s="828"/>
      <c r="AE132" s="828"/>
      <c r="AF132" s="828"/>
      <c r="AG132" s="828"/>
      <c r="AH132" s="828"/>
      <c r="AI132" s="828"/>
      <c r="AJ132" s="828"/>
      <c r="AK132" s="828"/>
      <c r="AL132" s="828"/>
    </row>
    <row r="133" spans="2:38" ht="15.5" x14ac:dyDescent="0.45">
      <c r="B133" s="1179"/>
      <c r="C133" s="1070"/>
      <c r="D133" s="440"/>
      <c r="E133" s="1080"/>
      <c r="F133" s="1072"/>
      <c r="G133" s="561" t="s">
        <v>267</v>
      </c>
      <c r="H133" s="562"/>
      <c r="I133" s="975"/>
      <c r="J133" s="789"/>
      <c r="K133" s="789"/>
      <c r="L133" s="789"/>
      <c r="M133" s="789"/>
      <c r="N133" s="789"/>
      <c r="O133" s="789"/>
      <c r="P133" s="789"/>
      <c r="Q133" s="789"/>
      <c r="R133" s="789"/>
      <c r="S133" s="789"/>
      <c r="T133" s="789"/>
      <c r="U133" s="789"/>
      <c r="V133" s="789"/>
      <c r="W133" s="789"/>
      <c r="X133" s="789"/>
      <c r="Y133" s="789"/>
      <c r="Z133" s="789"/>
      <c r="AA133" s="789"/>
      <c r="AB133" s="789"/>
      <c r="AC133" s="789"/>
      <c r="AD133" s="789"/>
      <c r="AE133" s="789"/>
      <c r="AF133" s="789"/>
      <c r="AG133" s="789"/>
      <c r="AH133" s="789"/>
      <c r="AI133" s="789"/>
      <c r="AJ133" s="789"/>
      <c r="AK133" s="789"/>
      <c r="AL133" s="790"/>
    </row>
    <row r="134" spans="2:38" x14ac:dyDescent="0.45">
      <c r="B134" s="850"/>
      <c r="C134" s="277"/>
      <c r="D134" s="341"/>
      <c r="E134" s="368"/>
      <c r="F134" s="207" t="s">
        <v>4</v>
      </c>
      <c r="G134" s="231" t="s">
        <v>120</v>
      </c>
      <c r="H134" s="209"/>
      <c r="I134" s="966"/>
      <c r="J134" s="792">
        <f>RAP!E70</f>
        <v>428.48</v>
      </c>
      <c r="K134" s="601">
        <v>4</v>
      </c>
      <c r="L134" s="319"/>
      <c r="M134" s="319"/>
      <c r="N134" s="319"/>
      <c r="O134" s="598"/>
      <c r="P134" s="598"/>
      <c r="Q134" s="605"/>
      <c r="R134" s="485"/>
      <c r="S134" s="485"/>
      <c r="T134" s="485"/>
      <c r="U134" s="752">
        <f>SUM(R134:R149)+(SUM(S134:S149)+SUM(T134:T149))</f>
        <v>15780000</v>
      </c>
      <c r="V134" s="754">
        <f>RAP!H70</f>
        <v>18676779.059999999</v>
      </c>
      <c r="W134" s="752">
        <f>V134-U134</f>
        <v>2896779.0599999987</v>
      </c>
      <c r="X134" s="760">
        <f>W134/V134*100</f>
        <v>15.510056903783918</v>
      </c>
      <c r="Y134" s="755">
        <f>SUM(R134:R149)/J134</f>
        <v>11902.539208364451</v>
      </c>
      <c r="Z134" s="757">
        <v>12000</v>
      </c>
      <c r="AA134" s="758">
        <f>J134*Z134</f>
        <v>5141760</v>
      </c>
      <c r="AB134" s="758">
        <f>SUM(S134:S149)+SUM(T134:T149)</f>
        <v>10680000</v>
      </c>
      <c r="AC134" s="752">
        <f>AA134+AB134</f>
        <v>15821760</v>
      </c>
      <c r="AD134" s="752">
        <f>V134-AC134</f>
        <v>2855019.0599999987</v>
      </c>
      <c r="AE134" s="760">
        <f>AD134/V134*100</f>
        <v>15.286463746388607</v>
      </c>
      <c r="AF134" s="755">
        <f>(SUM(R134:R149)+SUM(S134:S149))/J134</f>
        <v>36827.856609410002</v>
      </c>
      <c r="AG134" s="757">
        <v>35000</v>
      </c>
      <c r="AH134" s="758">
        <f>AG134*J134</f>
        <v>14996800</v>
      </c>
      <c r="AI134" s="758">
        <f>SUM(T134:T149)</f>
        <v>0</v>
      </c>
      <c r="AJ134" s="752">
        <f>AH134+AI134</f>
        <v>14996800</v>
      </c>
      <c r="AK134" s="752">
        <f>V134-AJ134</f>
        <v>3679979.0599999987</v>
      </c>
      <c r="AL134" s="760">
        <f>AK134/V134*100</f>
        <v>19.703499453400926</v>
      </c>
    </row>
    <row r="135" spans="2:38" ht="15.5" x14ac:dyDescent="0.45">
      <c r="B135" s="850"/>
      <c r="C135" s="277"/>
      <c r="D135" s="279" t="s">
        <v>107</v>
      </c>
      <c r="E135" s="298">
        <v>0.1</v>
      </c>
      <c r="F135" s="267" t="s">
        <v>108</v>
      </c>
      <c r="G135" s="339" t="s">
        <v>51</v>
      </c>
      <c r="H135" s="209"/>
      <c r="I135" s="966"/>
      <c r="J135" s="475"/>
      <c r="K135" s="602"/>
      <c r="L135" s="433">
        <f>E135*J134/K134</f>
        <v>10.712000000000002</v>
      </c>
      <c r="M135" s="433"/>
      <c r="N135" s="433"/>
      <c r="O135" s="597">
        <v>10</v>
      </c>
      <c r="P135" s="596" t="str">
        <f>F135</f>
        <v>OH</v>
      </c>
      <c r="Q135" s="608">
        <f>'Analisa Upah RAP'!G5</f>
        <v>75000</v>
      </c>
      <c r="R135" s="453">
        <f>O135*Q135*K134</f>
        <v>3000000</v>
      </c>
      <c r="S135" s="453"/>
      <c r="T135" s="453"/>
      <c r="U135" s="753"/>
      <c r="V135" s="753"/>
      <c r="W135" s="753"/>
      <c r="X135" s="761"/>
      <c r="Y135" s="756"/>
      <c r="Z135" s="759"/>
      <c r="AA135" s="759"/>
      <c r="AB135" s="759"/>
      <c r="AC135" s="753"/>
      <c r="AD135" s="753"/>
      <c r="AE135" s="761"/>
      <c r="AF135" s="756"/>
      <c r="AG135" s="759"/>
      <c r="AH135" s="759"/>
      <c r="AI135" s="759"/>
      <c r="AJ135" s="753"/>
      <c r="AK135" s="753"/>
      <c r="AL135" s="761"/>
    </row>
    <row r="136" spans="2:38" ht="15.5" x14ac:dyDescent="0.45">
      <c r="B136" s="850"/>
      <c r="C136" s="277"/>
      <c r="D136" s="279" t="s">
        <v>121</v>
      </c>
      <c r="E136" s="222">
        <v>0.05</v>
      </c>
      <c r="F136" s="267" t="s">
        <v>108</v>
      </c>
      <c r="G136" s="339" t="s">
        <v>56</v>
      </c>
      <c r="H136" s="209"/>
      <c r="I136" s="966"/>
      <c r="J136" s="475"/>
      <c r="K136" s="602"/>
      <c r="L136" s="433">
        <f>E136*J134/K134</f>
        <v>5.3560000000000008</v>
      </c>
      <c r="M136" s="433"/>
      <c r="N136" s="433"/>
      <c r="O136" s="597">
        <v>5</v>
      </c>
      <c r="P136" s="596" t="str">
        <f>F136</f>
        <v>OH</v>
      </c>
      <c r="Q136" s="608">
        <f>'Analisa Upah RAP'!G6</f>
        <v>85000</v>
      </c>
      <c r="R136" s="453">
        <f>O136*Q136*K134</f>
        <v>1700000</v>
      </c>
      <c r="S136" s="453"/>
      <c r="T136" s="453"/>
      <c r="U136" s="753"/>
      <c r="V136" s="753"/>
      <c r="W136" s="753"/>
      <c r="X136" s="761"/>
      <c r="Y136" s="756"/>
      <c r="Z136" s="759"/>
      <c r="AA136" s="759"/>
      <c r="AB136" s="759"/>
      <c r="AC136" s="753"/>
      <c r="AD136" s="753"/>
      <c r="AE136" s="761"/>
      <c r="AF136" s="756"/>
      <c r="AG136" s="759"/>
      <c r="AH136" s="759"/>
      <c r="AI136" s="759"/>
      <c r="AJ136" s="753"/>
      <c r="AK136" s="753"/>
      <c r="AL136" s="761"/>
    </row>
    <row r="137" spans="2:38" ht="15.5" x14ac:dyDescent="0.45">
      <c r="B137" s="850"/>
      <c r="C137" s="277"/>
      <c r="D137" s="279" t="s">
        <v>122</v>
      </c>
      <c r="E137" s="299">
        <v>5.0000000000000001E-3</v>
      </c>
      <c r="F137" s="267" t="s">
        <v>108</v>
      </c>
      <c r="G137" s="339" t="s">
        <v>123</v>
      </c>
      <c r="H137" s="209"/>
      <c r="I137" s="966"/>
      <c r="J137" s="475"/>
      <c r="K137" s="602"/>
      <c r="L137" s="433">
        <f>E137*J134/K134</f>
        <v>0.53560000000000008</v>
      </c>
      <c r="M137" s="433"/>
      <c r="N137" s="433"/>
      <c r="O137" s="597">
        <v>0</v>
      </c>
      <c r="P137" s="596" t="str">
        <f>F137</f>
        <v>OH</v>
      </c>
      <c r="Q137" s="608">
        <f>'Analisa Upah RAP'!G11</f>
        <v>90000</v>
      </c>
      <c r="R137" s="453">
        <f>O137*Q137*K134</f>
        <v>0</v>
      </c>
      <c r="S137" s="453"/>
      <c r="T137" s="453"/>
      <c r="U137" s="753"/>
      <c r="V137" s="753"/>
      <c r="W137" s="753"/>
      <c r="X137" s="761"/>
      <c r="Y137" s="756"/>
      <c r="Z137" s="759"/>
      <c r="AA137" s="759"/>
      <c r="AB137" s="759"/>
      <c r="AC137" s="753"/>
      <c r="AD137" s="753"/>
      <c r="AE137" s="761"/>
      <c r="AF137" s="756"/>
      <c r="AG137" s="759"/>
      <c r="AH137" s="759"/>
      <c r="AI137" s="759"/>
      <c r="AJ137" s="753"/>
      <c r="AK137" s="753"/>
      <c r="AL137" s="761"/>
    </row>
    <row r="138" spans="2:38" ht="15.5" x14ac:dyDescent="0.45">
      <c r="B138" s="850"/>
      <c r="C138" s="277"/>
      <c r="D138" s="343" t="s">
        <v>109</v>
      </c>
      <c r="E138" s="358">
        <v>5.0000000000000001E-3</v>
      </c>
      <c r="F138" s="275" t="s">
        <v>108</v>
      </c>
      <c r="G138" s="351" t="s">
        <v>52</v>
      </c>
      <c r="H138" s="229"/>
      <c r="I138" s="967"/>
      <c r="J138" s="475"/>
      <c r="K138" s="602"/>
      <c r="L138" s="433">
        <f>E138*J134/K134</f>
        <v>0.53560000000000008</v>
      </c>
      <c r="M138" s="433"/>
      <c r="N138" s="433"/>
      <c r="O138" s="597">
        <v>1</v>
      </c>
      <c r="P138" s="596" t="str">
        <f>F138</f>
        <v>OH</v>
      </c>
      <c r="Q138" s="608">
        <f>'Analisa Upah RAP'!G12</f>
        <v>100000</v>
      </c>
      <c r="R138" s="453">
        <f>O138*Q138*K134</f>
        <v>400000</v>
      </c>
      <c r="S138" s="453"/>
      <c r="T138" s="453"/>
      <c r="U138" s="753"/>
      <c r="V138" s="753"/>
      <c r="W138" s="753"/>
      <c r="X138" s="761"/>
      <c r="Y138" s="756"/>
      <c r="Z138" s="759"/>
      <c r="AA138" s="759"/>
      <c r="AB138" s="759"/>
      <c r="AC138" s="753"/>
      <c r="AD138" s="753"/>
      <c r="AE138" s="761"/>
      <c r="AF138" s="756"/>
      <c r="AG138" s="759"/>
      <c r="AH138" s="759"/>
      <c r="AI138" s="759"/>
      <c r="AJ138" s="753"/>
      <c r="AK138" s="753"/>
      <c r="AL138" s="761"/>
    </row>
    <row r="139" spans="2:38" x14ac:dyDescent="0.45">
      <c r="B139" s="850"/>
      <c r="C139" s="277"/>
      <c r="D139" s="344"/>
      <c r="E139" s="361"/>
      <c r="F139" s="285" t="s">
        <v>5</v>
      </c>
      <c r="G139" s="353" t="s">
        <v>139</v>
      </c>
      <c r="H139" s="209"/>
      <c r="I139" s="966"/>
      <c r="J139" s="475"/>
      <c r="K139" s="602"/>
      <c r="L139" s="433"/>
      <c r="M139" s="433"/>
      <c r="N139" s="433"/>
      <c r="O139" s="597"/>
      <c r="P139" s="596"/>
      <c r="Q139" s="608"/>
      <c r="R139" s="453"/>
      <c r="S139" s="453"/>
      <c r="T139" s="453"/>
      <c r="U139" s="753"/>
      <c r="V139" s="753"/>
      <c r="W139" s="753"/>
      <c r="X139" s="761"/>
      <c r="Y139" s="756"/>
      <c r="Z139" s="759"/>
      <c r="AA139" s="759"/>
      <c r="AB139" s="759"/>
      <c r="AC139" s="753"/>
      <c r="AD139" s="753"/>
      <c r="AE139" s="761"/>
      <c r="AF139" s="756"/>
      <c r="AG139" s="759"/>
      <c r="AH139" s="759"/>
      <c r="AI139" s="759"/>
      <c r="AJ139" s="753"/>
      <c r="AK139" s="753"/>
      <c r="AL139" s="761"/>
    </row>
    <row r="140" spans="2:38" x14ac:dyDescent="0.45">
      <c r="B140" s="850"/>
      <c r="C140" s="277"/>
      <c r="D140" s="344"/>
      <c r="E140" s="299">
        <v>0.36399999999999999</v>
      </c>
      <c r="F140" s="211" t="s">
        <v>133</v>
      </c>
      <c r="G140" s="339" t="s">
        <v>269</v>
      </c>
      <c r="H140" s="209"/>
      <c r="I140" s="966"/>
      <c r="J140" s="475"/>
      <c r="K140" s="602"/>
      <c r="L140" s="433"/>
      <c r="M140" s="433">
        <f>E140*J134</f>
        <v>155.96672000000001</v>
      </c>
      <c r="N140" s="433"/>
      <c r="O140" s="597">
        <v>156</v>
      </c>
      <c r="P140" s="596" t="str">
        <f>F140</f>
        <v>Lbr</v>
      </c>
      <c r="Q140" s="608">
        <f>'Harga Bahan RAP'!G72</f>
        <v>62000</v>
      </c>
      <c r="R140" s="453"/>
      <c r="S140" s="453">
        <f>O140*Q140</f>
        <v>9672000</v>
      </c>
      <c r="T140" s="453"/>
      <c r="U140" s="753"/>
      <c r="V140" s="753"/>
      <c r="W140" s="753"/>
      <c r="X140" s="761"/>
      <c r="Y140" s="756"/>
      <c r="Z140" s="759"/>
      <c r="AA140" s="759"/>
      <c r="AB140" s="759"/>
      <c r="AC140" s="753"/>
      <c r="AD140" s="753"/>
      <c r="AE140" s="761"/>
      <c r="AF140" s="756"/>
      <c r="AG140" s="759"/>
      <c r="AH140" s="759"/>
      <c r="AI140" s="759"/>
      <c r="AJ140" s="753"/>
      <c r="AK140" s="753"/>
      <c r="AL140" s="761"/>
    </row>
    <row r="141" spans="2:38" x14ac:dyDescent="0.45">
      <c r="B141" s="850"/>
      <c r="C141" s="277"/>
      <c r="D141" s="344"/>
      <c r="E141" s="222">
        <v>0.11</v>
      </c>
      <c r="F141" s="211" t="s">
        <v>39</v>
      </c>
      <c r="G141" s="209" t="s">
        <v>270</v>
      </c>
      <c r="H141" s="209"/>
      <c r="I141" s="966"/>
      <c r="J141" s="475"/>
      <c r="K141" s="602"/>
      <c r="L141" s="433"/>
      <c r="M141" s="433">
        <f>E141*J134</f>
        <v>47.132800000000003</v>
      </c>
      <c r="N141" s="433"/>
      <c r="O141" s="597">
        <v>48</v>
      </c>
      <c r="P141" s="596" t="str">
        <f>F141</f>
        <v>Kg</v>
      </c>
      <c r="Q141" s="608">
        <f>'Harga Bahan RAP'!G124</f>
        <v>21000</v>
      </c>
      <c r="R141" s="433"/>
      <c r="S141" s="453">
        <f t="shared" ref="S141:S144" si="7">O141*Q141</f>
        <v>1008000</v>
      </c>
      <c r="T141" s="433"/>
      <c r="U141" s="753"/>
      <c r="V141" s="753"/>
      <c r="W141" s="753"/>
      <c r="X141" s="761"/>
      <c r="Y141" s="756"/>
      <c r="Z141" s="759"/>
      <c r="AA141" s="759"/>
      <c r="AB141" s="759"/>
      <c r="AC141" s="753"/>
      <c r="AD141" s="753"/>
      <c r="AE141" s="761"/>
      <c r="AF141" s="756"/>
      <c r="AG141" s="759"/>
      <c r="AH141" s="759"/>
      <c r="AI141" s="759"/>
      <c r="AJ141" s="753"/>
      <c r="AK141" s="753"/>
      <c r="AL141" s="761"/>
    </row>
    <row r="142" spans="2:38" x14ac:dyDescent="0.45">
      <c r="B142" s="850"/>
      <c r="C142" s="277"/>
      <c r="D142" s="344"/>
      <c r="E142" s="222"/>
      <c r="F142" s="211"/>
      <c r="G142" s="209"/>
      <c r="H142" s="209"/>
      <c r="I142" s="966"/>
      <c r="J142" s="475"/>
      <c r="K142" s="602"/>
      <c r="L142" s="433"/>
      <c r="M142" s="433">
        <f>E142*J134</f>
        <v>0</v>
      </c>
      <c r="N142" s="433"/>
      <c r="O142" s="597">
        <v>0</v>
      </c>
      <c r="P142" s="596">
        <f>F142</f>
        <v>0</v>
      </c>
      <c r="Q142" s="608">
        <v>0</v>
      </c>
      <c r="R142" s="433"/>
      <c r="S142" s="453">
        <f t="shared" si="7"/>
        <v>0</v>
      </c>
      <c r="T142" s="433"/>
      <c r="U142" s="753"/>
      <c r="V142" s="753"/>
      <c r="W142" s="753"/>
      <c r="X142" s="761"/>
      <c r="Y142" s="756"/>
      <c r="Z142" s="759"/>
      <c r="AA142" s="759"/>
      <c r="AB142" s="759"/>
      <c r="AC142" s="753"/>
      <c r="AD142" s="753"/>
      <c r="AE142" s="761"/>
      <c r="AF142" s="756"/>
      <c r="AG142" s="759"/>
      <c r="AH142" s="759"/>
      <c r="AI142" s="759"/>
      <c r="AJ142" s="753"/>
      <c r="AK142" s="753"/>
      <c r="AL142" s="761"/>
    </row>
    <row r="143" spans="2:38" x14ac:dyDescent="0.45">
      <c r="B143" s="850"/>
      <c r="C143" s="277"/>
      <c r="D143" s="344"/>
      <c r="E143" s="222"/>
      <c r="F143" s="211"/>
      <c r="G143" s="209"/>
      <c r="H143" s="209"/>
      <c r="I143" s="966"/>
      <c r="J143" s="475"/>
      <c r="K143" s="602"/>
      <c r="L143" s="433"/>
      <c r="M143" s="433">
        <f>E143*J134</f>
        <v>0</v>
      </c>
      <c r="N143" s="433"/>
      <c r="O143" s="597">
        <v>0</v>
      </c>
      <c r="P143" s="596">
        <f>F143</f>
        <v>0</v>
      </c>
      <c r="Q143" s="608">
        <f>'Harga Bahan RAP'!G148</f>
        <v>0</v>
      </c>
      <c r="R143" s="433"/>
      <c r="S143" s="453">
        <f t="shared" si="7"/>
        <v>0</v>
      </c>
      <c r="T143" s="433"/>
      <c r="U143" s="753"/>
      <c r="V143" s="753"/>
      <c r="W143" s="753"/>
      <c r="X143" s="761"/>
      <c r="Y143" s="756"/>
      <c r="Z143" s="759"/>
      <c r="AA143" s="759"/>
      <c r="AB143" s="759"/>
      <c r="AC143" s="753"/>
      <c r="AD143" s="753"/>
      <c r="AE143" s="761"/>
      <c r="AF143" s="756"/>
      <c r="AG143" s="759"/>
      <c r="AH143" s="759"/>
      <c r="AI143" s="759"/>
      <c r="AJ143" s="753"/>
      <c r="AK143" s="753"/>
      <c r="AL143" s="761"/>
    </row>
    <row r="144" spans="2:38" x14ac:dyDescent="0.45">
      <c r="B144" s="850"/>
      <c r="C144" s="277"/>
      <c r="D144" s="344"/>
      <c r="E144" s="222"/>
      <c r="F144" s="211"/>
      <c r="G144" s="209"/>
      <c r="H144" s="209"/>
      <c r="I144" s="966"/>
      <c r="J144" s="475"/>
      <c r="K144" s="602"/>
      <c r="L144" s="433"/>
      <c r="M144" s="433">
        <f>E144*J134</f>
        <v>0</v>
      </c>
      <c r="N144" s="433"/>
      <c r="O144" s="597">
        <v>0</v>
      </c>
      <c r="P144" s="596">
        <f>F144</f>
        <v>0</v>
      </c>
      <c r="Q144" s="608"/>
      <c r="R144" s="433"/>
      <c r="S144" s="453">
        <f t="shared" si="7"/>
        <v>0</v>
      </c>
      <c r="T144" s="433"/>
      <c r="U144" s="753"/>
      <c r="V144" s="753"/>
      <c r="W144" s="753"/>
      <c r="X144" s="761"/>
      <c r="Y144" s="756"/>
      <c r="Z144" s="759"/>
      <c r="AA144" s="759"/>
      <c r="AB144" s="759"/>
      <c r="AC144" s="753"/>
      <c r="AD144" s="753"/>
      <c r="AE144" s="761"/>
      <c r="AF144" s="756"/>
      <c r="AG144" s="759"/>
      <c r="AH144" s="759"/>
      <c r="AI144" s="759"/>
      <c r="AJ144" s="753"/>
      <c r="AK144" s="753"/>
      <c r="AL144" s="761"/>
    </row>
    <row r="145" spans="2:38" x14ac:dyDescent="0.45">
      <c r="B145" s="813"/>
      <c r="C145" s="277"/>
      <c r="D145" s="279"/>
      <c r="E145" s="346"/>
      <c r="F145" s="207" t="s">
        <v>6</v>
      </c>
      <c r="G145" s="208" t="s">
        <v>111</v>
      </c>
      <c r="H145" s="209"/>
      <c r="I145" s="966"/>
      <c r="J145" s="475"/>
      <c r="K145" s="602"/>
      <c r="L145" s="433"/>
      <c r="M145" s="433"/>
      <c r="N145" s="433"/>
      <c r="O145" s="597"/>
      <c r="P145" s="596"/>
      <c r="Q145" s="608"/>
      <c r="R145" s="433"/>
      <c r="S145" s="433"/>
      <c r="T145" s="433"/>
      <c r="U145" s="433"/>
      <c r="V145" s="433"/>
      <c r="W145" s="433"/>
      <c r="X145" s="659"/>
      <c r="Y145" s="661"/>
      <c r="Z145" s="433"/>
      <c r="AA145" s="433"/>
      <c r="AB145" s="433"/>
      <c r="AC145" s="433"/>
      <c r="AD145" s="433"/>
      <c r="AE145" s="644"/>
      <c r="AF145" s="661"/>
      <c r="AG145" s="433"/>
      <c r="AH145" s="433"/>
      <c r="AI145" s="433"/>
      <c r="AJ145" s="433"/>
      <c r="AK145" s="433"/>
      <c r="AL145" s="644"/>
    </row>
    <row r="146" spans="2:38" x14ac:dyDescent="0.45">
      <c r="B146" s="813"/>
      <c r="C146" s="277"/>
      <c r="D146" s="279"/>
      <c r="E146" s="346"/>
      <c r="F146" s="207"/>
      <c r="G146" s="208"/>
      <c r="H146" s="209"/>
      <c r="I146" s="966"/>
      <c r="J146" s="475"/>
      <c r="K146" s="602"/>
      <c r="L146" s="433"/>
      <c r="M146" s="433"/>
      <c r="N146" s="433">
        <f>E146*J134</f>
        <v>0</v>
      </c>
      <c r="O146" s="597">
        <v>0</v>
      </c>
      <c r="P146" s="596">
        <v>0</v>
      </c>
      <c r="Q146" s="608"/>
      <c r="R146" s="433"/>
      <c r="S146" s="433"/>
      <c r="T146" s="453">
        <f>O146*Q146</f>
        <v>0</v>
      </c>
      <c r="U146" s="433"/>
      <c r="V146" s="433"/>
      <c r="W146" s="433"/>
      <c r="X146" s="659"/>
      <c r="Y146" s="661"/>
      <c r="Z146" s="433"/>
      <c r="AA146" s="433"/>
      <c r="AB146" s="433"/>
      <c r="AC146" s="433"/>
      <c r="AD146" s="433"/>
      <c r="AE146" s="644"/>
      <c r="AF146" s="661"/>
      <c r="AG146" s="433"/>
      <c r="AH146" s="433"/>
      <c r="AI146" s="433"/>
      <c r="AJ146" s="433"/>
      <c r="AK146" s="433"/>
      <c r="AL146" s="644"/>
    </row>
    <row r="147" spans="2:38" x14ac:dyDescent="0.45">
      <c r="B147" s="813"/>
      <c r="C147" s="277"/>
      <c r="D147" s="279"/>
      <c r="E147" s="346"/>
      <c r="F147" s="207" t="s">
        <v>112</v>
      </c>
      <c r="G147" s="208" t="s">
        <v>113</v>
      </c>
      <c r="H147" s="209"/>
      <c r="I147" s="966"/>
      <c r="J147" s="475"/>
      <c r="K147" s="602"/>
      <c r="L147" s="433"/>
      <c r="M147" s="433"/>
      <c r="N147" s="433"/>
      <c r="O147" s="433"/>
      <c r="P147" s="433"/>
      <c r="Q147" s="595"/>
      <c r="R147" s="433"/>
      <c r="S147" s="433"/>
      <c r="T147" s="433"/>
      <c r="U147" s="433"/>
      <c r="V147" s="433"/>
      <c r="W147" s="433"/>
      <c r="X147" s="659"/>
      <c r="Y147" s="661"/>
      <c r="Z147" s="433"/>
      <c r="AA147" s="433"/>
      <c r="AB147" s="433"/>
      <c r="AC147" s="433"/>
      <c r="AD147" s="433"/>
      <c r="AE147" s="644"/>
      <c r="AF147" s="661"/>
      <c r="AG147" s="433"/>
      <c r="AH147" s="433"/>
      <c r="AI147" s="433"/>
      <c r="AJ147" s="433"/>
      <c r="AK147" s="433"/>
      <c r="AL147" s="644"/>
    </row>
    <row r="148" spans="2:38" x14ac:dyDescent="0.45">
      <c r="B148" s="813"/>
      <c r="C148" s="277"/>
      <c r="D148" s="343"/>
      <c r="E148" s="347"/>
      <c r="F148" s="239" t="s">
        <v>114</v>
      </c>
      <c r="G148" s="257" t="s">
        <v>166</v>
      </c>
      <c r="H148" s="229"/>
      <c r="I148" s="980">
        <v>0.15</v>
      </c>
      <c r="J148" s="475"/>
      <c r="K148" s="602"/>
      <c r="L148" s="433"/>
      <c r="M148" s="433"/>
      <c r="N148" s="433"/>
      <c r="O148" s="433"/>
      <c r="P148" s="433"/>
      <c r="Q148" s="595"/>
      <c r="R148" s="433"/>
      <c r="S148" s="433"/>
      <c r="T148" s="433"/>
      <c r="U148" s="433"/>
      <c r="V148" s="433"/>
      <c r="W148" s="433"/>
      <c r="X148" s="659"/>
      <c r="Y148" s="661"/>
      <c r="Z148" s="433"/>
      <c r="AA148" s="433"/>
      <c r="AB148" s="433"/>
      <c r="AC148" s="433"/>
      <c r="AD148" s="433"/>
      <c r="AE148" s="644"/>
      <c r="AF148" s="661"/>
      <c r="AG148" s="433"/>
      <c r="AH148" s="433"/>
      <c r="AI148" s="433"/>
      <c r="AJ148" s="433"/>
      <c r="AK148" s="433"/>
      <c r="AL148" s="644"/>
    </row>
    <row r="149" spans="2:38" ht="17" thickBot="1" x14ac:dyDescent="0.5">
      <c r="B149" s="830"/>
      <c r="C149" s="831"/>
      <c r="D149" s="832"/>
      <c r="E149" s="833"/>
      <c r="F149" s="834" t="s">
        <v>115</v>
      </c>
      <c r="G149" s="816" t="s">
        <v>127</v>
      </c>
      <c r="H149" s="835"/>
      <c r="I149" s="981"/>
      <c r="J149" s="793"/>
      <c r="K149" s="763"/>
      <c r="L149" s="655"/>
      <c r="M149" s="655"/>
      <c r="N149" s="655"/>
      <c r="O149" s="655"/>
      <c r="P149" s="655"/>
      <c r="Q149" s="654"/>
      <c r="R149" s="655"/>
      <c r="S149" s="655"/>
      <c r="T149" s="655"/>
      <c r="U149" s="655"/>
      <c r="V149" s="655"/>
      <c r="W149" s="655"/>
      <c r="X149" s="660"/>
      <c r="Y149" s="662"/>
      <c r="Z149" s="655"/>
      <c r="AA149" s="655"/>
      <c r="AB149" s="655"/>
      <c r="AC149" s="655"/>
      <c r="AD149" s="655"/>
      <c r="AE149" s="656"/>
      <c r="AF149" s="662"/>
      <c r="AG149" s="655"/>
      <c r="AH149" s="655"/>
      <c r="AI149" s="655"/>
      <c r="AJ149" s="655"/>
      <c r="AK149" s="655"/>
      <c r="AL149" s="656"/>
    </row>
    <row r="150" spans="2:38" x14ac:dyDescent="0.45">
      <c r="D150" s="112"/>
      <c r="E150" s="195"/>
      <c r="G150" s="111"/>
      <c r="H150" s="111"/>
      <c r="I150" s="111"/>
      <c r="Z150" s="657"/>
      <c r="AA150" s="657"/>
      <c r="AB150" s="657"/>
      <c r="AC150" s="657"/>
      <c r="AD150" s="657"/>
      <c r="AE150" s="657"/>
      <c r="AG150" s="657"/>
      <c r="AH150" s="657"/>
      <c r="AI150" s="657"/>
      <c r="AJ150" s="657"/>
      <c r="AK150" s="657"/>
      <c r="AL150" s="657"/>
    </row>
  </sheetData>
  <mergeCells count="94">
    <mergeCell ref="B13:B15"/>
    <mergeCell ref="C13:C15"/>
    <mergeCell ref="D13:D15"/>
    <mergeCell ref="E13:E15"/>
    <mergeCell ref="F13:F15"/>
    <mergeCell ref="G13:I15"/>
    <mergeCell ref="J13:X13"/>
    <mergeCell ref="Y13:AE13"/>
    <mergeCell ref="AF13:AL13"/>
    <mergeCell ref="J14:J15"/>
    <mergeCell ref="L14:P14"/>
    <mergeCell ref="R14:T14"/>
    <mergeCell ref="Y14:Z14"/>
    <mergeCell ref="AF14:AG14"/>
    <mergeCell ref="G16:I16"/>
    <mergeCell ref="B36:B38"/>
    <mergeCell ref="C36:C38"/>
    <mergeCell ref="D36:D38"/>
    <mergeCell ref="E36:E38"/>
    <mergeCell ref="F36:F38"/>
    <mergeCell ref="G36:I38"/>
    <mergeCell ref="J36:X36"/>
    <mergeCell ref="Y36:AE36"/>
    <mergeCell ref="AF36:AL36"/>
    <mergeCell ref="J37:J38"/>
    <mergeCell ref="L37:P37"/>
    <mergeCell ref="R37:T37"/>
    <mergeCell ref="Y37:Z37"/>
    <mergeCell ref="AF37:AG37"/>
    <mergeCell ref="G39:I39"/>
    <mergeCell ref="B59:B61"/>
    <mergeCell ref="C59:C61"/>
    <mergeCell ref="D59:D61"/>
    <mergeCell ref="E59:E61"/>
    <mergeCell ref="F59:F61"/>
    <mergeCell ref="G59:I61"/>
    <mergeCell ref="J59:X59"/>
    <mergeCell ref="Y59:AE59"/>
    <mergeCell ref="AF59:AL59"/>
    <mergeCell ref="J60:J61"/>
    <mergeCell ref="L60:P60"/>
    <mergeCell ref="R60:T60"/>
    <mergeCell ref="Y60:Z60"/>
    <mergeCell ref="AF60:AG60"/>
    <mergeCell ref="G62:I62"/>
    <mergeCell ref="B82:B84"/>
    <mergeCell ref="C82:C84"/>
    <mergeCell ref="D82:D84"/>
    <mergeCell ref="E82:E84"/>
    <mergeCell ref="F82:F84"/>
    <mergeCell ref="G82:I84"/>
    <mergeCell ref="J82:X82"/>
    <mergeCell ref="Y82:AE82"/>
    <mergeCell ref="AF82:AL82"/>
    <mergeCell ref="J83:J84"/>
    <mergeCell ref="L83:P83"/>
    <mergeCell ref="R83:T83"/>
    <mergeCell ref="Y83:Z83"/>
    <mergeCell ref="AF83:AG83"/>
    <mergeCell ref="G85:I85"/>
    <mergeCell ref="B105:B107"/>
    <mergeCell ref="C105:C107"/>
    <mergeCell ref="D105:D107"/>
    <mergeCell ref="E105:E107"/>
    <mergeCell ref="F105:F107"/>
    <mergeCell ref="G105:I107"/>
    <mergeCell ref="J105:X105"/>
    <mergeCell ref="Y105:AE105"/>
    <mergeCell ref="AF105:AL105"/>
    <mergeCell ref="J106:J107"/>
    <mergeCell ref="L106:P106"/>
    <mergeCell ref="R106:T106"/>
    <mergeCell ref="Y106:Z106"/>
    <mergeCell ref="AF106:AG106"/>
    <mergeCell ref="G108:I108"/>
    <mergeCell ref="B132:B133"/>
    <mergeCell ref="C132:C133"/>
    <mergeCell ref="E132:E133"/>
    <mergeCell ref="F132:F133"/>
    <mergeCell ref="B128:B130"/>
    <mergeCell ref="C128:C130"/>
    <mergeCell ref="D128:D130"/>
    <mergeCell ref="E128:E130"/>
    <mergeCell ref="F128:F130"/>
    <mergeCell ref="G131:I131"/>
    <mergeCell ref="G128:I130"/>
    <mergeCell ref="J128:X128"/>
    <mergeCell ref="Y128:AE128"/>
    <mergeCell ref="AF128:AL128"/>
    <mergeCell ref="J129:J130"/>
    <mergeCell ref="L129:P129"/>
    <mergeCell ref="R129:T129"/>
    <mergeCell ref="Y129:Z129"/>
    <mergeCell ref="AF129:AG129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64DE-C08C-4A31-A776-A80FEE6536AD}">
  <sheetPr>
    <tabColor rgb="FFFFFF00"/>
  </sheetPr>
  <dimension ref="A1:AL171"/>
  <sheetViews>
    <sheetView view="pageBreakPreview" topLeftCell="A121" zoomScale="72" zoomScaleNormal="100" zoomScaleSheetLayoutView="72" workbookViewId="0">
      <selection activeCell="O170" sqref="O170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RAP!B72</f>
        <v xml:space="preserve">PEKERJAAN KUSEN, PINTU &amp; JENDELA 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x14ac:dyDescent="0.45">
      <c r="D11" s="112"/>
      <c r="E11" s="195"/>
      <c r="G11" s="111"/>
      <c r="H11" s="111"/>
      <c r="I11" s="111"/>
      <c r="Z11" s="657"/>
      <c r="AA11" s="657"/>
      <c r="AB11" s="657"/>
      <c r="AC11" s="657"/>
      <c r="AD11" s="657"/>
      <c r="AE11" s="657"/>
      <c r="AG11" s="657"/>
      <c r="AH11" s="657"/>
      <c r="AI11" s="657"/>
      <c r="AJ11" s="657"/>
      <c r="AK11" s="657"/>
      <c r="AL11" s="657"/>
    </row>
    <row r="12" spans="2:38" ht="17" thickBot="1" x14ac:dyDescent="0.5">
      <c r="B12" s="749" t="s">
        <v>687</v>
      </c>
      <c r="C12" s="750" t="str">
        <f>RAP!B73</f>
        <v xml:space="preserve">Kusen Pintu Alumunium 4' </v>
      </c>
      <c r="D12" s="241"/>
      <c r="E12" s="241"/>
      <c r="F12" s="276"/>
      <c r="G12" s="240"/>
      <c r="H12" s="241"/>
      <c r="I12" s="241"/>
      <c r="J12" s="604"/>
      <c r="K12" s="603"/>
      <c r="L12" s="604"/>
      <c r="M12" s="604"/>
      <c r="N12" s="604"/>
      <c r="O12" s="604"/>
      <c r="P12" s="604"/>
      <c r="Q12" s="604"/>
      <c r="R12" s="609"/>
      <c r="S12" s="609"/>
      <c r="T12" s="609"/>
      <c r="U12" s="609"/>
      <c r="V12" s="609"/>
      <c r="W12" s="609"/>
      <c r="X12" s="609"/>
      <c r="Y12" s="609"/>
      <c r="Z12" s="609"/>
      <c r="AA12" s="609"/>
      <c r="AB12" s="609"/>
      <c r="AC12" s="609"/>
      <c r="AD12" s="609"/>
      <c r="AE12" s="609"/>
      <c r="AF12" s="609"/>
      <c r="AG12" s="609"/>
      <c r="AH12" s="609"/>
      <c r="AI12" s="609"/>
      <c r="AJ12" s="609"/>
      <c r="AK12" s="609"/>
      <c r="AL12" s="609"/>
    </row>
    <row r="13" spans="2:38" ht="19.5" customHeight="1" x14ac:dyDescent="0.45">
      <c r="B13" s="1168" t="s">
        <v>99</v>
      </c>
      <c r="C13" s="1171" t="s">
        <v>100</v>
      </c>
      <c r="D13" s="1171" t="s">
        <v>89</v>
      </c>
      <c r="E13" s="1171" t="s">
        <v>101</v>
      </c>
      <c r="F13" s="1171" t="s">
        <v>102</v>
      </c>
      <c r="G13" s="1109" t="s">
        <v>103</v>
      </c>
      <c r="H13" s="1110"/>
      <c r="I13" s="1175"/>
      <c r="J13" s="1152" t="s">
        <v>539</v>
      </c>
      <c r="K13" s="1152"/>
      <c r="L13" s="1152"/>
      <c r="M13" s="1152"/>
      <c r="N13" s="1152"/>
      <c r="O13" s="1152"/>
      <c r="P13" s="1152"/>
      <c r="Q13" s="1152"/>
      <c r="R13" s="1152"/>
      <c r="S13" s="1152"/>
      <c r="T13" s="1152"/>
      <c r="U13" s="1152"/>
      <c r="V13" s="1152"/>
      <c r="W13" s="1152"/>
      <c r="X13" s="1152"/>
      <c r="Y13" s="1153" t="s">
        <v>540</v>
      </c>
      <c r="Z13" s="1154"/>
      <c r="AA13" s="1154"/>
      <c r="AB13" s="1154"/>
      <c r="AC13" s="1154"/>
      <c r="AD13" s="1154"/>
      <c r="AE13" s="1155"/>
      <c r="AF13" s="1156" t="s">
        <v>541</v>
      </c>
      <c r="AG13" s="1157"/>
      <c r="AH13" s="1157"/>
      <c r="AI13" s="1157"/>
      <c r="AJ13" s="1157"/>
      <c r="AK13" s="1157"/>
      <c r="AL13" s="1158"/>
    </row>
    <row r="14" spans="2:38" ht="45" x14ac:dyDescent="0.45">
      <c r="B14" s="1169"/>
      <c r="C14" s="1089"/>
      <c r="D14" s="1089"/>
      <c r="E14" s="1089"/>
      <c r="F14" s="1089"/>
      <c r="G14" s="1026"/>
      <c r="H14" s="1027"/>
      <c r="I14" s="1176"/>
      <c r="J14" s="1185" t="s">
        <v>15</v>
      </c>
      <c r="K14" s="673" t="s">
        <v>493</v>
      </c>
      <c r="L14" s="1161" t="s">
        <v>491</v>
      </c>
      <c r="M14" s="1162"/>
      <c r="N14" s="1162"/>
      <c r="O14" s="1162"/>
      <c r="P14" s="1163"/>
      <c r="Q14" s="674" t="s">
        <v>533</v>
      </c>
      <c r="R14" s="1161" t="s">
        <v>501</v>
      </c>
      <c r="S14" s="1162"/>
      <c r="T14" s="1163"/>
      <c r="U14" s="674" t="s">
        <v>530</v>
      </c>
      <c r="V14" s="674" t="s">
        <v>531</v>
      </c>
      <c r="W14" s="674" t="s">
        <v>578</v>
      </c>
      <c r="X14" s="681" t="s">
        <v>579</v>
      </c>
      <c r="Y14" s="1164" t="s">
        <v>534</v>
      </c>
      <c r="Z14" s="1165"/>
      <c r="AA14" s="663" t="s">
        <v>537</v>
      </c>
      <c r="AB14" s="664" t="s">
        <v>538</v>
      </c>
      <c r="AC14" s="665" t="s">
        <v>530</v>
      </c>
      <c r="AD14" s="665" t="s">
        <v>578</v>
      </c>
      <c r="AE14" s="682" t="s">
        <v>579</v>
      </c>
      <c r="AF14" s="1166" t="s">
        <v>542</v>
      </c>
      <c r="AG14" s="1167"/>
      <c r="AH14" s="737" t="s">
        <v>543</v>
      </c>
      <c r="AI14" s="738" t="s">
        <v>544</v>
      </c>
      <c r="AJ14" s="739" t="s">
        <v>530</v>
      </c>
      <c r="AK14" s="739" t="s">
        <v>578</v>
      </c>
      <c r="AL14" s="740" t="s">
        <v>579</v>
      </c>
    </row>
    <row r="15" spans="2:38" ht="30" x14ac:dyDescent="0.45">
      <c r="B15" s="1170"/>
      <c r="C15" s="1090"/>
      <c r="D15" s="1090"/>
      <c r="E15" s="1090"/>
      <c r="F15" s="1090"/>
      <c r="G15" s="1085"/>
      <c r="H15" s="1086"/>
      <c r="I15" s="1177"/>
      <c r="J15" s="1174"/>
      <c r="K15" s="675" t="s">
        <v>495</v>
      </c>
      <c r="L15" s="676" t="s">
        <v>524</v>
      </c>
      <c r="M15" s="676" t="s">
        <v>525</v>
      </c>
      <c r="N15" s="676" t="s">
        <v>526</v>
      </c>
      <c r="O15" s="675" t="s">
        <v>517</v>
      </c>
      <c r="P15" s="675" t="s">
        <v>290</v>
      </c>
      <c r="Q15" s="675" t="s">
        <v>532</v>
      </c>
      <c r="R15" s="676" t="s">
        <v>527</v>
      </c>
      <c r="S15" s="676" t="s">
        <v>528</v>
      </c>
      <c r="T15" s="677" t="s">
        <v>529</v>
      </c>
      <c r="U15" s="675" t="s">
        <v>502</v>
      </c>
      <c r="V15" s="675" t="s">
        <v>502</v>
      </c>
      <c r="W15" s="675" t="s">
        <v>502</v>
      </c>
      <c r="X15" s="678" t="s">
        <v>504</v>
      </c>
      <c r="Y15" s="666" t="s">
        <v>535</v>
      </c>
      <c r="Z15" s="667" t="s">
        <v>536</v>
      </c>
      <c r="AA15" s="668" t="s">
        <v>532</v>
      </c>
      <c r="AB15" s="668" t="s">
        <v>532</v>
      </c>
      <c r="AC15" s="668" t="s">
        <v>532</v>
      </c>
      <c r="AD15" s="668" t="s">
        <v>532</v>
      </c>
      <c r="AE15" s="669" t="s">
        <v>532</v>
      </c>
      <c r="AF15" s="741" t="s">
        <v>535</v>
      </c>
      <c r="AG15" s="742" t="s">
        <v>536</v>
      </c>
      <c r="AH15" s="743" t="s">
        <v>532</v>
      </c>
      <c r="AI15" s="743" t="s">
        <v>532</v>
      </c>
      <c r="AJ15" s="743" t="s">
        <v>532</v>
      </c>
      <c r="AK15" s="743" t="s">
        <v>532</v>
      </c>
      <c r="AL15" s="744" t="s">
        <v>532</v>
      </c>
    </row>
    <row r="16" spans="2:38" ht="30" x14ac:dyDescent="0.45">
      <c r="B16" s="639" t="s">
        <v>4</v>
      </c>
      <c r="C16" s="600" t="s">
        <v>5</v>
      </c>
      <c r="D16" s="570" t="s">
        <v>6</v>
      </c>
      <c r="E16" s="570" t="s">
        <v>112</v>
      </c>
      <c r="F16" s="570" t="s">
        <v>114</v>
      </c>
      <c r="G16" s="1014" t="s">
        <v>115</v>
      </c>
      <c r="H16" s="1014"/>
      <c r="I16" s="1172"/>
      <c r="J16" s="791" t="s">
        <v>21</v>
      </c>
      <c r="K16" s="675" t="s">
        <v>496</v>
      </c>
      <c r="L16" s="675" t="s">
        <v>497</v>
      </c>
      <c r="M16" s="675" t="s">
        <v>498</v>
      </c>
      <c r="N16" s="675" t="s">
        <v>499</v>
      </c>
      <c r="O16" s="676" t="s">
        <v>552</v>
      </c>
      <c r="P16" s="675" t="s">
        <v>512</v>
      </c>
      <c r="Q16" s="675" t="s">
        <v>503</v>
      </c>
      <c r="R16" s="675" t="s">
        <v>553</v>
      </c>
      <c r="S16" s="675" t="s">
        <v>513</v>
      </c>
      <c r="T16" s="675" t="s">
        <v>514</v>
      </c>
      <c r="U16" s="675" t="s">
        <v>554</v>
      </c>
      <c r="V16" s="675" t="s">
        <v>515</v>
      </c>
      <c r="W16" s="675" t="s">
        <v>555</v>
      </c>
      <c r="X16" s="678" t="s">
        <v>516</v>
      </c>
      <c r="Y16" s="670" t="s">
        <v>556</v>
      </c>
      <c r="Z16" s="671" t="s">
        <v>557</v>
      </c>
      <c r="AA16" s="671" t="s">
        <v>558</v>
      </c>
      <c r="AB16" s="671" t="s">
        <v>559</v>
      </c>
      <c r="AC16" s="671" t="s">
        <v>560</v>
      </c>
      <c r="AD16" s="671" t="s">
        <v>561</v>
      </c>
      <c r="AE16" s="672" t="s">
        <v>562</v>
      </c>
      <c r="AF16" s="745" t="s">
        <v>563</v>
      </c>
      <c r="AG16" s="746" t="s">
        <v>564</v>
      </c>
      <c r="AH16" s="746" t="s">
        <v>565</v>
      </c>
      <c r="AI16" s="746" t="s">
        <v>566</v>
      </c>
      <c r="AJ16" s="746" t="s">
        <v>567</v>
      </c>
      <c r="AK16" s="746" t="s">
        <v>568</v>
      </c>
      <c r="AL16" s="747" t="s">
        <v>569</v>
      </c>
    </row>
    <row r="17" spans="2:38" ht="15.5" x14ac:dyDescent="0.45">
      <c r="B17" s="640">
        <v>1</v>
      </c>
      <c r="C17" s="439" t="s">
        <v>33</v>
      </c>
      <c r="D17" s="536"/>
      <c r="E17" s="486">
        <v>1</v>
      </c>
      <c r="F17" s="478" t="s">
        <v>31</v>
      </c>
      <c r="G17" s="471" t="s">
        <v>251</v>
      </c>
      <c r="H17" s="458"/>
      <c r="I17" s="972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89"/>
      <c r="AG17" s="789"/>
      <c r="AH17" s="789"/>
      <c r="AI17" s="789"/>
      <c r="AJ17" s="789"/>
      <c r="AK17" s="789"/>
      <c r="AL17" s="790"/>
    </row>
    <row r="18" spans="2:38" x14ac:dyDescent="0.45">
      <c r="B18" s="794"/>
      <c r="C18" s="307"/>
      <c r="D18" s="230"/>
      <c r="E18" s="410"/>
      <c r="F18" s="207" t="s">
        <v>4</v>
      </c>
      <c r="G18" s="231" t="s">
        <v>120</v>
      </c>
      <c r="H18" s="209"/>
      <c r="I18" s="966"/>
      <c r="J18" s="792">
        <f>RAP!E73</f>
        <v>127.60000000000001</v>
      </c>
      <c r="K18" s="601">
        <v>3</v>
      </c>
      <c r="L18" s="319"/>
      <c r="M18" s="319"/>
      <c r="N18" s="319"/>
      <c r="O18" s="598"/>
      <c r="P18" s="598"/>
      <c r="Q18" s="605"/>
      <c r="R18" s="485"/>
      <c r="S18" s="485"/>
      <c r="T18" s="485"/>
      <c r="U18" s="752">
        <f>SUM(R18:R33)+(SUM(S18:S33)+SUM(T18:T33))</f>
        <v>19244000</v>
      </c>
      <c r="V18" s="754">
        <f>RAP!H73</f>
        <v>21047578.530000001</v>
      </c>
      <c r="W18" s="752">
        <f>V18-U18</f>
        <v>1803578.5300000012</v>
      </c>
      <c r="X18" s="760">
        <f>W18/V18*100</f>
        <v>8.5690547605240415</v>
      </c>
      <c r="Y18" s="755">
        <f>SUM(R18:R33)/J18</f>
        <v>9874.6081504702179</v>
      </c>
      <c r="Z18" s="757">
        <v>9500</v>
      </c>
      <c r="AA18" s="758">
        <f>J18*Z18</f>
        <v>1212200</v>
      </c>
      <c r="AB18" s="758">
        <f>SUM(S18:S33)+SUM(T18:T33)</f>
        <v>17984000</v>
      </c>
      <c r="AC18" s="752">
        <f>AA18+AB18</f>
        <v>19196200</v>
      </c>
      <c r="AD18" s="752">
        <f>V18-AC18</f>
        <v>1851378.5300000012</v>
      </c>
      <c r="AE18" s="760">
        <f>AD18/V18*100</f>
        <v>8.7961592701086886</v>
      </c>
      <c r="AF18" s="755">
        <f>(SUM(R18:R33)+SUM(S18:S33))/J18</f>
        <v>150815.04702194355</v>
      </c>
      <c r="AG18" s="757">
        <v>150000</v>
      </c>
      <c r="AH18" s="758">
        <f>AG18*J18</f>
        <v>19140000</v>
      </c>
      <c r="AI18" s="758">
        <f>SUM(T18:T33)</f>
        <v>0</v>
      </c>
      <c r="AJ18" s="752">
        <f>AH18+AI18</f>
        <v>19140000</v>
      </c>
      <c r="AK18" s="752">
        <f>V18-AJ18</f>
        <v>1907578.5300000012</v>
      </c>
      <c r="AL18" s="760">
        <f>AK18/V18*100</f>
        <v>9.0631733587835246</v>
      </c>
    </row>
    <row r="19" spans="2:38" x14ac:dyDescent="0.45">
      <c r="B19" s="785"/>
      <c r="C19" s="277"/>
      <c r="D19" s="211" t="s">
        <v>107</v>
      </c>
      <c r="E19" s="394">
        <v>4.2999999999999997E-2</v>
      </c>
      <c r="F19" s="211" t="s">
        <v>108</v>
      </c>
      <c r="G19" s="209" t="s">
        <v>159</v>
      </c>
      <c r="H19" s="209"/>
      <c r="I19" s="966"/>
      <c r="J19" s="475"/>
      <c r="K19" s="602"/>
      <c r="L19" s="433">
        <f>E19*J18/K18</f>
        <v>1.8289333333333333</v>
      </c>
      <c r="M19" s="433"/>
      <c r="N19" s="433"/>
      <c r="O19" s="597">
        <v>2</v>
      </c>
      <c r="P19" s="596" t="str">
        <f>F19</f>
        <v>OH</v>
      </c>
      <c r="Q19" s="608">
        <f>'Analisa Upah RAP'!G5</f>
        <v>75000</v>
      </c>
      <c r="R19" s="453">
        <f>O19*Q19*K18</f>
        <v>450000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785"/>
      <c r="C20" s="277"/>
      <c r="D20" s="269" t="s">
        <v>121</v>
      </c>
      <c r="E20" s="383">
        <v>4.2999999999999997E-2</v>
      </c>
      <c r="F20" s="269" t="s">
        <v>108</v>
      </c>
      <c r="G20" s="226" t="s">
        <v>171</v>
      </c>
      <c r="H20" s="226"/>
      <c r="I20" s="974"/>
      <c r="J20" s="475"/>
      <c r="K20" s="602"/>
      <c r="L20" s="433">
        <f>E20*J18/K18</f>
        <v>1.8289333333333333</v>
      </c>
      <c r="M20" s="433"/>
      <c r="N20" s="433"/>
      <c r="O20" s="597">
        <v>2</v>
      </c>
      <c r="P20" s="596" t="str">
        <f>F20</f>
        <v>OH</v>
      </c>
      <c r="Q20" s="608">
        <f>'Analisa Upah RAP'!G8</f>
        <v>85000</v>
      </c>
      <c r="R20" s="453">
        <f>O20*Q20*K18</f>
        <v>510000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785"/>
      <c r="C21" s="277"/>
      <c r="D21" s="269" t="s">
        <v>122</v>
      </c>
      <c r="E21" s="395">
        <v>4.3E-3</v>
      </c>
      <c r="F21" s="269" t="s">
        <v>108</v>
      </c>
      <c r="G21" s="226" t="s">
        <v>160</v>
      </c>
      <c r="H21" s="226"/>
      <c r="I21" s="974"/>
      <c r="J21" s="475"/>
      <c r="K21" s="602"/>
      <c r="L21" s="433">
        <f>E21*J18/K18</f>
        <v>0.18289333333333335</v>
      </c>
      <c r="M21" s="433"/>
      <c r="N21" s="433"/>
      <c r="O21" s="597">
        <v>0</v>
      </c>
      <c r="P21" s="596" t="str">
        <f>F21</f>
        <v>OH</v>
      </c>
      <c r="Q21" s="608">
        <f>'Analisa Upah RAP'!G11</f>
        <v>90000</v>
      </c>
      <c r="R21" s="453">
        <f>O21*Q21*K18</f>
        <v>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x14ac:dyDescent="0.45">
      <c r="B22" s="785"/>
      <c r="C22" s="277"/>
      <c r="D22" s="253" t="s">
        <v>109</v>
      </c>
      <c r="E22" s="411">
        <v>2.0999999999999999E-3</v>
      </c>
      <c r="F22" s="253" t="s">
        <v>108</v>
      </c>
      <c r="G22" s="229" t="s">
        <v>161</v>
      </c>
      <c r="H22" s="229"/>
      <c r="I22" s="967"/>
      <c r="J22" s="475"/>
      <c r="K22" s="602"/>
      <c r="L22" s="433">
        <f>E22*J18/K18</f>
        <v>8.9319999999999997E-2</v>
      </c>
      <c r="M22" s="433"/>
      <c r="N22" s="433"/>
      <c r="O22" s="597">
        <v>1</v>
      </c>
      <c r="P22" s="596" t="str">
        <f>F22</f>
        <v>OH</v>
      </c>
      <c r="Q22" s="608">
        <f>'Analisa Upah RAP'!G12</f>
        <v>100000</v>
      </c>
      <c r="R22" s="453">
        <f>O22*Q22*K18</f>
        <v>300000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x14ac:dyDescent="0.45">
      <c r="B23" s="785"/>
      <c r="C23" s="256"/>
      <c r="D23" s="230"/>
      <c r="E23" s="339"/>
      <c r="F23" s="207" t="s">
        <v>5</v>
      </c>
      <c r="G23" s="231" t="s">
        <v>124</v>
      </c>
      <c r="H23" s="209"/>
      <c r="I23" s="966"/>
      <c r="J23" s="475"/>
      <c r="K23" s="602"/>
      <c r="L23" s="433"/>
      <c r="M23" s="433"/>
      <c r="N23" s="433"/>
      <c r="O23" s="597"/>
      <c r="P23" s="596"/>
      <c r="Q23" s="608"/>
      <c r="R23" s="453"/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x14ac:dyDescent="0.45">
      <c r="B24" s="785"/>
      <c r="C24" s="256"/>
      <c r="D24" s="938"/>
      <c r="E24" s="939">
        <f>1.1/4</f>
        <v>0.27500000000000002</v>
      </c>
      <c r="F24" s="837" t="s">
        <v>365</v>
      </c>
      <c r="G24" s="821" t="s">
        <v>164</v>
      </c>
      <c r="H24" s="821"/>
      <c r="I24" s="977"/>
      <c r="J24" s="475"/>
      <c r="K24" s="602"/>
      <c r="L24" s="433"/>
      <c r="M24" s="433">
        <f>E24*J18</f>
        <v>35.090000000000003</v>
      </c>
      <c r="N24" s="433"/>
      <c r="O24" s="597">
        <v>35</v>
      </c>
      <c r="P24" s="596" t="str">
        <f>F24</f>
        <v>btg</v>
      </c>
      <c r="Q24" s="608">
        <f>'Harga Bahan RAP'!G131</f>
        <v>500000</v>
      </c>
      <c r="R24" s="453"/>
      <c r="S24" s="453">
        <f>O24*Q24</f>
        <v>17500000</v>
      </c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x14ac:dyDescent="0.45">
      <c r="B25" s="785"/>
      <c r="C25" s="256"/>
      <c r="D25" s="230"/>
      <c r="E25" s="398">
        <v>2</v>
      </c>
      <c r="F25" s="211" t="s">
        <v>155</v>
      </c>
      <c r="G25" s="209" t="s">
        <v>473</v>
      </c>
      <c r="H25" s="209"/>
      <c r="I25" s="966"/>
      <c r="J25" s="475"/>
      <c r="K25" s="602"/>
      <c r="L25" s="433"/>
      <c r="M25" s="433">
        <f>E25*J18</f>
        <v>255.20000000000002</v>
      </c>
      <c r="N25" s="433"/>
      <c r="O25" s="597">
        <v>255</v>
      </c>
      <c r="P25" s="596" t="str">
        <f>F25</f>
        <v>buah</v>
      </c>
      <c r="Q25" s="608">
        <f>'Harga Bahan RAP'!G126</f>
        <v>800</v>
      </c>
      <c r="R25" s="433"/>
      <c r="S25" s="453">
        <f t="shared" ref="S25:S28" si="0">O25*Q25</f>
        <v>204000</v>
      </c>
      <c r="T25" s="43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x14ac:dyDescent="0.45">
      <c r="B26" s="785"/>
      <c r="C26" s="256"/>
      <c r="D26" s="238"/>
      <c r="E26" s="413">
        <v>0.06</v>
      </c>
      <c r="F26" s="253" t="s">
        <v>162</v>
      </c>
      <c r="G26" s="229" t="s">
        <v>163</v>
      </c>
      <c r="H26" s="229"/>
      <c r="I26" s="967"/>
      <c r="J26" s="475"/>
      <c r="K26" s="602"/>
      <c r="L26" s="433"/>
      <c r="M26" s="433">
        <f>E26*J18</f>
        <v>7.6560000000000006</v>
      </c>
      <c r="N26" s="433"/>
      <c r="O26" s="597">
        <v>8</v>
      </c>
      <c r="P26" s="596" t="str">
        <f>F26</f>
        <v>Tube</v>
      </c>
      <c r="Q26" s="608">
        <f>'Harga Bahan RAP'!G136</f>
        <v>35000</v>
      </c>
      <c r="R26" s="433"/>
      <c r="S26" s="453">
        <f t="shared" si="0"/>
        <v>280000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x14ac:dyDescent="0.45">
      <c r="B27" s="785"/>
      <c r="C27" s="256"/>
      <c r="D27" s="230"/>
      <c r="E27" s="415"/>
      <c r="F27" s="211"/>
      <c r="G27" s="209"/>
      <c r="H27" s="209"/>
      <c r="I27" s="966"/>
      <c r="J27" s="475"/>
      <c r="K27" s="602"/>
      <c r="L27" s="433"/>
      <c r="M27" s="433">
        <f>E27*J18</f>
        <v>0</v>
      </c>
      <c r="N27" s="433"/>
      <c r="O27" s="597">
        <v>0</v>
      </c>
      <c r="P27" s="596">
        <f>F27</f>
        <v>0</v>
      </c>
      <c r="Q27" s="608">
        <f>'Harga Bahan RAP'!G166</f>
        <v>0</v>
      </c>
      <c r="R27" s="433"/>
      <c r="S27" s="453">
        <f t="shared" si="0"/>
        <v>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x14ac:dyDescent="0.45">
      <c r="B28" s="785"/>
      <c r="C28" s="256"/>
      <c r="D28" s="238"/>
      <c r="E28" s="413"/>
      <c r="F28" s="253"/>
      <c r="G28" s="229"/>
      <c r="H28" s="229"/>
      <c r="I28" s="967"/>
      <c r="J28" s="475"/>
      <c r="K28" s="602"/>
      <c r="L28" s="433"/>
      <c r="M28" s="433">
        <f>E28*J18</f>
        <v>0</v>
      </c>
      <c r="N28" s="433"/>
      <c r="O28" s="597">
        <v>0</v>
      </c>
      <c r="P28" s="596">
        <f>F28</f>
        <v>0</v>
      </c>
      <c r="Q28" s="608"/>
      <c r="R28" s="433"/>
      <c r="S28" s="453">
        <f t="shared" si="0"/>
        <v>0</v>
      </c>
      <c r="T28" s="433"/>
      <c r="U28" s="753"/>
      <c r="V28" s="753"/>
      <c r="W28" s="753"/>
      <c r="X28" s="761"/>
      <c r="Y28" s="756"/>
      <c r="Z28" s="759"/>
      <c r="AA28" s="759"/>
      <c r="AB28" s="759"/>
      <c r="AC28" s="753"/>
      <c r="AD28" s="753"/>
      <c r="AE28" s="761"/>
      <c r="AF28" s="756"/>
      <c r="AG28" s="759"/>
      <c r="AH28" s="759"/>
      <c r="AI28" s="759"/>
      <c r="AJ28" s="753"/>
      <c r="AK28" s="753"/>
      <c r="AL28" s="761"/>
    </row>
    <row r="29" spans="2:38" x14ac:dyDescent="0.45">
      <c r="B29" s="785"/>
      <c r="C29" s="256"/>
      <c r="D29" s="230"/>
      <c r="E29" s="267"/>
      <c r="F29" s="207" t="s">
        <v>6</v>
      </c>
      <c r="G29" s="208" t="s">
        <v>111</v>
      </c>
      <c r="H29" s="209"/>
      <c r="I29" s="966"/>
      <c r="J29" s="475"/>
      <c r="K29" s="602"/>
      <c r="L29" s="433"/>
      <c r="M29" s="433"/>
      <c r="N29" s="433"/>
      <c r="O29" s="597"/>
      <c r="P29" s="596"/>
      <c r="Q29" s="608"/>
      <c r="R29" s="433"/>
      <c r="S29" s="433"/>
      <c r="T29" s="433"/>
      <c r="U29" s="433"/>
      <c r="V29" s="433"/>
      <c r="W29" s="433"/>
      <c r="X29" s="659"/>
      <c r="Y29" s="661"/>
      <c r="Z29" s="433"/>
      <c r="AA29" s="433"/>
      <c r="AB29" s="433"/>
      <c r="AC29" s="433"/>
      <c r="AD29" s="433"/>
      <c r="AE29" s="644"/>
      <c r="AF29" s="661"/>
      <c r="AG29" s="433"/>
      <c r="AH29" s="433"/>
      <c r="AI29" s="433"/>
      <c r="AJ29" s="433"/>
      <c r="AK29" s="433"/>
      <c r="AL29" s="644"/>
    </row>
    <row r="30" spans="2:38" x14ac:dyDescent="0.45">
      <c r="B30" s="785"/>
      <c r="C30" s="256"/>
      <c r="D30" s="230"/>
      <c r="E30" s="267"/>
      <c r="F30" s="207"/>
      <c r="G30" s="208"/>
      <c r="H30" s="209"/>
      <c r="I30" s="966"/>
      <c r="J30" s="475"/>
      <c r="K30" s="602"/>
      <c r="L30" s="433"/>
      <c r="M30" s="433"/>
      <c r="N30" s="433">
        <f>E30*J18</f>
        <v>0</v>
      </c>
      <c r="O30" s="597">
        <v>0</v>
      </c>
      <c r="P30" s="596">
        <v>0</v>
      </c>
      <c r="Q30" s="608"/>
      <c r="R30" s="433"/>
      <c r="S30" s="433"/>
      <c r="T30" s="453">
        <f>O30*Q30</f>
        <v>0</v>
      </c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x14ac:dyDescent="0.45">
      <c r="B31" s="785"/>
      <c r="C31" s="256"/>
      <c r="D31" s="230"/>
      <c r="E31" s="267"/>
      <c r="F31" s="207" t="s">
        <v>112</v>
      </c>
      <c r="G31" s="208" t="s">
        <v>113</v>
      </c>
      <c r="H31" s="209"/>
      <c r="I31" s="966"/>
      <c r="J31" s="475"/>
      <c r="K31" s="602"/>
      <c r="L31" s="433"/>
      <c r="M31" s="433"/>
      <c r="N31" s="433"/>
      <c r="O31" s="433"/>
      <c r="P31" s="433"/>
      <c r="Q31" s="595"/>
      <c r="R31" s="433"/>
      <c r="S31" s="433"/>
      <c r="T31" s="433"/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x14ac:dyDescent="0.45">
      <c r="B32" s="785"/>
      <c r="C32" s="277"/>
      <c r="D32" s="211"/>
      <c r="E32" s="275"/>
      <c r="F32" s="239" t="s">
        <v>114</v>
      </c>
      <c r="G32" s="257" t="s">
        <v>166</v>
      </c>
      <c r="H32" s="229"/>
      <c r="I32" s="980">
        <v>0.15</v>
      </c>
      <c r="J32" s="475"/>
      <c r="K32" s="602"/>
      <c r="L32" s="433"/>
      <c r="M32" s="433"/>
      <c r="N32" s="433"/>
      <c r="O32" s="433"/>
      <c r="P32" s="433"/>
      <c r="Q32" s="595"/>
      <c r="R32" s="433"/>
      <c r="S32" s="433"/>
      <c r="T32" s="433"/>
      <c r="U32" s="433"/>
      <c r="V32" s="433"/>
      <c r="W32" s="433"/>
      <c r="X32" s="659"/>
      <c r="Y32" s="661"/>
      <c r="Z32" s="433"/>
      <c r="AA32" s="433"/>
      <c r="AB32" s="433"/>
      <c r="AC32" s="433"/>
      <c r="AD32" s="433"/>
      <c r="AE32" s="644"/>
      <c r="AF32" s="661"/>
      <c r="AG32" s="433"/>
      <c r="AH32" s="433"/>
      <c r="AI32" s="433"/>
      <c r="AJ32" s="433"/>
      <c r="AK32" s="433"/>
      <c r="AL32" s="644"/>
    </row>
    <row r="33" spans="2:38" ht="17" thickBot="1" x14ac:dyDescent="0.5">
      <c r="B33" s="786"/>
      <c r="C33" s="831"/>
      <c r="D33" s="852"/>
      <c r="E33" s="911"/>
      <c r="F33" s="834" t="s">
        <v>115</v>
      </c>
      <c r="G33" s="816" t="s">
        <v>127</v>
      </c>
      <c r="H33" s="835"/>
      <c r="I33" s="981"/>
      <c r="J33" s="793"/>
      <c r="K33" s="763"/>
      <c r="L33" s="655"/>
      <c r="M33" s="655"/>
      <c r="N33" s="655"/>
      <c r="O33" s="655"/>
      <c r="P33" s="655"/>
      <c r="Q33" s="654"/>
      <c r="R33" s="655"/>
      <c r="S33" s="655"/>
      <c r="T33" s="655"/>
      <c r="U33" s="655"/>
      <c r="V33" s="655"/>
      <c r="W33" s="655"/>
      <c r="X33" s="660"/>
      <c r="Y33" s="662"/>
      <c r="Z33" s="655"/>
      <c r="AA33" s="655"/>
      <c r="AB33" s="655"/>
      <c r="AC33" s="655"/>
      <c r="AD33" s="655"/>
      <c r="AE33" s="656"/>
      <c r="AF33" s="662"/>
      <c r="AG33" s="655"/>
      <c r="AH33" s="655"/>
      <c r="AI33" s="655"/>
      <c r="AJ33" s="655"/>
      <c r="AK33" s="655"/>
      <c r="AL33" s="656"/>
    </row>
    <row r="34" spans="2:38" x14ac:dyDescent="0.45">
      <c r="D34" s="112"/>
      <c r="E34" s="195"/>
      <c r="G34" s="111"/>
      <c r="H34" s="111"/>
      <c r="I34" s="111"/>
      <c r="Z34" s="657"/>
      <c r="AA34" s="657"/>
      <c r="AB34" s="657"/>
      <c r="AC34" s="657"/>
      <c r="AD34" s="657"/>
      <c r="AE34" s="657"/>
      <c r="AG34" s="657"/>
      <c r="AH34" s="657"/>
      <c r="AI34" s="657"/>
      <c r="AJ34" s="657"/>
      <c r="AK34" s="657"/>
      <c r="AL34" s="657"/>
    </row>
    <row r="35" spans="2:38" ht="17" thickBot="1" x14ac:dyDescent="0.5">
      <c r="B35" s="749" t="s">
        <v>691</v>
      </c>
      <c r="C35" s="750" t="str">
        <f>RAP!B74</f>
        <v xml:space="preserve">Kusen Jendela Alumunium 4' </v>
      </c>
      <c r="D35" s="241"/>
      <c r="E35" s="241"/>
      <c r="F35" s="276"/>
      <c r="G35" s="240"/>
      <c r="H35" s="241"/>
      <c r="I35" s="241"/>
      <c r="J35" s="604"/>
      <c r="K35" s="603"/>
      <c r="L35" s="604"/>
      <c r="M35" s="604"/>
      <c r="N35" s="604"/>
      <c r="O35" s="604"/>
      <c r="P35" s="604"/>
      <c r="Q35" s="604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</row>
    <row r="36" spans="2:38" ht="19.5" customHeight="1" x14ac:dyDescent="0.45">
      <c r="B36" s="1168" t="s">
        <v>99</v>
      </c>
      <c r="C36" s="1171" t="s">
        <v>100</v>
      </c>
      <c r="D36" s="1171" t="s">
        <v>89</v>
      </c>
      <c r="E36" s="1171" t="s">
        <v>101</v>
      </c>
      <c r="F36" s="1171" t="s">
        <v>102</v>
      </c>
      <c r="G36" s="1109" t="s">
        <v>103</v>
      </c>
      <c r="H36" s="1110"/>
      <c r="I36" s="1175"/>
      <c r="J36" s="1152" t="s">
        <v>539</v>
      </c>
      <c r="K36" s="1152"/>
      <c r="L36" s="1152"/>
      <c r="M36" s="1152"/>
      <c r="N36" s="1152"/>
      <c r="O36" s="1152"/>
      <c r="P36" s="1152"/>
      <c r="Q36" s="1152"/>
      <c r="R36" s="1152"/>
      <c r="S36" s="1152"/>
      <c r="T36" s="1152"/>
      <c r="U36" s="1152"/>
      <c r="V36" s="1152"/>
      <c r="W36" s="1152"/>
      <c r="X36" s="1152"/>
      <c r="Y36" s="1153" t="s">
        <v>540</v>
      </c>
      <c r="Z36" s="1154"/>
      <c r="AA36" s="1154"/>
      <c r="AB36" s="1154"/>
      <c r="AC36" s="1154"/>
      <c r="AD36" s="1154"/>
      <c r="AE36" s="1155"/>
      <c r="AF36" s="1156" t="s">
        <v>541</v>
      </c>
      <c r="AG36" s="1157"/>
      <c r="AH36" s="1157"/>
      <c r="AI36" s="1157"/>
      <c r="AJ36" s="1157"/>
      <c r="AK36" s="1157"/>
      <c r="AL36" s="1158"/>
    </row>
    <row r="37" spans="2:38" ht="45" x14ac:dyDescent="0.45">
      <c r="B37" s="1169"/>
      <c r="C37" s="1089"/>
      <c r="D37" s="1089"/>
      <c r="E37" s="1089"/>
      <c r="F37" s="1089"/>
      <c r="G37" s="1026"/>
      <c r="H37" s="1027"/>
      <c r="I37" s="1176"/>
      <c r="J37" s="1185" t="s">
        <v>15</v>
      </c>
      <c r="K37" s="673" t="s">
        <v>493</v>
      </c>
      <c r="L37" s="1161" t="s">
        <v>491</v>
      </c>
      <c r="M37" s="1162"/>
      <c r="N37" s="1162"/>
      <c r="O37" s="1162"/>
      <c r="P37" s="1163"/>
      <c r="Q37" s="674" t="s">
        <v>533</v>
      </c>
      <c r="R37" s="1161" t="s">
        <v>501</v>
      </c>
      <c r="S37" s="1162"/>
      <c r="T37" s="1163"/>
      <c r="U37" s="674" t="s">
        <v>530</v>
      </c>
      <c r="V37" s="674" t="s">
        <v>531</v>
      </c>
      <c r="W37" s="674" t="s">
        <v>578</v>
      </c>
      <c r="X37" s="681" t="s">
        <v>579</v>
      </c>
      <c r="Y37" s="1164" t="s">
        <v>534</v>
      </c>
      <c r="Z37" s="1165"/>
      <c r="AA37" s="663" t="s">
        <v>537</v>
      </c>
      <c r="AB37" s="664" t="s">
        <v>538</v>
      </c>
      <c r="AC37" s="665" t="s">
        <v>530</v>
      </c>
      <c r="AD37" s="665" t="s">
        <v>578</v>
      </c>
      <c r="AE37" s="682" t="s">
        <v>579</v>
      </c>
      <c r="AF37" s="1166" t="s">
        <v>542</v>
      </c>
      <c r="AG37" s="1167"/>
      <c r="AH37" s="737" t="s">
        <v>543</v>
      </c>
      <c r="AI37" s="738" t="s">
        <v>544</v>
      </c>
      <c r="AJ37" s="739" t="s">
        <v>530</v>
      </c>
      <c r="AK37" s="739" t="s">
        <v>578</v>
      </c>
      <c r="AL37" s="740" t="s">
        <v>579</v>
      </c>
    </row>
    <row r="38" spans="2:38" ht="30" x14ac:dyDescent="0.45">
      <c r="B38" s="1170"/>
      <c r="C38" s="1090"/>
      <c r="D38" s="1090"/>
      <c r="E38" s="1090"/>
      <c r="F38" s="1090"/>
      <c r="G38" s="1085"/>
      <c r="H38" s="1086"/>
      <c r="I38" s="1177"/>
      <c r="J38" s="1174"/>
      <c r="K38" s="675" t="s">
        <v>495</v>
      </c>
      <c r="L38" s="676" t="s">
        <v>524</v>
      </c>
      <c r="M38" s="676" t="s">
        <v>525</v>
      </c>
      <c r="N38" s="676" t="s">
        <v>526</v>
      </c>
      <c r="O38" s="675" t="s">
        <v>517</v>
      </c>
      <c r="P38" s="675" t="s">
        <v>290</v>
      </c>
      <c r="Q38" s="675" t="s">
        <v>532</v>
      </c>
      <c r="R38" s="676" t="s">
        <v>527</v>
      </c>
      <c r="S38" s="676" t="s">
        <v>528</v>
      </c>
      <c r="T38" s="677" t="s">
        <v>529</v>
      </c>
      <c r="U38" s="675" t="s">
        <v>502</v>
      </c>
      <c r="V38" s="675" t="s">
        <v>502</v>
      </c>
      <c r="W38" s="675" t="s">
        <v>502</v>
      </c>
      <c r="X38" s="678" t="s">
        <v>504</v>
      </c>
      <c r="Y38" s="666" t="s">
        <v>535</v>
      </c>
      <c r="Z38" s="667" t="s">
        <v>536</v>
      </c>
      <c r="AA38" s="668" t="s">
        <v>532</v>
      </c>
      <c r="AB38" s="668" t="s">
        <v>532</v>
      </c>
      <c r="AC38" s="668" t="s">
        <v>532</v>
      </c>
      <c r="AD38" s="668" t="s">
        <v>532</v>
      </c>
      <c r="AE38" s="669" t="s">
        <v>532</v>
      </c>
      <c r="AF38" s="741" t="s">
        <v>535</v>
      </c>
      <c r="AG38" s="742" t="s">
        <v>536</v>
      </c>
      <c r="AH38" s="743" t="s">
        <v>532</v>
      </c>
      <c r="AI38" s="743" t="s">
        <v>532</v>
      </c>
      <c r="AJ38" s="743" t="s">
        <v>532</v>
      </c>
      <c r="AK38" s="743" t="s">
        <v>532</v>
      </c>
      <c r="AL38" s="744" t="s">
        <v>532</v>
      </c>
    </row>
    <row r="39" spans="2:38" ht="30" x14ac:dyDescent="0.45">
      <c r="B39" s="639" t="s">
        <v>4</v>
      </c>
      <c r="C39" s="600" t="s">
        <v>5</v>
      </c>
      <c r="D39" s="570" t="s">
        <v>6</v>
      </c>
      <c r="E39" s="570" t="s">
        <v>112</v>
      </c>
      <c r="F39" s="570" t="s">
        <v>114</v>
      </c>
      <c r="G39" s="1014" t="s">
        <v>115</v>
      </c>
      <c r="H39" s="1014"/>
      <c r="I39" s="1172"/>
      <c r="J39" s="791" t="s">
        <v>21</v>
      </c>
      <c r="K39" s="675" t="s">
        <v>496</v>
      </c>
      <c r="L39" s="675" t="s">
        <v>497</v>
      </c>
      <c r="M39" s="675" t="s">
        <v>498</v>
      </c>
      <c r="N39" s="675" t="s">
        <v>499</v>
      </c>
      <c r="O39" s="676" t="s">
        <v>552</v>
      </c>
      <c r="P39" s="675" t="s">
        <v>512</v>
      </c>
      <c r="Q39" s="675" t="s">
        <v>503</v>
      </c>
      <c r="R39" s="675" t="s">
        <v>553</v>
      </c>
      <c r="S39" s="675" t="s">
        <v>513</v>
      </c>
      <c r="T39" s="675" t="s">
        <v>514</v>
      </c>
      <c r="U39" s="675" t="s">
        <v>554</v>
      </c>
      <c r="V39" s="675" t="s">
        <v>515</v>
      </c>
      <c r="W39" s="675" t="s">
        <v>555</v>
      </c>
      <c r="X39" s="678" t="s">
        <v>516</v>
      </c>
      <c r="Y39" s="670" t="s">
        <v>556</v>
      </c>
      <c r="Z39" s="671" t="s">
        <v>557</v>
      </c>
      <c r="AA39" s="671" t="s">
        <v>558</v>
      </c>
      <c r="AB39" s="671" t="s">
        <v>559</v>
      </c>
      <c r="AC39" s="671" t="s">
        <v>560</v>
      </c>
      <c r="AD39" s="671" t="s">
        <v>561</v>
      </c>
      <c r="AE39" s="672" t="s">
        <v>562</v>
      </c>
      <c r="AF39" s="745" t="s">
        <v>563</v>
      </c>
      <c r="AG39" s="746" t="s">
        <v>564</v>
      </c>
      <c r="AH39" s="746" t="s">
        <v>565</v>
      </c>
      <c r="AI39" s="746" t="s">
        <v>566</v>
      </c>
      <c r="AJ39" s="746" t="s">
        <v>567</v>
      </c>
      <c r="AK39" s="746" t="s">
        <v>568</v>
      </c>
      <c r="AL39" s="747" t="s">
        <v>569</v>
      </c>
    </row>
    <row r="40" spans="2:38" ht="15.5" x14ac:dyDescent="0.45">
      <c r="B40" s="640">
        <v>2</v>
      </c>
      <c r="C40" s="439" t="s">
        <v>33</v>
      </c>
      <c r="D40" s="536"/>
      <c r="E40" s="486">
        <v>1</v>
      </c>
      <c r="F40" s="478" t="s">
        <v>31</v>
      </c>
      <c r="G40" s="471" t="s">
        <v>692</v>
      </c>
      <c r="H40" s="458"/>
      <c r="I40" s="972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9"/>
      <c r="U40" s="789"/>
      <c r="V40" s="789"/>
      <c r="W40" s="789"/>
      <c r="X40" s="789"/>
      <c r="Y40" s="789"/>
      <c r="Z40" s="789"/>
      <c r="AA40" s="789"/>
      <c r="AB40" s="789"/>
      <c r="AC40" s="789"/>
      <c r="AD40" s="789"/>
      <c r="AE40" s="789"/>
      <c r="AF40" s="789"/>
      <c r="AG40" s="789"/>
      <c r="AH40" s="789"/>
      <c r="AI40" s="789"/>
      <c r="AJ40" s="789"/>
      <c r="AK40" s="789"/>
      <c r="AL40" s="790"/>
    </row>
    <row r="41" spans="2:38" x14ac:dyDescent="0.45">
      <c r="B41" s="794"/>
      <c r="C41" s="307"/>
      <c r="D41" s="230"/>
      <c r="E41" s="410"/>
      <c r="F41" s="207" t="s">
        <v>4</v>
      </c>
      <c r="G41" s="231" t="s">
        <v>120</v>
      </c>
      <c r="H41" s="209"/>
      <c r="I41" s="966"/>
      <c r="J41" s="792">
        <f>RAP!E74</f>
        <v>543.95000000000005</v>
      </c>
      <c r="K41" s="601">
        <v>4</v>
      </c>
      <c r="L41" s="319"/>
      <c r="M41" s="319"/>
      <c r="N41" s="319"/>
      <c r="O41" s="598"/>
      <c r="P41" s="598"/>
      <c r="Q41" s="605"/>
      <c r="R41" s="485"/>
      <c r="S41" s="485"/>
      <c r="T41" s="485"/>
      <c r="U41" s="752">
        <f>SUM(R41:R56)+(SUM(S41:S56)+SUM(T41:T56))</f>
        <v>81265400</v>
      </c>
      <c r="V41" s="754">
        <f>RAP!H74</f>
        <v>89724375.719999999</v>
      </c>
      <c r="W41" s="752">
        <f>V41-U41</f>
        <v>8458975.7199999988</v>
      </c>
      <c r="X41" s="760">
        <f>W41/V41*100</f>
        <v>9.4277342718969201</v>
      </c>
      <c r="Y41" s="755">
        <f>SUM(R41:R56)/J41</f>
        <v>7794.834084015074</v>
      </c>
      <c r="Z41" s="757">
        <v>9500</v>
      </c>
      <c r="AA41" s="758">
        <f>J41*Z41</f>
        <v>5167525</v>
      </c>
      <c r="AB41" s="758">
        <f>SUM(S41:S56)+SUM(T41:T56)</f>
        <v>77025400</v>
      </c>
      <c r="AC41" s="752">
        <f>AA41+AB41</f>
        <v>82192925</v>
      </c>
      <c r="AD41" s="752">
        <f>V41-AC41</f>
        <v>7531450.7199999988</v>
      </c>
      <c r="AE41" s="760">
        <f>AD41/V41*100</f>
        <v>8.3939850899639108</v>
      </c>
      <c r="AF41" s="755">
        <f>(SUM(R41:R56)+SUM(S41:S56))/J41</f>
        <v>149398.65796488646</v>
      </c>
      <c r="AG41" s="757">
        <v>150000</v>
      </c>
      <c r="AH41" s="758">
        <f>AG41*J41</f>
        <v>81592500</v>
      </c>
      <c r="AI41" s="758">
        <f>SUM(T41:T56)</f>
        <v>0</v>
      </c>
      <c r="AJ41" s="752">
        <f>AH41+AI41</f>
        <v>81592500</v>
      </c>
      <c r="AK41" s="752">
        <f>V41-AJ41</f>
        <v>8131875.7199999988</v>
      </c>
      <c r="AL41" s="760">
        <f>AK41/V41*100</f>
        <v>9.0631733625841928</v>
      </c>
    </row>
    <row r="42" spans="2:38" x14ac:dyDescent="0.45">
      <c r="B42" s="785"/>
      <c r="C42" s="277"/>
      <c r="D42" s="211" t="s">
        <v>107</v>
      </c>
      <c r="E42" s="394">
        <v>4.2999999999999997E-2</v>
      </c>
      <c r="F42" s="211" t="s">
        <v>108</v>
      </c>
      <c r="G42" s="209" t="s">
        <v>159</v>
      </c>
      <c r="H42" s="209"/>
      <c r="I42" s="966"/>
      <c r="J42" s="475"/>
      <c r="K42" s="602"/>
      <c r="L42" s="433">
        <f>E42*J41/K41</f>
        <v>5.8474624999999998</v>
      </c>
      <c r="M42" s="433"/>
      <c r="N42" s="433"/>
      <c r="O42" s="597">
        <v>6</v>
      </c>
      <c r="P42" s="596" t="str">
        <f>F42</f>
        <v>OH</v>
      </c>
      <c r="Q42" s="608">
        <f t="shared" ref="Q42:Q49" si="1">Q19</f>
        <v>75000</v>
      </c>
      <c r="R42" s="453">
        <f>O42*Q42*K41</f>
        <v>1800000</v>
      </c>
      <c r="S42" s="453"/>
      <c r="T42" s="453"/>
      <c r="U42" s="753"/>
      <c r="V42" s="753"/>
      <c r="W42" s="753"/>
      <c r="X42" s="761"/>
      <c r="Y42" s="756"/>
      <c r="Z42" s="759"/>
      <c r="AA42" s="759"/>
      <c r="AB42" s="759"/>
      <c r="AC42" s="753"/>
      <c r="AD42" s="753"/>
      <c r="AE42" s="761"/>
      <c r="AF42" s="756"/>
      <c r="AG42" s="759"/>
      <c r="AH42" s="759"/>
      <c r="AI42" s="759"/>
      <c r="AJ42" s="753"/>
      <c r="AK42" s="753"/>
      <c r="AL42" s="761"/>
    </row>
    <row r="43" spans="2:38" x14ac:dyDescent="0.45">
      <c r="B43" s="785"/>
      <c r="C43" s="277"/>
      <c r="D43" s="269" t="s">
        <v>121</v>
      </c>
      <c r="E43" s="383">
        <v>4.2999999999999997E-2</v>
      </c>
      <c r="F43" s="269" t="s">
        <v>108</v>
      </c>
      <c r="G43" s="226" t="s">
        <v>171</v>
      </c>
      <c r="H43" s="226"/>
      <c r="I43" s="974"/>
      <c r="J43" s="475"/>
      <c r="K43" s="602"/>
      <c r="L43" s="433">
        <f>E43*J41/K41</f>
        <v>5.8474624999999998</v>
      </c>
      <c r="M43" s="433"/>
      <c r="N43" s="433"/>
      <c r="O43" s="597">
        <v>6</v>
      </c>
      <c r="P43" s="596" t="str">
        <f>F43</f>
        <v>OH</v>
      </c>
      <c r="Q43" s="608">
        <f t="shared" si="1"/>
        <v>85000</v>
      </c>
      <c r="R43" s="453">
        <f>O43*Q43*K41</f>
        <v>2040000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x14ac:dyDescent="0.45">
      <c r="B44" s="785"/>
      <c r="C44" s="277"/>
      <c r="D44" s="269" t="s">
        <v>122</v>
      </c>
      <c r="E44" s="395">
        <v>4.3E-3</v>
      </c>
      <c r="F44" s="269" t="s">
        <v>108</v>
      </c>
      <c r="G44" s="226" t="s">
        <v>160</v>
      </c>
      <c r="H44" s="226"/>
      <c r="I44" s="974"/>
      <c r="J44" s="475"/>
      <c r="K44" s="602"/>
      <c r="L44" s="433">
        <f>E44*J41/K41</f>
        <v>0.58474625000000002</v>
      </c>
      <c r="M44" s="433"/>
      <c r="N44" s="433"/>
      <c r="O44" s="597">
        <v>0</v>
      </c>
      <c r="P44" s="596" t="str">
        <f>F44</f>
        <v>OH</v>
      </c>
      <c r="Q44" s="608">
        <f t="shared" si="1"/>
        <v>90000</v>
      </c>
      <c r="R44" s="453">
        <f>O44*Q44*K41</f>
        <v>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x14ac:dyDescent="0.45">
      <c r="B45" s="785"/>
      <c r="C45" s="277"/>
      <c r="D45" s="253" t="s">
        <v>109</v>
      </c>
      <c r="E45" s="411">
        <v>2.0999999999999999E-3</v>
      </c>
      <c r="F45" s="253" t="s">
        <v>108</v>
      </c>
      <c r="G45" s="229" t="s">
        <v>161</v>
      </c>
      <c r="H45" s="229"/>
      <c r="I45" s="967"/>
      <c r="J45" s="475"/>
      <c r="K45" s="602"/>
      <c r="L45" s="433">
        <f>E45*J41/K41</f>
        <v>0.28557375000000002</v>
      </c>
      <c r="M45" s="433"/>
      <c r="N45" s="433"/>
      <c r="O45" s="597">
        <v>1</v>
      </c>
      <c r="P45" s="596" t="str">
        <f>F45</f>
        <v>OH</v>
      </c>
      <c r="Q45" s="608">
        <f t="shared" si="1"/>
        <v>100000</v>
      </c>
      <c r="R45" s="453">
        <f>O45*Q45*K41</f>
        <v>400000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x14ac:dyDescent="0.45">
      <c r="B46" s="785"/>
      <c r="C46" s="256"/>
      <c r="D46" s="230"/>
      <c r="E46" s="339"/>
      <c r="F46" s="207" t="s">
        <v>5</v>
      </c>
      <c r="G46" s="231" t="s">
        <v>124</v>
      </c>
      <c r="H46" s="209"/>
      <c r="I46" s="966"/>
      <c r="J46" s="475"/>
      <c r="K46" s="602"/>
      <c r="L46" s="433"/>
      <c r="M46" s="433"/>
      <c r="N46" s="433"/>
      <c r="O46" s="597"/>
      <c r="P46" s="596"/>
      <c r="Q46" s="608">
        <f t="shared" si="1"/>
        <v>0</v>
      </c>
      <c r="R46" s="453"/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x14ac:dyDescent="0.45">
      <c r="B47" s="785"/>
      <c r="C47" s="256"/>
      <c r="D47" s="938"/>
      <c r="E47" s="939">
        <f>1.1/4</f>
        <v>0.27500000000000002</v>
      </c>
      <c r="F47" s="837" t="s">
        <v>365</v>
      </c>
      <c r="G47" s="821" t="s">
        <v>164</v>
      </c>
      <c r="H47" s="821"/>
      <c r="I47" s="977"/>
      <c r="J47" s="475"/>
      <c r="K47" s="602"/>
      <c r="L47" s="433"/>
      <c r="M47" s="433">
        <f>E47*J41</f>
        <v>149.58625000000004</v>
      </c>
      <c r="N47" s="433"/>
      <c r="O47" s="597">
        <v>150</v>
      </c>
      <c r="P47" s="596" t="str">
        <f>F47</f>
        <v>btg</v>
      </c>
      <c r="Q47" s="608">
        <f t="shared" si="1"/>
        <v>500000</v>
      </c>
      <c r="R47" s="453"/>
      <c r="S47" s="453">
        <f>O47*Q47</f>
        <v>75000000</v>
      </c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x14ac:dyDescent="0.45">
      <c r="B48" s="785"/>
      <c r="C48" s="256"/>
      <c r="D48" s="230"/>
      <c r="E48" s="398">
        <v>2</v>
      </c>
      <c r="F48" s="211" t="s">
        <v>155</v>
      </c>
      <c r="G48" s="209" t="s">
        <v>473</v>
      </c>
      <c r="H48" s="209"/>
      <c r="I48" s="966"/>
      <c r="J48" s="475"/>
      <c r="K48" s="602"/>
      <c r="L48" s="433"/>
      <c r="M48" s="433">
        <f>E48*J41</f>
        <v>1087.9000000000001</v>
      </c>
      <c r="N48" s="433"/>
      <c r="O48" s="597">
        <v>1088</v>
      </c>
      <c r="P48" s="596" t="str">
        <f>F48</f>
        <v>buah</v>
      </c>
      <c r="Q48" s="608">
        <f t="shared" si="1"/>
        <v>800</v>
      </c>
      <c r="R48" s="433"/>
      <c r="S48" s="453">
        <f t="shared" ref="S48:S51" si="2">O48*Q48</f>
        <v>870400</v>
      </c>
      <c r="T48" s="43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x14ac:dyDescent="0.45">
      <c r="B49" s="785"/>
      <c r="C49" s="256"/>
      <c r="D49" s="238"/>
      <c r="E49" s="413">
        <v>0.06</v>
      </c>
      <c r="F49" s="253" t="s">
        <v>162</v>
      </c>
      <c r="G49" s="229" t="s">
        <v>163</v>
      </c>
      <c r="H49" s="229"/>
      <c r="I49" s="967"/>
      <c r="J49" s="475"/>
      <c r="K49" s="602"/>
      <c r="L49" s="433"/>
      <c r="M49" s="433">
        <f>E49*J41</f>
        <v>32.637</v>
      </c>
      <c r="N49" s="433"/>
      <c r="O49" s="597">
        <v>33</v>
      </c>
      <c r="P49" s="596" t="str">
        <f>F49</f>
        <v>Tube</v>
      </c>
      <c r="Q49" s="608">
        <f t="shared" si="1"/>
        <v>35000</v>
      </c>
      <c r="R49" s="433"/>
      <c r="S49" s="453">
        <f t="shared" si="2"/>
        <v>1155000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x14ac:dyDescent="0.45">
      <c r="B50" s="785"/>
      <c r="C50" s="256"/>
      <c r="D50" s="230"/>
      <c r="E50" s="415"/>
      <c r="F50" s="211"/>
      <c r="G50" s="209"/>
      <c r="H50" s="209"/>
      <c r="I50" s="966"/>
      <c r="J50" s="475"/>
      <c r="K50" s="602"/>
      <c r="L50" s="433"/>
      <c r="M50" s="433">
        <f>E50*J41</f>
        <v>0</v>
      </c>
      <c r="N50" s="433"/>
      <c r="O50" s="597">
        <v>0</v>
      </c>
      <c r="P50" s="596">
        <f>F50</f>
        <v>0</v>
      </c>
      <c r="Q50" s="608">
        <f>'Harga Bahan RAP'!G188</f>
        <v>0</v>
      </c>
      <c r="R50" s="433"/>
      <c r="S50" s="453">
        <f t="shared" si="2"/>
        <v>0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x14ac:dyDescent="0.45">
      <c r="B51" s="785"/>
      <c r="C51" s="256"/>
      <c r="D51" s="238"/>
      <c r="E51" s="413"/>
      <c r="F51" s="253"/>
      <c r="G51" s="229"/>
      <c r="H51" s="229"/>
      <c r="I51" s="967"/>
      <c r="J51" s="475"/>
      <c r="K51" s="602"/>
      <c r="L51" s="433"/>
      <c r="M51" s="433">
        <f>E51*J41</f>
        <v>0</v>
      </c>
      <c r="N51" s="433"/>
      <c r="O51" s="597">
        <v>0</v>
      </c>
      <c r="P51" s="596">
        <f>F51</f>
        <v>0</v>
      </c>
      <c r="Q51" s="608"/>
      <c r="R51" s="433"/>
      <c r="S51" s="453">
        <f t="shared" si="2"/>
        <v>0</v>
      </c>
      <c r="T51" s="433"/>
      <c r="U51" s="753"/>
      <c r="V51" s="753"/>
      <c r="W51" s="753"/>
      <c r="X51" s="761"/>
      <c r="Y51" s="756"/>
      <c r="Z51" s="759"/>
      <c r="AA51" s="759"/>
      <c r="AB51" s="759"/>
      <c r="AC51" s="753"/>
      <c r="AD51" s="753"/>
      <c r="AE51" s="761"/>
      <c r="AF51" s="756"/>
      <c r="AG51" s="759"/>
      <c r="AH51" s="759"/>
      <c r="AI51" s="759"/>
      <c r="AJ51" s="753"/>
      <c r="AK51" s="753"/>
      <c r="AL51" s="761"/>
    </row>
    <row r="52" spans="2:38" x14ac:dyDescent="0.45">
      <c r="B52" s="785"/>
      <c r="C52" s="256"/>
      <c r="D52" s="230"/>
      <c r="E52" s="267"/>
      <c r="F52" s="207" t="s">
        <v>6</v>
      </c>
      <c r="G52" s="208" t="s">
        <v>111</v>
      </c>
      <c r="H52" s="209"/>
      <c r="I52" s="966"/>
      <c r="J52" s="475"/>
      <c r="K52" s="602"/>
      <c r="L52" s="433"/>
      <c r="M52" s="433"/>
      <c r="N52" s="433"/>
      <c r="O52" s="597"/>
      <c r="P52" s="596"/>
      <c r="Q52" s="608"/>
      <c r="R52" s="433"/>
      <c r="S52" s="433"/>
      <c r="T52" s="433"/>
      <c r="U52" s="433"/>
      <c r="V52" s="433"/>
      <c r="W52" s="433"/>
      <c r="X52" s="659"/>
      <c r="Y52" s="661"/>
      <c r="Z52" s="433"/>
      <c r="AA52" s="433"/>
      <c r="AB52" s="433"/>
      <c r="AC52" s="433"/>
      <c r="AD52" s="433"/>
      <c r="AE52" s="644"/>
      <c r="AF52" s="661"/>
      <c r="AG52" s="433"/>
      <c r="AH52" s="433"/>
      <c r="AI52" s="433"/>
      <c r="AJ52" s="433"/>
      <c r="AK52" s="433"/>
      <c r="AL52" s="644"/>
    </row>
    <row r="53" spans="2:38" x14ac:dyDescent="0.45">
      <c r="B53" s="785"/>
      <c r="C53" s="256"/>
      <c r="D53" s="230"/>
      <c r="E53" s="267"/>
      <c r="F53" s="207"/>
      <c r="G53" s="208"/>
      <c r="H53" s="209"/>
      <c r="I53" s="966"/>
      <c r="J53" s="475"/>
      <c r="K53" s="602"/>
      <c r="L53" s="433"/>
      <c r="M53" s="433"/>
      <c r="N53" s="433">
        <f>E53*J41</f>
        <v>0</v>
      </c>
      <c r="O53" s="597">
        <v>0</v>
      </c>
      <c r="P53" s="596">
        <v>0</v>
      </c>
      <c r="Q53" s="608"/>
      <c r="R53" s="433"/>
      <c r="S53" s="433"/>
      <c r="T53" s="453">
        <f>O53*Q53</f>
        <v>0</v>
      </c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x14ac:dyDescent="0.45">
      <c r="B54" s="785"/>
      <c r="C54" s="256"/>
      <c r="D54" s="230"/>
      <c r="E54" s="267"/>
      <c r="F54" s="207" t="s">
        <v>112</v>
      </c>
      <c r="G54" s="208" t="s">
        <v>113</v>
      </c>
      <c r="H54" s="209"/>
      <c r="I54" s="966"/>
      <c r="J54" s="475"/>
      <c r="K54" s="602"/>
      <c r="L54" s="433"/>
      <c r="M54" s="433"/>
      <c r="N54" s="433"/>
      <c r="O54" s="433"/>
      <c r="P54" s="433"/>
      <c r="Q54" s="595"/>
      <c r="R54" s="433"/>
      <c r="S54" s="433"/>
      <c r="T54" s="433"/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x14ac:dyDescent="0.45">
      <c r="B55" s="785"/>
      <c r="C55" s="277"/>
      <c r="D55" s="211"/>
      <c r="E55" s="275"/>
      <c r="F55" s="239" t="s">
        <v>114</v>
      </c>
      <c r="G55" s="257" t="s">
        <v>166</v>
      </c>
      <c r="H55" s="229"/>
      <c r="I55" s="980">
        <v>0.15</v>
      </c>
      <c r="J55" s="475"/>
      <c r="K55" s="602"/>
      <c r="L55" s="433"/>
      <c r="M55" s="433"/>
      <c r="N55" s="433"/>
      <c r="O55" s="433"/>
      <c r="P55" s="433"/>
      <c r="Q55" s="595"/>
      <c r="R55" s="433"/>
      <c r="S55" s="433"/>
      <c r="T55" s="433"/>
      <c r="U55" s="433"/>
      <c r="V55" s="433"/>
      <c r="W55" s="433"/>
      <c r="X55" s="659"/>
      <c r="Y55" s="661"/>
      <c r="Z55" s="433"/>
      <c r="AA55" s="433"/>
      <c r="AB55" s="433"/>
      <c r="AC55" s="433"/>
      <c r="AD55" s="433"/>
      <c r="AE55" s="644"/>
      <c r="AF55" s="661"/>
      <c r="AG55" s="433"/>
      <c r="AH55" s="433"/>
      <c r="AI55" s="433"/>
      <c r="AJ55" s="433"/>
      <c r="AK55" s="433"/>
      <c r="AL55" s="644"/>
    </row>
    <row r="56" spans="2:38" ht="17" thickBot="1" x14ac:dyDescent="0.5">
      <c r="B56" s="786"/>
      <c r="C56" s="831"/>
      <c r="D56" s="852"/>
      <c r="E56" s="911"/>
      <c r="F56" s="834" t="s">
        <v>115</v>
      </c>
      <c r="G56" s="816" t="s">
        <v>127</v>
      </c>
      <c r="H56" s="835"/>
      <c r="I56" s="981"/>
      <c r="J56" s="793"/>
      <c r="K56" s="763"/>
      <c r="L56" s="655"/>
      <c r="M56" s="655"/>
      <c r="N56" s="655"/>
      <c r="O56" s="655"/>
      <c r="P56" s="655"/>
      <c r="Q56" s="654"/>
      <c r="R56" s="655"/>
      <c r="S56" s="655"/>
      <c r="T56" s="655"/>
      <c r="U56" s="655"/>
      <c r="V56" s="655"/>
      <c r="W56" s="655"/>
      <c r="X56" s="660"/>
      <c r="Y56" s="662"/>
      <c r="Z56" s="655"/>
      <c r="AA56" s="655"/>
      <c r="AB56" s="655"/>
      <c r="AC56" s="655"/>
      <c r="AD56" s="655"/>
      <c r="AE56" s="656"/>
      <c r="AF56" s="662"/>
      <c r="AG56" s="655"/>
      <c r="AH56" s="655"/>
      <c r="AI56" s="655"/>
      <c r="AJ56" s="655"/>
      <c r="AK56" s="655"/>
      <c r="AL56" s="656"/>
    </row>
    <row r="57" spans="2:38" x14ac:dyDescent="0.45">
      <c r="D57" s="112"/>
      <c r="E57" s="195"/>
      <c r="G57" s="111"/>
      <c r="H57" s="111"/>
      <c r="I57" s="111"/>
      <c r="Z57" s="657"/>
      <c r="AA57" s="657"/>
      <c r="AB57" s="657"/>
      <c r="AC57" s="657"/>
      <c r="AD57" s="657"/>
      <c r="AE57" s="657"/>
      <c r="AG57" s="657"/>
      <c r="AH57" s="657"/>
      <c r="AI57" s="657"/>
      <c r="AJ57" s="657"/>
      <c r="AK57" s="657"/>
      <c r="AL57" s="657"/>
    </row>
    <row r="58" spans="2:38" ht="17" thickBot="1" x14ac:dyDescent="0.5">
      <c r="B58" s="749" t="s">
        <v>693</v>
      </c>
      <c r="C58" s="750" t="str">
        <f>RAP!B75</f>
        <v>Memasang Rangka Pintu Alumunium</v>
      </c>
      <c r="D58" s="241"/>
      <c r="E58" s="241"/>
      <c r="F58" s="276"/>
      <c r="G58" s="240"/>
      <c r="H58" s="241"/>
      <c r="I58" s="241"/>
      <c r="J58" s="604"/>
      <c r="K58" s="603"/>
      <c r="L58" s="604"/>
      <c r="M58" s="604"/>
      <c r="N58" s="604"/>
      <c r="O58" s="604"/>
      <c r="P58" s="604"/>
      <c r="Q58" s="604"/>
      <c r="R58" s="609"/>
      <c r="S58" s="609"/>
      <c r="T58" s="609"/>
      <c r="U58" s="609"/>
      <c r="V58" s="609"/>
      <c r="W58" s="609"/>
      <c r="X58" s="609"/>
      <c r="Y58" s="609"/>
      <c r="Z58" s="609"/>
      <c r="AA58" s="609"/>
      <c r="AB58" s="609"/>
      <c r="AC58" s="609"/>
      <c r="AD58" s="609"/>
      <c r="AE58" s="609"/>
      <c r="AF58" s="609"/>
      <c r="AG58" s="609"/>
      <c r="AH58" s="609"/>
      <c r="AI58" s="609"/>
      <c r="AJ58" s="609"/>
      <c r="AK58" s="609"/>
      <c r="AL58" s="609"/>
    </row>
    <row r="59" spans="2:38" ht="19.5" customHeight="1" x14ac:dyDescent="0.45">
      <c r="B59" s="1168" t="s">
        <v>99</v>
      </c>
      <c r="C59" s="1171" t="s">
        <v>100</v>
      </c>
      <c r="D59" s="1171" t="s">
        <v>89</v>
      </c>
      <c r="E59" s="1171" t="s">
        <v>101</v>
      </c>
      <c r="F59" s="1171" t="s">
        <v>102</v>
      </c>
      <c r="G59" s="1109" t="s">
        <v>103</v>
      </c>
      <c r="H59" s="1110"/>
      <c r="I59" s="1175"/>
      <c r="J59" s="1152" t="s">
        <v>539</v>
      </c>
      <c r="K59" s="1152"/>
      <c r="L59" s="1152"/>
      <c r="M59" s="1152"/>
      <c r="N59" s="1152"/>
      <c r="O59" s="1152"/>
      <c r="P59" s="1152"/>
      <c r="Q59" s="1152"/>
      <c r="R59" s="1152"/>
      <c r="S59" s="1152"/>
      <c r="T59" s="1152"/>
      <c r="U59" s="1152"/>
      <c r="V59" s="1152"/>
      <c r="W59" s="1152"/>
      <c r="X59" s="1152"/>
      <c r="Y59" s="1153" t="s">
        <v>540</v>
      </c>
      <c r="Z59" s="1154"/>
      <c r="AA59" s="1154"/>
      <c r="AB59" s="1154"/>
      <c r="AC59" s="1154"/>
      <c r="AD59" s="1154"/>
      <c r="AE59" s="1155"/>
      <c r="AF59" s="1156" t="s">
        <v>541</v>
      </c>
      <c r="AG59" s="1157"/>
      <c r="AH59" s="1157"/>
      <c r="AI59" s="1157"/>
      <c r="AJ59" s="1157"/>
      <c r="AK59" s="1157"/>
      <c r="AL59" s="1158"/>
    </row>
    <row r="60" spans="2:38" ht="45" x14ac:dyDescent="0.45">
      <c r="B60" s="1169"/>
      <c r="C60" s="1089"/>
      <c r="D60" s="1089"/>
      <c r="E60" s="1089"/>
      <c r="F60" s="1089"/>
      <c r="G60" s="1026"/>
      <c r="H60" s="1027"/>
      <c r="I60" s="1176"/>
      <c r="J60" s="1185" t="s">
        <v>15</v>
      </c>
      <c r="K60" s="673" t="s">
        <v>493</v>
      </c>
      <c r="L60" s="1161" t="s">
        <v>491</v>
      </c>
      <c r="M60" s="1162"/>
      <c r="N60" s="1162"/>
      <c r="O60" s="1162"/>
      <c r="P60" s="1163"/>
      <c r="Q60" s="674" t="s">
        <v>533</v>
      </c>
      <c r="R60" s="1161" t="s">
        <v>501</v>
      </c>
      <c r="S60" s="1162"/>
      <c r="T60" s="1163"/>
      <c r="U60" s="674" t="s">
        <v>530</v>
      </c>
      <c r="V60" s="674" t="s">
        <v>531</v>
      </c>
      <c r="W60" s="674" t="s">
        <v>578</v>
      </c>
      <c r="X60" s="681" t="s">
        <v>579</v>
      </c>
      <c r="Y60" s="1164" t="s">
        <v>534</v>
      </c>
      <c r="Z60" s="1165"/>
      <c r="AA60" s="663" t="s">
        <v>537</v>
      </c>
      <c r="AB60" s="664" t="s">
        <v>538</v>
      </c>
      <c r="AC60" s="665" t="s">
        <v>530</v>
      </c>
      <c r="AD60" s="665" t="s">
        <v>578</v>
      </c>
      <c r="AE60" s="682" t="s">
        <v>579</v>
      </c>
      <c r="AF60" s="1166" t="s">
        <v>542</v>
      </c>
      <c r="AG60" s="1167"/>
      <c r="AH60" s="737" t="s">
        <v>543</v>
      </c>
      <c r="AI60" s="738" t="s">
        <v>544</v>
      </c>
      <c r="AJ60" s="739" t="s">
        <v>530</v>
      </c>
      <c r="AK60" s="739" t="s">
        <v>578</v>
      </c>
      <c r="AL60" s="740" t="s">
        <v>579</v>
      </c>
    </row>
    <row r="61" spans="2:38" ht="30" x14ac:dyDescent="0.45">
      <c r="B61" s="1170"/>
      <c r="C61" s="1090"/>
      <c r="D61" s="1090"/>
      <c r="E61" s="1090"/>
      <c r="F61" s="1090"/>
      <c r="G61" s="1085"/>
      <c r="H61" s="1086"/>
      <c r="I61" s="1177"/>
      <c r="J61" s="1174"/>
      <c r="K61" s="675" t="s">
        <v>495</v>
      </c>
      <c r="L61" s="676" t="s">
        <v>524</v>
      </c>
      <c r="M61" s="676" t="s">
        <v>525</v>
      </c>
      <c r="N61" s="676" t="s">
        <v>526</v>
      </c>
      <c r="O61" s="675" t="s">
        <v>517</v>
      </c>
      <c r="P61" s="675" t="s">
        <v>290</v>
      </c>
      <c r="Q61" s="675" t="s">
        <v>532</v>
      </c>
      <c r="R61" s="676" t="s">
        <v>527</v>
      </c>
      <c r="S61" s="676" t="s">
        <v>528</v>
      </c>
      <c r="T61" s="677" t="s">
        <v>529</v>
      </c>
      <c r="U61" s="675" t="s">
        <v>502</v>
      </c>
      <c r="V61" s="675" t="s">
        <v>502</v>
      </c>
      <c r="W61" s="675" t="s">
        <v>502</v>
      </c>
      <c r="X61" s="678" t="s">
        <v>504</v>
      </c>
      <c r="Y61" s="666" t="s">
        <v>535</v>
      </c>
      <c r="Z61" s="667" t="s">
        <v>536</v>
      </c>
      <c r="AA61" s="668" t="s">
        <v>532</v>
      </c>
      <c r="AB61" s="668" t="s">
        <v>532</v>
      </c>
      <c r="AC61" s="668" t="s">
        <v>532</v>
      </c>
      <c r="AD61" s="668" t="s">
        <v>532</v>
      </c>
      <c r="AE61" s="669" t="s">
        <v>532</v>
      </c>
      <c r="AF61" s="741" t="s">
        <v>535</v>
      </c>
      <c r="AG61" s="742" t="s">
        <v>536</v>
      </c>
      <c r="AH61" s="743" t="s">
        <v>532</v>
      </c>
      <c r="AI61" s="743" t="s">
        <v>532</v>
      </c>
      <c r="AJ61" s="743" t="s">
        <v>532</v>
      </c>
      <c r="AK61" s="743" t="s">
        <v>532</v>
      </c>
      <c r="AL61" s="744" t="s">
        <v>532</v>
      </c>
    </row>
    <row r="62" spans="2:38" ht="30" x14ac:dyDescent="0.45">
      <c r="B62" s="639" t="s">
        <v>4</v>
      </c>
      <c r="C62" s="600" t="s">
        <v>5</v>
      </c>
      <c r="D62" s="570" t="s">
        <v>6</v>
      </c>
      <c r="E62" s="570" t="s">
        <v>112</v>
      </c>
      <c r="F62" s="570" t="s">
        <v>114</v>
      </c>
      <c r="G62" s="1014" t="s">
        <v>115</v>
      </c>
      <c r="H62" s="1014"/>
      <c r="I62" s="1172"/>
      <c r="J62" s="791" t="s">
        <v>21</v>
      </c>
      <c r="K62" s="675" t="s">
        <v>496</v>
      </c>
      <c r="L62" s="675" t="s">
        <v>497</v>
      </c>
      <c r="M62" s="675" t="s">
        <v>498</v>
      </c>
      <c r="N62" s="675" t="s">
        <v>499</v>
      </c>
      <c r="O62" s="676" t="s">
        <v>552</v>
      </c>
      <c r="P62" s="675" t="s">
        <v>512</v>
      </c>
      <c r="Q62" s="675" t="s">
        <v>503</v>
      </c>
      <c r="R62" s="675" t="s">
        <v>553</v>
      </c>
      <c r="S62" s="675" t="s">
        <v>513</v>
      </c>
      <c r="T62" s="675" t="s">
        <v>514</v>
      </c>
      <c r="U62" s="675" t="s">
        <v>554</v>
      </c>
      <c r="V62" s="675" t="s">
        <v>515</v>
      </c>
      <c r="W62" s="675" t="s">
        <v>555</v>
      </c>
      <c r="X62" s="678" t="s">
        <v>516</v>
      </c>
      <c r="Y62" s="670" t="s">
        <v>556</v>
      </c>
      <c r="Z62" s="671" t="s">
        <v>557</v>
      </c>
      <c r="AA62" s="671" t="s">
        <v>558</v>
      </c>
      <c r="AB62" s="671" t="s">
        <v>559</v>
      </c>
      <c r="AC62" s="671" t="s">
        <v>560</v>
      </c>
      <c r="AD62" s="671" t="s">
        <v>561</v>
      </c>
      <c r="AE62" s="672" t="s">
        <v>562</v>
      </c>
      <c r="AF62" s="745" t="s">
        <v>563</v>
      </c>
      <c r="AG62" s="746" t="s">
        <v>564</v>
      </c>
      <c r="AH62" s="746" t="s">
        <v>565</v>
      </c>
      <c r="AI62" s="746" t="s">
        <v>566</v>
      </c>
      <c r="AJ62" s="746" t="s">
        <v>567</v>
      </c>
      <c r="AK62" s="746" t="s">
        <v>568</v>
      </c>
      <c r="AL62" s="747" t="s">
        <v>569</v>
      </c>
    </row>
    <row r="63" spans="2:38" ht="15.5" x14ac:dyDescent="0.45">
      <c r="B63" s="640">
        <v>3</v>
      </c>
      <c r="C63" s="439" t="s">
        <v>194</v>
      </c>
      <c r="D63" s="536"/>
      <c r="E63" s="486">
        <v>1</v>
      </c>
      <c r="F63" s="478" t="s">
        <v>30</v>
      </c>
      <c r="G63" s="471" t="s">
        <v>256</v>
      </c>
      <c r="H63" s="458"/>
      <c r="I63" s="972"/>
      <c r="J63" s="789"/>
      <c r="K63" s="789"/>
      <c r="L63" s="789"/>
      <c r="M63" s="789"/>
      <c r="N63" s="789"/>
      <c r="O63" s="789"/>
      <c r="P63" s="789"/>
      <c r="Q63" s="789"/>
      <c r="R63" s="789"/>
      <c r="S63" s="789"/>
      <c r="T63" s="789"/>
      <c r="U63" s="789"/>
      <c r="V63" s="789"/>
      <c r="W63" s="789"/>
      <c r="X63" s="789"/>
      <c r="Y63" s="789"/>
      <c r="Z63" s="789"/>
      <c r="AA63" s="789"/>
      <c r="AB63" s="789"/>
      <c r="AC63" s="789"/>
      <c r="AD63" s="789"/>
      <c r="AE63" s="789"/>
      <c r="AF63" s="789"/>
      <c r="AG63" s="789"/>
      <c r="AH63" s="789"/>
      <c r="AI63" s="789"/>
      <c r="AJ63" s="789"/>
      <c r="AK63" s="789"/>
      <c r="AL63" s="790"/>
    </row>
    <row r="64" spans="2:38" x14ac:dyDescent="0.45">
      <c r="B64" s="794"/>
      <c r="C64" s="307"/>
      <c r="D64" s="230"/>
      <c r="E64" s="410"/>
      <c r="F64" s="207" t="s">
        <v>4</v>
      </c>
      <c r="G64" s="231" t="s">
        <v>120</v>
      </c>
      <c r="H64" s="209"/>
      <c r="I64" s="966"/>
      <c r="J64" s="792">
        <f>RAP!E75</f>
        <v>26.256</v>
      </c>
      <c r="K64" s="601">
        <v>2</v>
      </c>
      <c r="L64" s="319"/>
      <c r="M64" s="319"/>
      <c r="N64" s="319"/>
      <c r="O64" s="598"/>
      <c r="P64" s="598"/>
      <c r="Q64" s="605"/>
      <c r="R64" s="485"/>
      <c r="S64" s="485"/>
      <c r="T64" s="485"/>
      <c r="U64" s="752">
        <f>SUM(R64:R79)+(SUM(S64:S79)+SUM(T64:T79))</f>
        <v>28335000</v>
      </c>
      <c r="V64" s="754">
        <f>RAP!H75</f>
        <v>32304384.670000002</v>
      </c>
      <c r="W64" s="752">
        <f>V64-U64</f>
        <v>3969384.6700000018</v>
      </c>
      <c r="X64" s="760">
        <f>W64/V64*100</f>
        <v>12.287448625159037</v>
      </c>
      <c r="Y64" s="755">
        <f>SUM(R64:R79)/J64</f>
        <v>31992.687385740403</v>
      </c>
      <c r="Z64" s="757">
        <v>25000</v>
      </c>
      <c r="AA64" s="758">
        <f>J64*Z64</f>
        <v>656400</v>
      </c>
      <c r="AB64" s="758">
        <f>SUM(S64:S79)+SUM(T64:T79)</f>
        <v>27495000</v>
      </c>
      <c r="AC64" s="752">
        <f>AA64+AB64</f>
        <v>28151400</v>
      </c>
      <c r="AD64" s="752">
        <f>V64-AC64</f>
        <v>4152984.6700000018</v>
      </c>
      <c r="AE64" s="760">
        <f>AD64/V64*100</f>
        <v>12.855792526073834</v>
      </c>
      <c r="AF64" s="755">
        <f>(SUM(R64:R79)+SUM(S64:S79))/J64</f>
        <v>1079181.9012797074</v>
      </c>
      <c r="AG64" s="757">
        <v>1000000</v>
      </c>
      <c r="AH64" s="758">
        <f>AG64*J64</f>
        <v>26256000</v>
      </c>
      <c r="AI64" s="758">
        <f>SUM(T64:T79)</f>
        <v>0</v>
      </c>
      <c r="AJ64" s="752">
        <f>AH64+AI64</f>
        <v>26256000</v>
      </c>
      <c r="AK64" s="752">
        <f>V64-AJ64</f>
        <v>6048384.6700000018</v>
      </c>
      <c r="AL64" s="760">
        <f>AK64/V64*100</f>
        <v>18.723107503164837</v>
      </c>
    </row>
    <row r="65" spans="2:38" x14ac:dyDescent="0.45">
      <c r="B65" s="785"/>
      <c r="C65" s="277"/>
      <c r="D65" s="211" t="s">
        <v>107</v>
      </c>
      <c r="E65" s="394">
        <v>8.5000000000000006E-2</v>
      </c>
      <c r="F65" s="211" t="s">
        <v>108</v>
      </c>
      <c r="G65" s="209" t="s">
        <v>159</v>
      </c>
      <c r="H65" s="209"/>
      <c r="I65" s="966"/>
      <c r="J65" s="475"/>
      <c r="K65" s="602"/>
      <c r="L65" s="433">
        <f>E65*J64/K64</f>
        <v>1.11588</v>
      </c>
      <c r="M65" s="433"/>
      <c r="N65" s="433"/>
      <c r="O65" s="597">
        <v>2</v>
      </c>
      <c r="P65" s="596" t="str">
        <f>F65</f>
        <v>OH</v>
      </c>
      <c r="Q65" s="608">
        <f>Q42</f>
        <v>75000</v>
      </c>
      <c r="R65" s="453">
        <f>O65*Q65*K64</f>
        <v>300000</v>
      </c>
      <c r="S65" s="453"/>
      <c r="T65" s="453"/>
      <c r="U65" s="753"/>
      <c r="V65" s="753"/>
      <c r="W65" s="753"/>
      <c r="X65" s="761"/>
      <c r="Y65" s="756"/>
      <c r="Z65" s="759"/>
      <c r="AA65" s="759"/>
      <c r="AB65" s="759"/>
      <c r="AC65" s="753"/>
      <c r="AD65" s="753"/>
      <c r="AE65" s="761"/>
      <c r="AF65" s="756"/>
      <c r="AG65" s="759"/>
      <c r="AH65" s="759"/>
      <c r="AI65" s="759"/>
      <c r="AJ65" s="753"/>
      <c r="AK65" s="753"/>
      <c r="AL65" s="761"/>
    </row>
    <row r="66" spans="2:38" x14ac:dyDescent="0.45">
      <c r="B66" s="785"/>
      <c r="C66" s="277"/>
      <c r="D66" s="269" t="s">
        <v>121</v>
      </c>
      <c r="E66" s="383">
        <v>8.5000000000000006E-2</v>
      </c>
      <c r="F66" s="269" t="s">
        <v>108</v>
      </c>
      <c r="G66" s="226" t="s">
        <v>171</v>
      </c>
      <c r="H66" s="226"/>
      <c r="I66" s="974"/>
      <c r="J66" s="475"/>
      <c r="K66" s="602"/>
      <c r="L66" s="433">
        <f>E66*J64/K64</f>
        <v>1.11588</v>
      </c>
      <c r="M66" s="433"/>
      <c r="N66" s="433"/>
      <c r="O66" s="597">
        <v>2</v>
      </c>
      <c r="P66" s="596" t="str">
        <f>F66</f>
        <v>OH</v>
      </c>
      <c r="Q66" s="608">
        <f>Q43</f>
        <v>85000</v>
      </c>
      <c r="R66" s="453">
        <f>O66*Q66*K64</f>
        <v>340000</v>
      </c>
      <c r="S66" s="453"/>
      <c r="T66" s="453"/>
      <c r="U66" s="753"/>
      <c r="V66" s="753"/>
      <c r="W66" s="753"/>
      <c r="X66" s="761"/>
      <c r="Y66" s="756"/>
      <c r="Z66" s="759"/>
      <c r="AA66" s="759"/>
      <c r="AB66" s="759"/>
      <c r="AC66" s="753"/>
      <c r="AD66" s="753"/>
      <c r="AE66" s="761"/>
      <c r="AF66" s="756"/>
      <c r="AG66" s="759"/>
      <c r="AH66" s="759"/>
      <c r="AI66" s="759"/>
      <c r="AJ66" s="753"/>
      <c r="AK66" s="753"/>
      <c r="AL66" s="761"/>
    </row>
    <row r="67" spans="2:38" x14ac:dyDescent="0.45">
      <c r="B67" s="785"/>
      <c r="C67" s="277"/>
      <c r="D67" s="269" t="s">
        <v>122</v>
      </c>
      <c r="E67" s="383">
        <v>8.9999999999999993E-3</v>
      </c>
      <c r="F67" s="269" t="s">
        <v>108</v>
      </c>
      <c r="G67" s="226" t="s">
        <v>160</v>
      </c>
      <c r="H67" s="226"/>
      <c r="I67" s="974"/>
      <c r="J67" s="475"/>
      <c r="K67" s="602"/>
      <c r="L67" s="433">
        <f>E67*J64/K64</f>
        <v>0.11815199999999999</v>
      </c>
      <c r="M67" s="433"/>
      <c r="N67" s="433"/>
      <c r="O67" s="597">
        <v>0</v>
      </c>
      <c r="P67" s="596" t="str">
        <f>F67</f>
        <v>OH</v>
      </c>
      <c r="Q67" s="608">
        <f>Q44</f>
        <v>90000</v>
      </c>
      <c r="R67" s="453">
        <f>O67*Q67*K64</f>
        <v>0</v>
      </c>
      <c r="S67" s="453"/>
      <c r="T67" s="453"/>
      <c r="U67" s="753"/>
      <c r="V67" s="753"/>
      <c r="W67" s="753"/>
      <c r="X67" s="761"/>
      <c r="Y67" s="756"/>
      <c r="Z67" s="759"/>
      <c r="AA67" s="759"/>
      <c r="AB67" s="759"/>
      <c r="AC67" s="753"/>
      <c r="AD67" s="753"/>
      <c r="AE67" s="761"/>
      <c r="AF67" s="756"/>
      <c r="AG67" s="759"/>
      <c r="AH67" s="759"/>
      <c r="AI67" s="759"/>
      <c r="AJ67" s="753"/>
      <c r="AK67" s="753"/>
      <c r="AL67" s="761"/>
    </row>
    <row r="68" spans="2:38" x14ac:dyDescent="0.45">
      <c r="B68" s="785"/>
      <c r="C68" s="277"/>
      <c r="D68" s="253" t="s">
        <v>109</v>
      </c>
      <c r="E68" s="414">
        <v>5.0000000000000001E-3</v>
      </c>
      <c r="F68" s="253" t="s">
        <v>108</v>
      </c>
      <c r="G68" s="229" t="s">
        <v>161</v>
      </c>
      <c r="H68" s="229"/>
      <c r="I68" s="967"/>
      <c r="J68" s="475"/>
      <c r="K68" s="602"/>
      <c r="L68" s="433">
        <f>E68*J64/K64</f>
        <v>6.5640000000000004E-2</v>
      </c>
      <c r="M68" s="433"/>
      <c r="N68" s="433"/>
      <c r="O68" s="597">
        <v>1</v>
      </c>
      <c r="P68" s="596" t="str">
        <f>F68</f>
        <v>OH</v>
      </c>
      <c r="Q68" s="608">
        <f>Q45</f>
        <v>100000</v>
      </c>
      <c r="R68" s="453">
        <f>O68*Q68*K64</f>
        <v>200000</v>
      </c>
      <c r="S68" s="453"/>
      <c r="T68" s="453"/>
      <c r="U68" s="753"/>
      <c r="V68" s="753"/>
      <c r="W68" s="753"/>
      <c r="X68" s="761"/>
      <c r="Y68" s="756"/>
      <c r="Z68" s="759"/>
      <c r="AA68" s="759"/>
      <c r="AB68" s="759"/>
      <c r="AC68" s="753"/>
      <c r="AD68" s="753"/>
      <c r="AE68" s="761"/>
      <c r="AF68" s="756"/>
      <c r="AG68" s="759"/>
      <c r="AH68" s="759"/>
      <c r="AI68" s="759"/>
      <c r="AJ68" s="753"/>
      <c r="AK68" s="753"/>
      <c r="AL68" s="761"/>
    </row>
    <row r="69" spans="2:38" x14ac:dyDescent="0.45">
      <c r="B69" s="785"/>
      <c r="C69" s="256"/>
      <c r="D69" s="230"/>
      <c r="E69" s="339"/>
      <c r="F69" s="207" t="s">
        <v>5</v>
      </c>
      <c r="G69" s="231" t="s">
        <v>124</v>
      </c>
      <c r="H69" s="209"/>
      <c r="I69" s="966"/>
      <c r="J69" s="475"/>
      <c r="K69" s="602"/>
      <c r="L69" s="433"/>
      <c r="M69" s="433"/>
      <c r="N69" s="433"/>
      <c r="O69" s="597"/>
      <c r="P69" s="596"/>
      <c r="Q69" s="608"/>
      <c r="R69" s="453"/>
      <c r="S69" s="453"/>
      <c r="T69" s="453"/>
      <c r="U69" s="753"/>
      <c r="V69" s="753"/>
      <c r="W69" s="753"/>
      <c r="X69" s="761"/>
      <c r="Y69" s="756"/>
      <c r="Z69" s="759"/>
      <c r="AA69" s="759"/>
      <c r="AB69" s="759"/>
      <c r="AC69" s="753"/>
      <c r="AD69" s="753"/>
      <c r="AE69" s="761"/>
      <c r="AF69" s="756"/>
      <c r="AG69" s="759"/>
      <c r="AH69" s="759"/>
      <c r="AI69" s="759"/>
      <c r="AJ69" s="753"/>
      <c r="AK69" s="753"/>
      <c r="AL69" s="761"/>
    </row>
    <row r="70" spans="2:38" x14ac:dyDescent="0.45">
      <c r="B70" s="785"/>
      <c r="C70" s="256"/>
      <c r="D70" s="938"/>
      <c r="E70" s="940">
        <f>4.4/4</f>
        <v>1.1000000000000001</v>
      </c>
      <c r="F70" s="837" t="s">
        <v>365</v>
      </c>
      <c r="G70" s="821" t="s">
        <v>698</v>
      </c>
      <c r="H70" s="821"/>
      <c r="I70" s="977"/>
      <c r="J70" s="475"/>
      <c r="K70" s="602"/>
      <c r="L70" s="433"/>
      <c r="M70" s="433">
        <f>E70*J64</f>
        <v>28.881600000000002</v>
      </c>
      <c r="N70" s="433"/>
      <c r="O70" s="597">
        <v>29</v>
      </c>
      <c r="P70" s="596" t="str">
        <f>F70</f>
        <v>btg</v>
      </c>
      <c r="Q70" s="608">
        <f>'Harga Bahan RAP'!G134</f>
        <v>500000</v>
      </c>
      <c r="R70" s="453"/>
      <c r="S70" s="453">
        <f>O70*Q70</f>
        <v>14500000</v>
      </c>
      <c r="T70" s="453"/>
      <c r="U70" s="753"/>
      <c r="V70" s="753"/>
      <c r="W70" s="753"/>
      <c r="X70" s="761"/>
      <c r="Y70" s="756"/>
      <c r="Z70" s="759"/>
      <c r="AA70" s="759"/>
      <c r="AB70" s="759"/>
      <c r="AC70" s="753"/>
      <c r="AD70" s="753"/>
      <c r="AE70" s="761"/>
      <c r="AF70" s="756"/>
      <c r="AG70" s="759"/>
      <c r="AH70" s="759"/>
      <c r="AI70" s="759"/>
      <c r="AJ70" s="753"/>
      <c r="AK70" s="753"/>
      <c r="AL70" s="761"/>
    </row>
    <row r="71" spans="2:38" x14ac:dyDescent="0.45">
      <c r="B71" s="785"/>
      <c r="C71" s="256"/>
      <c r="D71" s="938"/>
      <c r="E71" s="941">
        <f>4.5/4</f>
        <v>1.125</v>
      </c>
      <c r="F71" s="837" t="s">
        <v>365</v>
      </c>
      <c r="G71" s="821" t="s">
        <v>257</v>
      </c>
      <c r="H71" s="821"/>
      <c r="I71" s="977"/>
      <c r="J71" s="475"/>
      <c r="K71" s="602"/>
      <c r="L71" s="433"/>
      <c r="M71" s="433">
        <f>E71*J64</f>
        <v>29.538</v>
      </c>
      <c r="N71" s="433"/>
      <c r="O71" s="597">
        <v>30</v>
      </c>
      <c r="P71" s="596" t="str">
        <f>F71</f>
        <v>btg</v>
      </c>
      <c r="Q71" s="608">
        <f>'Harga Bahan RAP'!G128</f>
        <v>425000</v>
      </c>
      <c r="R71" s="433"/>
      <c r="S71" s="453">
        <f t="shared" ref="S71:S74" si="3">O71*Q71</f>
        <v>12750000</v>
      </c>
      <c r="T71" s="433"/>
      <c r="U71" s="753"/>
      <c r="V71" s="753"/>
      <c r="W71" s="753"/>
      <c r="X71" s="761"/>
      <c r="Y71" s="756"/>
      <c r="Z71" s="759"/>
      <c r="AA71" s="759"/>
      <c r="AB71" s="759"/>
      <c r="AC71" s="753"/>
      <c r="AD71" s="753"/>
      <c r="AE71" s="761"/>
      <c r="AF71" s="756"/>
      <c r="AG71" s="759"/>
      <c r="AH71" s="759"/>
      <c r="AI71" s="759"/>
      <c r="AJ71" s="753"/>
      <c r="AK71" s="753"/>
      <c r="AL71" s="761"/>
    </row>
    <row r="72" spans="2:38" x14ac:dyDescent="0.45">
      <c r="B72" s="785"/>
      <c r="C72" s="256"/>
      <c r="D72" s="230"/>
      <c r="E72" s="415">
        <v>0.27</v>
      </c>
      <c r="F72" s="211" t="s">
        <v>162</v>
      </c>
      <c r="G72" s="209" t="s">
        <v>258</v>
      </c>
      <c r="H72" s="209"/>
      <c r="I72" s="966"/>
      <c r="J72" s="475"/>
      <c r="K72" s="602"/>
      <c r="L72" s="433"/>
      <c r="M72" s="433">
        <f>E72*J64</f>
        <v>7.0891200000000003</v>
      </c>
      <c r="N72" s="433"/>
      <c r="O72" s="597">
        <v>7</v>
      </c>
      <c r="P72" s="596" t="str">
        <f>F72</f>
        <v>Tube</v>
      </c>
      <c r="Q72" s="608">
        <f>'Harga Bahan RAP'!G136</f>
        <v>35000</v>
      </c>
      <c r="R72" s="433"/>
      <c r="S72" s="453">
        <f t="shared" si="3"/>
        <v>245000</v>
      </c>
      <c r="T72" s="433"/>
      <c r="U72" s="753"/>
      <c r="V72" s="753"/>
      <c r="W72" s="753"/>
      <c r="X72" s="761"/>
      <c r="Y72" s="756"/>
      <c r="Z72" s="759"/>
      <c r="AA72" s="759"/>
      <c r="AB72" s="759"/>
      <c r="AC72" s="753"/>
      <c r="AD72" s="753"/>
      <c r="AE72" s="761"/>
      <c r="AF72" s="756"/>
      <c r="AG72" s="759"/>
      <c r="AH72" s="759"/>
      <c r="AI72" s="759"/>
      <c r="AJ72" s="753"/>
      <c r="AK72" s="753"/>
      <c r="AL72" s="761"/>
    </row>
    <row r="73" spans="2:38" x14ac:dyDescent="0.45">
      <c r="B73" s="785"/>
      <c r="C73" s="256"/>
      <c r="D73" s="230"/>
      <c r="E73" s="415"/>
      <c r="F73" s="211"/>
      <c r="G73" s="209"/>
      <c r="H73" s="209"/>
      <c r="I73" s="966"/>
      <c r="J73" s="475"/>
      <c r="K73" s="602"/>
      <c r="L73" s="433"/>
      <c r="M73" s="433">
        <f>E73*J64</f>
        <v>0</v>
      </c>
      <c r="N73" s="433"/>
      <c r="O73" s="597">
        <v>0</v>
      </c>
      <c r="P73" s="596">
        <f>F73</f>
        <v>0</v>
      </c>
      <c r="Q73" s="608">
        <f>'Harga Bahan RAP'!G210</f>
        <v>0</v>
      </c>
      <c r="R73" s="433"/>
      <c r="S73" s="453">
        <f t="shared" si="3"/>
        <v>0</v>
      </c>
      <c r="T73" s="433"/>
      <c r="U73" s="753"/>
      <c r="V73" s="753"/>
      <c r="W73" s="753"/>
      <c r="X73" s="761"/>
      <c r="Y73" s="756"/>
      <c r="Z73" s="759"/>
      <c r="AA73" s="759"/>
      <c r="AB73" s="759"/>
      <c r="AC73" s="753"/>
      <c r="AD73" s="753"/>
      <c r="AE73" s="761"/>
      <c r="AF73" s="756"/>
      <c r="AG73" s="759"/>
      <c r="AH73" s="759"/>
      <c r="AI73" s="759"/>
      <c r="AJ73" s="753"/>
      <c r="AK73" s="753"/>
      <c r="AL73" s="761"/>
    </row>
    <row r="74" spans="2:38" x14ac:dyDescent="0.45">
      <c r="B74" s="785"/>
      <c r="C74" s="256"/>
      <c r="D74" s="230"/>
      <c r="E74" s="415"/>
      <c r="F74" s="211"/>
      <c r="G74" s="209"/>
      <c r="H74" s="209"/>
      <c r="I74" s="966"/>
      <c r="J74" s="475"/>
      <c r="K74" s="602"/>
      <c r="L74" s="433"/>
      <c r="M74" s="433">
        <f>E74*J64</f>
        <v>0</v>
      </c>
      <c r="N74" s="433"/>
      <c r="O74" s="597">
        <v>0</v>
      </c>
      <c r="P74" s="596">
        <f>F74</f>
        <v>0</v>
      </c>
      <c r="Q74" s="608"/>
      <c r="R74" s="433"/>
      <c r="S74" s="453">
        <f t="shared" si="3"/>
        <v>0</v>
      </c>
      <c r="T74" s="433"/>
      <c r="U74" s="753"/>
      <c r="V74" s="753"/>
      <c r="W74" s="753"/>
      <c r="X74" s="761"/>
      <c r="Y74" s="756"/>
      <c r="Z74" s="759"/>
      <c r="AA74" s="759"/>
      <c r="AB74" s="759"/>
      <c r="AC74" s="753"/>
      <c r="AD74" s="753"/>
      <c r="AE74" s="761"/>
      <c r="AF74" s="756"/>
      <c r="AG74" s="759"/>
      <c r="AH74" s="759"/>
      <c r="AI74" s="759"/>
      <c r="AJ74" s="753"/>
      <c r="AK74" s="753"/>
      <c r="AL74" s="761"/>
    </row>
    <row r="75" spans="2:38" x14ac:dyDescent="0.45">
      <c r="B75" s="785"/>
      <c r="C75" s="256"/>
      <c r="D75" s="230"/>
      <c r="E75" s="267"/>
      <c r="F75" s="207" t="s">
        <v>6</v>
      </c>
      <c r="G75" s="208" t="s">
        <v>111</v>
      </c>
      <c r="H75" s="209"/>
      <c r="I75" s="966"/>
      <c r="J75" s="475"/>
      <c r="K75" s="602"/>
      <c r="L75" s="433"/>
      <c r="M75" s="433"/>
      <c r="N75" s="433"/>
      <c r="O75" s="597"/>
      <c r="P75" s="596"/>
      <c r="Q75" s="608"/>
      <c r="R75" s="433"/>
      <c r="S75" s="433"/>
      <c r="T75" s="433"/>
      <c r="U75" s="433"/>
      <c r="V75" s="433"/>
      <c r="W75" s="433"/>
      <c r="X75" s="659"/>
      <c r="Y75" s="661"/>
      <c r="Z75" s="433"/>
      <c r="AA75" s="433"/>
      <c r="AB75" s="433"/>
      <c r="AC75" s="433"/>
      <c r="AD75" s="433"/>
      <c r="AE75" s="644"/>
      <c r="AF75" s="661"/>
      <c r="AG75" s="433"/>
      <c r="AH75" s="433"/>
      <c r="AI75" s="433"/>
      <c r="AJ75" s="433"/>
      <c r="AK75" s="433"/>
      <c r="AL75" s="644"/>
    </row>
    <row r="76" spans="2:38" x14ac:dyDescent="0.45">
      <c r="B76" s="785"/>
      <c r="C76" s="256"/>
      <c r="D76" s="230"/>
      <c r="E76" s="267"/>
      <c r="F76" s="207"/>
      <c r="G76" s="208"/>
      <c r="H76" s="209"/>
      <c r="I76" s="966"/>
      <c r="J76" s="475"/>
      <c r="K76" s="602"/>
      <c r="L76" s="433"/>
      <c r="M76" s="433"/>
      <c r="N76" s="433">
        <f>E76*J64</f>
        <v>0</v>
      </c>
      <c r="O76" s="597">
        <v>0</v>
      </c>
      <c r="P76" s="596">
        <v>0</v>
      </c>
      <c r="Q76" s="608"/>
      <c r="R76" s="433"/>
      <c r="S76" s="433"/>
      <c r="T76" s="453">
        <f>O76*Q76</f>
        <v>0</v>
      </c>
      <c r="U76" s="433"/>
      <c r="V76" s="433"/>
      <c r="W76" s="433"/>
      <c r="X76" s="659"/>
      <c r="Y76" s="661"/>
      <c r="Z76" s="433"/>
      <c r="AA76" s="433"/>
      <c r="AB76" s="433"/>
      <c r="AC76" s="433"/>
      <c r="AD76" s="433"/>
      <c r="AE76" s="644"/>
      <c r="AF76" s="661"/>
      <c r="AG76" s="433"/>
      <c r="AH76" s="433"/>
      <c r="AI76" s="433"/>
      <c r="AJ76" s="433"/>
      <c r="AK76" s="433"/>
      <c r="AL76" s="644"/>
    </row>
    <row r="77" spans="2:38" x14ac:dyDescent="0.45">
      <c r="B77" s="785"/>
      <c r="C77" s="256"/>
      <c r="D77" s="230"/>
      <c r="E77" s="267"/>
      <c r="F77" s="207" t="s">
        <v>112</v>
      </c>
      <c r="G77" s="208" t="s">
        <v>113</v>
      </c>
      <c r="H77" s="209"/>
      <c r="I77" s="966"/>
      <c r="J77" s="475"/>
      <c r="K77" s="602"/>
      <c r="L77" s="433"/>
      <c r="M77" s="433"/>
      <c r="N77" s="433"/>
      <c r="O77" s="433"/>
      <c r="P77" s="433"/>
      <c r="Q77" s="595"/>
      <c r="R77" s="433"/>
      <c r="S77" s="433"/>
      <c r="T77" s="433"/>
      <c r="U77" s="433"/>
      <c r="V77" s="433"/>
      <c r="W77" s="433"/>
      <c r="X77" s="659"/>
      <c r="Y77" s="661"/>
      <c r="Z77" s="433"/>
      <c r="AA77" s="433"/>
      <c r="AB77" s="433"/>
      <c r="AC77" s="433"/>
      <c r="AD77" s="433"/>
      <c r="AE77" s="644"/>
      <c r="AF77" s="661"/>
      <c r="AG77" s="433"/>
      <c r="AH77" s="433"/>
      <c r="AI77" s="433"/>
      <c r="AJ77" s="433"/>
      <c r="AK77" s="433"/>
      <c r="AL77" s="644"/>
    </row>
    <row r="78" spans="2:38" x14ac:dyDescent="0.45">
      <c r="B78" s="785"/>
      <c r="C78" s="277"/>
      <c r="D78" s="211"/>
      <c r="E78" s="275"/>
      <c r="F78" s="239" t="s">
        <v>114</v>
      </c>
      <c r="G78" s="257" t="s">
        <v>166</v>
      </c>
      <c r="H78" s="229"/>
      <c r="I78" s="980">
        <v>0.15</v>
      </c>
      <c r="J78" s="475"/>
      <c r="K78" s="602"/>
      <c r="L78" s="433"/>
      <c r="M78" s="433"/>
      <c r="N78" s="433"/>
      <c r="O78" s="433"/>
      <c r="P78" s="433"/>
      <c r="Q78" s="595"/>
      <c r="R78" s="433"/>
      <c r="S78" s="433"/>
      <c r="T78" s="433"/>
      <c r="U78" s="433"/>
      <c r="V78" s="433"/>
      <c r="W78" s="433"/>
      <c r="X78" s="659"/>
      <c r="Y78" s="661"/>
      <c r="Z78" s="433"/>
      <c r="AA78" s="433"/>
      <c r="AB78" s="433"/>
      <c r="AC78" s="433"/>
      <c r="AD78" s="433"/>
      <c r="AE78" s="644"/>
      <c r="AF78" s="661"/>
      <c r="AG78" s="433"/>
      <c r="AH78" s="433"/>
      <c r="AI78" s="433"/>
      <c r="AJ78" s="433"/>
      <c r="AK78" s="433"/>
      <c r="AL78" s="644"/>
    </row>
    <row r="79" spans="2:38" ht="17" thickBot="1" x14ac:dyDescent="0.5">
      <c r="B79" s="786"/>
      <c r="C79" s="831"/>
      <c r="D79" s="852"/>
      <c r="E79" s="911"/>
      <c r="F79" s="834" t="s">
        <v>115</v>
      </c>
      <c r="G79" s="816" t="s">
        <v>127</v>
      </c>
      <c r="H79" s="835"/>
      <c r="I79" s="981"/>
      <c r="J79" s="793"/>
      <c r="K79" s="763"/>
      <c r="L79" s="655"/>
      <c r="M79" s="655"/>
      <c r="N79" s="655"/>
      <c r="O79" s="655"/>
      <c r="P79" s="655"/>
      <c r="Q79" s="654"/>
      <c r="R79" s="655"/>
      <c r="S79" s="655"/>
      <c r="T79" s="655"/>
      <c r="U79" s="655"/>
      <c r="V79" s="655"/>
      <c r="W79" s="655"/>
      <c r="X79" s="660"/>
      <c r="Y79" s="662"/>
      <c r="Z79" s="655"/>
      <c r="AA79" s="655"/>
      <c r="AB79" s="655"/>
      <c r="AC79" s="655"/>
      <c r="AD79" s="655"/>
      <c r="AE79" s="656"/>
      <c r="AF79" s="662"/>
      <c r="AG79" s="655"/>
      <c r="AH79" s="655"/>
      <c r="AI79" s="655"/>
      <c r="AJ79" s="655"/>
      <c r="AK79" s="655"/>
      <c r="AL79" s="656"/>
    </row>
    <row r="80" spans="2:38" x14ac:dyDescent="0.45">
      <c r="D80" s="112"/>
      <c r="E80" s="195"/>
      <c r="G80" s="111"/>
      <c r="H80" s="111"/>
      <c r="I80" s="111"/>
      <c r="Z80" s="657"/>
      <c r="AA80" s="657"/>
      <c r="AB80" s="657"/>
      <c r="AC80" s="657"/>
      <c r="AD80" s="657"/>
      <c r="AE80" s="657"/>
      <c r="AG80" s="657"/>
      <c r="AH80" s="657"/>
      <c r="AI80" s="657"/>
      <c r="AJ80" s="657"/>
      <c r="AK80" s="657"/>
      <c r="AL80" s="657"/>
    </row>
    <row r="81" spans="2:38" ht="17" thickBot="1" x14ac:dyDescent="0.5">
      <c r="B81" s="749" t="s">
        <v>697</v>
      </c>
      <c r="C81" s="750" t="str">
        <f>RAP!B76</f>
        <v xml:space="preserve">Memasang  Rangka Jendela Alumunium </v>
      </c>
      <c r="D81" s="241"/>
      <c r="E81" s="241"/>
      <c r="F81" s="276"/>
      <c r="G81" s="240"/>
      <c r="H81" s="241"/>
      <c r="I81" s="241"/>
      <c r="J81" s="604"/>
      <c r="K81" s="603"/>
      <c r="L81" s="604"/>
      <c r="M81" s="604"/>
      <c r="N81" s="604"/>
      <c r="O81" s="604"/>
      <c r="P81" s="604"/>
      <c r="Q81" s="604"/>
      <c r="R81" s="609"/>
      <c r="S81" s="609"/>
      <c r="T81" s="609"/>
      <c r="U81" s="609"/>
      <c r="V81" s="609"/>
      <c r="W81" s="609"/>
      <c r="X81" s="609"/>
      <c r="Y81" s="609"/>
      <c r="Z81" s="609"/>
      <c r="AA81" s="609"/>
      <c r="AB81" s="609"/>
      <c r="AC81" s="609"/>
      <c r="AD81" s="609"/>
      <c r="AE81" s="609"/>
      <c r="AF81" s="609"/>
      <c r="AG81" s="609"/>
      <c r="AH81" s="609"/>
      <c r="AI81" s="609"/>
      <c r="AJ81" s="609"/>
      <c r="AK81" s="609"/>
      <c r="AL81" s="609"/>
    </row>
    <row r="82" spans="2:38" ht="19.5" customHeight="1" x14ac:dyDescent="0.45">
      <c r="B82" s="1168" t="s">
        <v>99</v>
      </c>
      <c r="C82" s="1171" t="s">
        <v>100</v>
      </c>
      <c r="D82" s="1171" t="s">
        <v>89</v>
      </c>
      <c r="E82" s="1171" t="s">
        <v>101</v>
      </c>
      <c r="F82" s="1171" t="s">
        <v>102</v>
      </c>
      <c r="G82" s="1109" t="s">
        <v>103</v>
      </c>
      <c r="H82" s="1110"/>
      <c r="I82" s="1175"/>
      <c r="J82" s="1152" t="s">
        <v>539</v>
      </c>
      <c r="K82" s="1152"/>
      <c r="L82" s="1152"/>
      <c r="M82" s="1152"/>
      <c r="N82" s="1152"/>
      <c r="O82" s="1152"/>
      <c r="P82" s="1152"/>
      <c r="Q82" s="1152"/>
      <c r="R82" s="1152"/>
      <c r="S82" s="1152"/>
      <c r="T82" s="1152"/>
      <c r="U82" s="1152"/>
      <c r="V82" s="1152"/>
      <c r="W82" s="1152"/>
      <c r="X82" s="1152"/>
      <c r="Y82" s="1153" t="s">
        <v>540</v>
      </c>
      <c r="Z82" s="1154"/>
      <c r="AA82" s="1154"/>
      <c r="AB82" s="1154"/>
      <c r="AC82" s="1154"/>
      <c r="AD82" s="1154"/>
      <c r="AE82" s="1155"/>
      <c r="AF82" s="1156" t="s">
        <v>541</v>
      </c>
      <c r="AG82" s="1157"/>
      <c r="AH82" s="1157"/>
      <c r="AI82" s="1157"/>
      <c r="AJ82" s="1157"/>
      <c r="AK82" s="1157"/>
      <c r="AL82" s="1158"/>
    </row>
    <row r="83" spans="2:38" ht="45" x14ac:dyDescent="0.45">
      <c r="B83" s="1169"/>
      <c r="C83" s="1089"/>
      <c r="D83" s="1089"/>
      <c r="E83" s="1089"/>
      <c r="F83" s="1089"/>
      <c r="G83" s="1026"/>
      <c r="H83" s="1027"/>
      <c r="I83" s="1176"/>
      <c r="J83" s="1185" t="s">
        <v>15</v>
      </c>
      <c r="K83" s="673" t="s">
        <v>493</v>
      </c>
      <c r="L83" s="1161" t="s">
        <v>491</v>
      </c>
      <c r="M83" s="1162"/>
      <c r="N83" s="1162"/>
      <c r="O83" s="1162"/>
      <c r="P83" s="1163"/>
      <c r="Q83" s="674" t="s">
        <v>533</v>
      </c>
      <c r="R83" s="1161" t="s">
        <v>501</v>
      </c>
      <c r="S83" s="1162"/>
      <c r="T83" s="1163"/>
      <c r="U83" s="674" t="s">
        <v>530</v>
      </c>
      <c r="V83" s="674" t="s">
        <v>531</v>
      </c>
      <c r="W83" s="674" t="s">
        <v>578</v>
      </c>
      <c r="X83" s="681" t="s">
        <v>579</v>
      </c>
      <c r="Y83" s="1164" t="s">
        <v>534</v>
      </c>
      <c r="Z83" s="1165"/>
      <c r="AA83" s="663" t="s">
        <v>537</v>
      </c>
      <c r="AB83" s="664" t="s">
        <v>538</v>
      </c>
      <c r="AC83" s="665" t="s">
        <v>530</v>
      </c>
      <c r="AD83" s="665" t="s">
        <v>578</v>
      </c>
      <c r="AE83" s="682" t="s">
        <v>579</v>
      </c>
      <c r="AF83" s="1166" t="s">
        <v>542</v>
      </c>
      <c r="AG83" s="1167"/>
      <c r="AH83" s="737" t="s">
        <v>543</v>
      </c>
      <c r="AI83" s="738" t="s">
        <v>544</v>
      </c>
      <c r="AJ83" s="739" t="s">
        <v>530</v>
      </c>
      <c r="AK83" s="739" t="s">
        <v>578</v>
      </c>
      <c r="AL83" s="740" t="s">
        <v>579</v>
      </c>
    </row>
    <row r="84" spans="2:38" ht="30" x14ac:dyDescent="0.45">
      <c r="B84" s="1170"/>
      <c r="C84" s="1090"/>
      <c r="D84" s="1090"/>
      <c r="E84" s="1090"/>
      <c r="F84" s="1090"/>
      <c r="G84" s="1085"/>
      <c r="H84" s="1086"/>
      <c r="I84" s="1177"/>
      <c r="J84" s="1174"/>
      <c r="K84" s="675" t="s">
        <v>495</v>
      </c>
      <c r="L84" s="676" t="s">
        <v>524</v>
      </c>
      <c r="M84" s="676" t="s">
        <v>525</v>
      </c>
      <c r="N84" s="676" t="s">
        <v>526</v>
      </c>
      <c r="O84" s="675" t="s">
        <v>517</v>
      </c>
      <c r="P84" s="675" t="s">
        <v>290</v>
      </c>
      <c r="Q84" s="675" t="s">
        <v>532</v>
      </c>
      <c r="R84" s="676" t="s">
        <v>527</v>
      </c>
      <c r="S84" s="676" t="s">
        <v>528</v>
      </c>
      <c r="T84" s="677" t="s">
        <v>529</v>
      </c>
      <c r="U84" s="675" t="s">
        <v>502</v>
      </c>
      <c r="V84" s="675" t="s">
        <v>502</v>
      </c>
      <c r="W84" s="675" t="s">
        <v>502</v>
      </c>
      <c r="X84" s="678" t="s">
        <v>504</v>
      </c>
      <c r="Y84" s="666" t="s">
        <v>535</v>
      </c>
      <c r="Z84" s="667" t="s">
        <v>536</v>
      </c>
      <c r="AA84" s="668" t="s">
        <v>532</v>
      </c>
      <c r="AB84" s="668" t="s">
        <v>532</v>
      </c>
      <c r="AC84" s="668" t="s">
        <v>532</v>
      </c>
      <c r="AD84" s="668" t="s">
        <v>532</v>
      </c>
      <c r="AE84" s="669" t="s">
        <v>532</v>
      </c>
      <c r="AF84" s="741" t="s">
        <v>535</v>
      </c>
      <c r="AG84" s="742" t="s">
        <v>536</v>
      </c>
      <c r="AH84" s="743" t="s">
        <v>532</v>
      </c>
      <c r="AI84" s="743" t="s">
        <v>532</v>
      </c>
      <c r="AJ84" s="743" t="s">
        <v>532</v>
      </c>
      <c r="AK84" s="743" t="s">
        <v>532</v>
      </c>
      <c r="AL84" s="744" t="s">
        <v>532</v>
      </c>
    </row>
    <row r="85" spans="2:38" ht="30" x14ac:dyDescent="0.45">
      <c r="B85" s="639" t="s">
        <v>4</v>
      </c>
      <c r="C85" s="600" t="s">
        <v>5</v>
      </c>
      <c r="D85" s="570" t="s">
        <v>6</v>
      </c>
      <c r="E85" s="570" t="s">
        <v>112</v>
      </c>
      <c r="F85" s="570" t="s">
        <v>114</v>
      </c>
      <c r="G85" s="1014" t="s">
        <v>115</v>
      </c>
      <c r="H85" s="1014"/>
      <c r="I85" s="1172"/>
      <c r="J85" s="791" t="s">
        <v>21</v>
      </c>
      <c r="K85" s="675" t="s">
        <v>496</v>
      </c>
      <c r="L85" s="675" t="s">
        <v>497</v>
      </c>
      <c r="M85" s="675" t="s">
        <v>498</v>
      </c>
      <c r="N85" s="675" t="s">
        <v>499</v>
      </c>
      <c r="O85" s="676" t="s">
        <v>552</v>
      </c>
      <c r="P85" s="675" t="s">
        <v>512</v>
      </c>
      <c r="Q85" s="675" t="s">
        <v>503</v>
      </c>
      <c r="R85" s="675" t="s">
        <v>553</v>
      </c>
      <c r="S85" s="675" t="s">
        <v>513</v>
      </c>
      <c r="T85" s="675" t="s">
        <v>514</v>
      </c>
      <c r="U85" s="675" t="s">
        <v>554</v>
      </c>
      <c r="V85" s="675" t="s">
        <v>515</v>
      </c>
      <c r="W85" s="675" t="s">
        <v>555</v>
      </c>
      <c r="X85" s="678" t="s">
        <v>516</v>
      </c>
      <c r="Y85" s="670" t="s">
        <v>556</v>
      </c>
      <c r="Z85" s="671" t="s">
        <v>557</v>
      </c>
      <c r="AA85" s="671" t="s">
        <v>558</v>
      </c>
      <c r="AB85" s="671" t="s">
        <v>559</v>
      </c>
      <c r="AC85" s="671" t="s">
        <v>560</v>
      </c>
      <c r="AD85" s="671" t="s">
        <v>561</v>
      </c>
      <c r="AE85" s="672" t="s">
        <v>562</v>
      </c>
      <c r="AF85" s="745" t="s">
        <v>563</v>
      </c>
      <c r="AG85" s="746" t="s">
        <v>564</v>
      </c>
      <c r="AH85" s="746" t="s">
        <v>565</v>
      </c>
      <c r="AI85" s="746" t="s">
        <v>566</v>
      </c>
      <c r="AJ85" s="746" t="s">
        <v>567</v>
      </c>
      <c r="AK85" s="746" t="s">
        <v>568</v>
      </c>
      <c r="AL85" s="747" t="s">
        <v>569</v>
      </c>
    </row>
    <row r="86" spans="2:38" ht="15.5" x14ac:dyDescent="0.45">
      <c r="B86" s="640">
        <v>4</v>
      </c>
      <c r="C86" s="439" t="s">
        <v>194</v>
      </c>
      <c r="D86" s="536"/>
      <c r="E86" s="486">
        <v>1</v>
      </c>
      <c r="F86" s="478" t="s">
        <v>30</v>
      </c>
      <c r="G86" s="471" t="s">
        <v>256</v>
      </c>
      <c r="H86" s="458"/>
      <c r="I86" s="972"/>
      <c r="J86" s="789"/>
      <c r="K86" s="789"/>
      <c r="L86" s="789"/>
      <c r="M86" s="789"/>
      <c r="N86" s="789"/>
      <c r="O86" s="789"/>
      <c r="P86" s="789"/>
      <c r="Q86" s="789"/>
      <c r="R86" s="789"/>
      <c r="S86" s="789"/>
      <c r="T86" s="789"/>
      <c r="U86" s="789"/>
      <c r="V86" s="789"/>
      <c r="W86" s="789"/>
      <c r="X86" s="789"/>
      <c r="Y86" s="789"/>
      <c r="Z86" s="789"/>
      <c r="AA86" s="789"/>
      <c r="AB86" s="789"/>
      <c r="AC86" s="789"/>
      <c r="AD86" s="789"/>
      <c r="AE86" s="789"/>
      <c r="AF86" s="789"/>
      <c r="AG86" s="789"/>
      <c r="AH86" s="789"/>
      <c r="AI86" s="789"/>
      <c r="AJ86" s="789"/>
      <c r="AK86" s="789"/>
      <c r="AL86" s="790"/>
    </row>
    <row r="87" spans="2:38" x14ac:dyDescent="0.45">
      <c r="B87" s="794"/>
      <c r="C87" s="307"/>
      <c r="D87" s="230"/>
      <c r="E87" s="410"/>
      <c r="F87" s="207" t="s">
        <v>4</v>
      </c>
      <c r="G87" s="231" t="s">
        <v>120</v>
      </c>
      <c r="H87" s="209"/>
      <c r="I87" s="966"/>
      <c r="J87" s="792">
        <f>RAP!E76</f>
        <v>156.60000000000002</v>
      </c>
      <c r="K87" s="601">
        <v>6</v>
      </c>
      <c r="L87" s="319"/>
      <c r="M87" s="319"/>
      <c r="N87" s="319"/>
      <c r="O87" s="598"/>
      <c r="P87" s="598"/>
      <c r="Q87" s="605"/>
      <c r="R87" s="485"/>
      <c r="S87" s="485"/>
      <c r="T87" s="485"/>
      <c r="U87" s="752">
        <f>SUM(R87:R102)+(SUM(S87:S102)+SUM(T87:T102))</f>
        <v>166710000</v>
      </c>
      <c r="V87" s="754">
        <f>RAP!H76</f>
        <v>192674689.19999999</v>
      </c>
      <c r="W87" s="752">
        <f>V87-U87</f>
        <v>25964689.199999988</v>
      </c>
      <c r="X87" s="760">
        <f>W87/V87*100</f>
        <v>13.475921153840892</v>
      </c>
      <c r="Y87" s="755">
        <f>SUM(R87:R102)/J87</f>
        <v>22222.222222222219</v>
      </c>
      <c r="Z87" s="757">
        <v>25000</v>
      </c>
      <c r="AA87" s="758">
        <f>J87*Z87</f>
        <v>3915000.0000000005</v>
      </c>
      <c r="AB87" s="758">
        <f>SUM(S87:S102)+SUM(T87:T102)</f>
        <v>163230000</v>
      </c>
      <c r="AC87" s="752">
        <f>AA87+AB87</f>
        <v>167145000</v>
      </c>
      <c r="AD87" s="752">
        <f>V87-AC87</f>
        <v>25529689.199999988</v>
      </c>
      <c r="AE87" s="760">
        <f>AD87/V87*100</f>
        <v>13.250152008030325</v>
      </c>
      <c r="AF87" s="755">
        <f>(SUM(R87:R102)+SUM(S87:S102))/J87</f>
        <v>1064559.3869731799</v>
      </c>
      <c r="AG87" s="757">
        <v>1000000</v>
      </c>
      <c r="AH87" s="758">
        <f>AG87*J87</f>
        <v>156600000.00000003</v>
      </c>
      <c r="AI87" s="758">
        <f>SUM(T87:T102)</f>
        <v>0</v>
      </c>
      <c r="AJ87" s="752">
        <f>AH87+AI87</f>
        <v>156600000.00000003</v>
      </c>
      <c r="AK87" s="752">
        <f>V87-AJ87</f>
        <v>36074689.199999958</v>
      </c>
      <c r="AL87" s="760">
        <f>AK87/V87*100</f>
        <v>18.723107508196755</v>
      </c>
    </row>
    <row r="88" spans="2:38" x14ac:dyDescent="0.45">
      <c r="B88" s="785"/>
      <c r="C88" s="277"/>
      <c r="D88" s="211" t="s">
        <v>107</v>
      </c>
      <c r="E88" s="394">
        <v>8.5000000000000006E-2</v>
      </c>
      <c r="F88" s="211" t="s">
        <v>108</v>
      </c>
      <c r="G88" s="209" t="s">
        <v>159</v>
      </c>
      <c r="H88" s="209"/>
      <c r="I88" s="966"/>
      <c r="J88" s="475"/>
      <c r="K88" s="602"/>
      <c r="L88" s="433">
        <f>E88*J87/K87</f>
        <v>2.2185000000000006</v>
      </c>
      <c r="M88" s="433"/>
      <c r="N88" s="433"/>
      <c r="O88" s="597">
        <v>3</v>
      </c>
      <c r="P88" s="596" t="str">
        <f>F88</f>
        <v>OH</v>
      </c>
      <c r="Q88" s="608">
        <f t="shared" ref="Q88:Q95" si="4">Q65</f>
        <v>75000</v>
      </c>
      <c r="R88" s="453">
        <f>O88*Q88*K87</f>
        <v>1350000</v>
      </c>
      <c r="S88" s="453"/>
      <c r="T88" s="453"/>
      <c r="U88" s="753"/>
      <c r="V88" s="753"/>
      <c r="W88" s="753"/>
      <c r="X88" s="761"/>
      <c r="Y88" s="756"/>
      <c r="Z88" s="759"/>
      <c r="AA88" s="759"/>
      <c r="AB88" s="759"/>
      <c r="AC88" s="753"/>
      <c r="AD88" s="753"/>
      <c r="AE88" s="761"/>
      <c r="AF88" s="756"/>
      <c r="AG88" s="759"/>
      <c r="AH88" s="759"/>
      <c r="AI88" s="759"/>
      <c r="AJ88" s="753"/>
      <c r="AK88" s="753"/>
      <c r="AL88" s="761"/>
    </row>
    <row r="89" spans="2:38" x14ac:dyDescent="0.45">
      <c r="B89" s="785"/>
      <c r="C89" s="277"/>
      <c r="D89" s="269" t="s">
        <v>121</v>
      </c>
      <c r="E89" s="383">
        <v>8.5000000000000006E-2</v>
      </c>
      <c r="F89" s="269" t="s">
        <v>108</v>
      </c>
      <c r="G89" s="226" t="s">
        <v>171</v>
      </c>
      <c r="H89" s="226"/>
      <c r="I89" s="974"/>
      <c r="J89" s="475"/>
      <c r="K89" s="602"/>
      <c r="L89" s="433">
        <f>E89*J87/K87</f>
        <v>2.2185000000000006</v>
      </c>
      <c r="M89" s="433"/>
      <c r="N89" s="433"/>
      <c r="O89" s="597">
        <v>3</v>
      </c>
      <c r="P89" s="596" t="str">
        <f>F89</f>
        <v>OH</v>
      </c>
      <c r="Q89" s="608">
        <f t="shared" si="4"/>
        <v>85000</v>
      </c>
      <c r="R89" s="453">
        <f>O89*Q89*K87</f>
        <v>1530000</v>
      </c>
      <c r="S89" s="453"/>
      <c r="T89" s="453"/>
      <c r="U89" s="753"/>
      <c r="V89" s="753"/>
      <c r="W89" s="753"/>
      <c r="X89" s="761"/>
      <c r="Y89" s="756"/>
      <c r="Z89" s="759"/>
      <c r="AA89" s="759"/>
      <c r="AB89" s="759"/>
      <c r="AC89" s="753"/>
      <c r="AD89" s="753"/>
      <c r="AE89" s="761"/>
      <c r="AF89" s="756"/>
      <c r="AG89" s="759"/>
      <c r="AH89" s="759"/>
      <c r="AI89" s="759"/>
      <c r="AJ89" s="753"/>
      <c r="AK89" s="753"/>
      <c r="AL89" s="761"/>
    </row>
    <row r="90" spans="2:38" x14ac:dyDescent="0.45">
      <c r="B90" s="785"/>
      <c r="C90" s="277"/>
      <c r="D90" s="269" t="s">
        <v>122</v>
      </c>
      <c r="E90" s="383">
        <v>8.9999999999999993E-3</v>
      </c>
      <c r="F90" s="269" t="s">
        <v>108</v>
      </c>
      <c r="G90" s="226" t="s">
        <v>160</v>
      </c>
      <c r="H90" s="226"/>
      <c r="I90" s="974"/>
      <c r="J90" s="475"/>
      <c r="K90" s="602"/>
      <c r="L90" s="433">
        <f>E90*J87/K87</f>
        <v>0.23490000000000003</v>
      </c>
      <c r="M90" s="433"/>
      <c r="N90" s="433"/>
      <c r="O90" s="597">
        <v>0</v>
      </c>
      <c r="P90" s="596" t="str">
        <f>F90</f>
        <v>OH</v>
      </c>
      <c r="Q90" s="608">
        <f t="shared" si="4"/>
        <v>90000</v>
      </c>
      <c r="R90" s="453">
        <f>O90*Q90*K87</f>
        <v>0</v>
      </c>
      <c r="S90" s="453"/>
      <c r="T90" s="453"/>
      <c r="U90" s="753"/>
      <c r="V90" s="753"/>
      <c r="W90" s="753"/>
      <c r="X90" s="761"/>
      <c r="Y90" s="756"/>
      <c r="Z90" s="759"/>
      <c r="AA90" s="759"/>
      <c r="AB90" s="759"/>
      <c r="AC90" s="753"/>
      <c r="AD90" s="753"/>
      <c r="AE90" s="761"/>
      <c r="AF90" s="756"/>
      <c r="AG90" s="759"/>
      <c r="AH90" s="759"/>
      <c r="AI90" s="759"/>
      <c r="AJ90" s="753"/>
      <c r="AK90" s="753"/>
      <c r="AL90" s="761"/>
    </row>
    <row r="91" spans="2:38" x14ac:dyDescent="0.45">
      <c r="B91" s="785"/>
      <c r="C91" s="277"/>
      <c r="D91" s="253" t="s">
        <v>109</v>
      </c>
      <c r="E91" s="414">
        <v>5.0000000000000001E-3</v>
      </c>
      <c r="F91" s="253" t="s">
        <v>108</v>
      </c>
      <c r="G91" s="229" t="s">
        <v>161</v>
      </c>
      <c r="H91" s="229"/>
      <c r="I91" s="967"/>
      <c r="J91" s="475"/>
      <c r="K91" s="602"/>
      <c r="L91" s="433">
        <f>E91*J87/K87</f>
        <v>0.13050000000000003</v>
      </c>
      <c r="M91" s="433"/>
      <c r="N91" s="433"/>
      <c r="O91" s="597">
        <v>1</v>
      </c>
      <c r="P91" s="596" t="str">
        <f>F91</f>
        <v>OH</v>
      </c>
      <c r="Q91" s="608">
        <f t="shared" si="4"/>
        <v>100000</v>
      </c>
      <c r="R91" s="453">
        <f>O91*Q91*K87</f>
        <v>600000</v>
      </c>
      <c r="S91" s="453"/>
      <c r="T91" s="453"/>
      <c r="U91" s="753"/>
      <c r="V91" s="753"/>
      <c r="W91" s="753"/>
      <c r="X91" s="761"/>
      <c r="Y91" s="756"/>
      <c r="Z91" s="759"/>
      <c r="AA91" s="759"/>
      <c r="AB91" s="759"/>
      <c r="AC91" s="753"/>
      <c r="AD91" s="753"/>
      <c r="AE91" s="761"/>
      <c r="AF91" s="756"/>
      <c r="AG91" s="759"/>
      <c r="AH91" s="759"/>
      <c r="AI91" s="759"/>
      <c r="AJ91" s="753"/>
      <c r="AK91" s="753"/>
      <c r="AL91" s="761"/>
    </row>
    <row r="92" spans="2:38" x14ac:dyDescent="0.45">
      <c r="B92" s="785"/>
      <c r="C92" s="256"/>
      <c r="D92" s="230"/>
      <c r="E92" s="339"/>
      <c r="F92" s="207" t="s">
        <v>5</v>
      </c>
      <c r="G92" s="231" t="s">
        <v>124</v>
      </c>
      <c r="H92" s="209"/>
      <c r="I92" s="966"/>
      <c r="J92" s="475"/>
      <c r="K92" s="602"/>
      <c r="L92" s="433"/>
      <c r="M92" s="433"/>
      <c r="N92" s="433"/>
      <c r="O92" s="597"/>
      <c r="P92" s="596"/>
      <c r="Q92" s="608">
        <f t="shared" si="4"/>
        <v>0</v>
      </c>
      <c r="R92" s="453"/>
      <c r="S92" s="453"/>
      <c r="T92" s="453"/>
      <c r="U92" s="753"/>
      <c r="V92" s="753"/>
      <c r="W92" s="753"/>
      <c r="X92" s="761"/>
      <c r="Y92" s="756"/>
      <c r="Z92" s="759"/>
      <c r="AA92" s="759"/>
      <c r="AB92" s="759"/>
      <c r="AC92" s="753"/>
      <c r="AD92" s="753"/>
      <c r="AE92" s="761"/>
      <c r="AF92" s="756"/>
      <c r="AG92" s="759"/>
      <c r="AH92" s="759"/>
      <c r="AI92" s="759"/>
      <c r="AJ92" s="753"/>
      <c r="AK92" s="753"/>
      <c r="AL92" s="761"/>
    </row>
    <row r="93" spans="2:38" x14ac:dyDescent="0.45">
      <c r="B93" s="785"/>
      <c r="C93" s="256"/>
      <c r="D93" s="938"/>
      <c r="E93" s="940">
        <f>4.4/4</f>
        <v>1.1000000000000001</v>
      </c>
      <c r="F93" s="837" t="s">
        <v>365</v>
      </c>
      <c r="G93" s="821" t="s">
        <v>694</v>
      </c>
      <c r="H93" s="821"/>
      <c r="I93" s="977"/>
      <c r="J93" s="475"/>
      <c r="K93" s="602"/>
      <c r="L93" s="433"/>
      <c r="M93" s="433">
        <f>E93*J87</f>
        <v>172.26000000000005</v>
      </c>
      <c r="N93" s="433"/>
      <c r="O93" s="597">
        <v>173</v>
      </c>
      <c r="P93" s="596" t="str">
        <f>F93</f>
        <v>btg</v>
      </c>
      <c r="Q93" s="608">
        <f t="shared" si="4"/>
        <v>500000</v>
      </c>
      <c r="R93" s="453"/>
      <c r="S93" s="453">
        <f>O93*Q93</f>
        <v>86500000</v>
      </c>
      <c r="T93" s="453"/>
      <c r="U93" s="753"/>
      <c r="V93" s="753"/>
      <c r="W93" s="753"/>
      <c r="X93" s="761"/>
      <c r="Y93" s="756"/>
      <c r="Z93" s="759"/>
      <c r="AA93" s="759"/>
      <c r="AB93" s="759"/>
      <c r="AC93" s="753"/>
      <c r="AD93" s="753"/>
      <c r="AE93" s="761"/>
      <c r="AF93" s="756"/>
      <c r="AG93" s="759"/>
      <c r="AH93" s="759"/>
      <c r="AI93" s="759"/>
      <c r="AJ93" s="753"/>
      <c r="AK93" s="753"/>
      <c r="AL93" s="761"/>
    </row>
    <row r="94" spans="2:38" x14ac:dyDescent="0.45">
      <c r="B94" s="785"/>
      <c r="C94" s="256"/>
      <c r="D94" s="938"/>
      <c r="E94" s="941">
        <f>4.5/4</f>
        <v>1.125</v>
      </c>
      <c r="F94" s="837" t="s">
        <v>365</v>
      </c>
      <c r="G94" s="821" t="s">
        <v>257</v>
      </c>
      <c r="H94" s="821"/>
      <c r="I94" s="977"/>
      <c r="J94" s="475"/>
      <c r="K94" s="602"/>
      <c r="L94" s="433"/>
      <c r="M94" s="433">
        <f>E94*J87</f>
        <v>176.17500000000001</v>
      </c>
      <c r="N94" s="433"/>
      <c r="O94" s="597">
        <v>177</v>
      </c>
      <c r="P94" s="596" t="str">
        <f>F94</f>
        <v>btg</v>
      </c>
      <c r="Q94" s="608">
        <f t="shared" si="4"/>
        <v>425000</v>
      </c>
      <c r="R94" s="433"/>
      <c r="S94" s="453">
        <f t="shared" ref="S94:S97" si="5">O94*Q94</f>
        <v>75225000</v>
      </c>
      <c r="T94" s="433"/>
      <c r="U94" s="753"/>
      <c r="V94" s="753"/>
      <c r="W94" s="753"/>
      <c r="X94" s="761"/>
      <c r="Y94" s="756"/>
      <c r="Z94" s="759"/>
      <c r="AA94" s="759"/>
      <c r="AB94" s="759"/>
      <c r="AC94" s="753"/>
      <c r="AD94" s="753"/>
      <c r="AE94" s="761"/>
      <c r="AF94" s="756"/>
      <c r="AG94" s="759"/>
      <c r="AH94" s="759"/>
      <c r="AI94" s="759"/>
      <c r="AJ94" s="753"/>
      <c r="AK94" s="753"/>
      <c r="AL94" s="761"/>
    </row>
    <row r="95" spans="2:38" x14ac:dyDescent="0.45">
      <c r="B95" s="785"/>
      <c r="C95" s="256"/>
      <c r="D95" s="230"/>
      <c r="E95" s="415">
        <v>0.27</v>
      </c>
      <c r="F95" s="211" t="s">
        <v>162</v>
      </c>
      <c r="G95" s="209" t="s">
        <v>258</v>
      </c>
      <c r="H95" s="209"/>
      <c r="I95" s="966"/>
      <c r="J95" s="475"/>
      <c r="K95" s="602"/>
      <c r="L95" s="433"/>
      <c r="M95" s="433">
        <f>E95*J87</f>
        <v>42.282000000000011</v>
      </c>
      <c r="N95" s="433"/>
      <c r="O95" s="597">
        <v>43</v>
      </c>
      <c r="P95" s="596" t="str">
        <f>F95</f>
        <v>Tube</v>
      </c>
      <c r="Q95" s="608">
        <f t="shared" si="4"/>
        <v>35000</v>
      </c>
      <c r="R95" s="433"/>
      <c r="S95" s="453">
        <f t="shared" si="5"/>
        <v>1505000</v>
      </c>
      <c r="T95" s="433"/>
      <c r="U95" s="753"/>
      <c r="V95" s="753"/>
      <c r="W95" s="753"/>
      <c r="X95" s="761"/>
      <c r="Y95" s="756"/>
      <c r="Z95" s="759"/>
      <c r="AA95" s="759"/>
      <c r="AB95" s="759"/>
      <c r="AC95" s="753"/>
      <c r="AD95" s="753"/>
      <c r="AE95" s="761"/>
      <c r="AF95" s="756"/>
      <c r="AG95" s="759"/>
      <c r="AH95" s="759"/>
      <c r="AI95" s="759"/>
      <c r="AJ95" s="753"/>
      <c r="AK95" s="753"/>
      <c r="AL95" s="761"/>
    </row>
    <row r="96" spans="2:38" x14ac:dyDescent="0.45">
      <c r="B96" s="785"/>
      <c r="C96" s="256"/>
      <c r="D96" s="230"/>
      <c r="E96" s="415"/>
      <c r="F96" s="211"/>
      <c r="G96" s="209"/>
      <c r="H96" s="209"/>
      <c r="I96" s="966"/>
      <c r="J96" s="475"/>
      <c r="K96" s="602"/>
      <c r="L96" s="433"/>
      <c r="M96" s="433">
        <f>E96*J87</f>
        <v>0</v>
      </c>
      <c r="N96" s="433"/>
      <c r="O96" s="597">
        <v>0</v>
      </c>
      <c r="P96" s="596">
        <f>F96</f>
        <v>0</v>
      </c>
      <c r="Q96" s="608">
        <f>'Harga Bahan RAP'!G232</f>
        <v>0</v>
      </c>
      <c r="R96" s="433"/>
      <c r="S96" s="453">
        <f t="shared" si="5"/>
        <v>0</v>
      </c>
      <c r="T96" s="433"/>
      <c r="U96" s="753"/>
      <c r="V96" s="753"/>
      <c r="W96" s="753"/>
      <c r="X96" s="761"/>
      <c r="Y96" s="756"/>
      <c r="Z96" s="759"/>
      <c r="AA96" s="759"/>
      <c r="AB96" s="759"/>
      <c r="AC96" s="753"/>
      <c r="AD96" s="753"/>
      <c r="AE96" s="761"/>
      <c r="AF96" s="756"/>
      <c r="AG96" s="759"/>
      <c r="AH96" s="759"/>
      <c r="AI96" s="759"/>
      <c r="AJ96" s="753"/>
      <c r="AK96" s="753"/>
      <c r="AL96" s="761"/>
    </row>
    <row r="97" spans="2:38" x14ac:dyDescent="0.45">
      <c r="B97" s="785"/>
      <c r="C97" s="256"/>
      <c r="D97" s="230"/>
      <c r="E97" s="415"/>
      <c r="F97" s="211"/>
      <c r="G97" s="209"/>
      <c r="H97" s="209"/>
      <c r="I97" s="966"/>
      <c r="J97" s="475"/>
      <c r="K97" s="602"/>
      <c r="L97" s="433"/>
      <c r="M97" s="433">
        <f>E97*J87</f>
        <v>0</v>
      </c>
      <c r="N97" s="433"/>
      <c r="O97" s="597">
        <v>0</v>
      </c>
      <c r="P97" s="596">
        <f>F97</f>
        <v>0</v>
      </c>
      <c r="Q97" s="608"/>
      <c r="R97" s="433"/>
      <c r="S97" s="453">
        <f t="shared" si="5"/>
        <v>0</v>
      </c>
      <c r="T97" s="433"/>
      <c r="U97" s="753"/>
      <c r="V97" s="753"/>
      <c r="W97" s="753"/>
      <c r="X97" s="761"/>
      <c r="Y97" s="756"/>
      <c r="Z97" s="759"/>
      <c r="AA97" s="759"/>
      <c r="AB97" s="759"/>
      <c r="AC97" s="753"/>
      <c r="AD97" s="753"/>
      <c r="AE97" s="761"/>
      <c r="AF97" s="756"/>
      <c r="AG97" s="759"/>
      <c r="AH97" s="759"/>
      <c r="AI97" s="759"/>
      <c r="AJ97" s="753"/>
      <c r="AK97" s="753"/>
      <c r="AL97" s="761"/>
    </row>
    <row r="98" spans="2:38" x14ac:dyDescent="0.45">
      <c r="B98" s="785"/>
      <c r="C98" s="256"/>
      <c r="D98" s="230"/>
      <c r="E98" s="267"/>
      <c r="F98" s="207" t="s">
        <v>6</v>
      </c>
      <c r="G98" s="208" t="s">
        <v>111</v>
      </c>
      <c r="H98" s="209"/>
      <c r="I98" s="966"/>
      <c r="J98" s="475"/>
      <c r="K98" s="602"/>
      <c r="L98" s="433"/>
      <c r="M98" s="433"/>
      <c r="N98" s="433"/>
      <c r="O98" s="597"/>
      <c r="P98" s="596"/>
      <c r="Q98" s="608"/>
      <c r="R98" s="433"/>
      <c r="S98" s="433"/>
      <c r="T98" s="433"/>
      <c r="U98" s="433"/>
      <c r="V98" s="433"/>
      <c r="W98" s="433"/>
      <c r="X98" s="659"/>
      <c r="Y98" s="661"/>
      <c r="Z98" s="433"/>
      <c r="AA98" s="433"/>
      <c r="AB98" s="433"/>
      <c r="AC98" s="433"/>
      <c r="AD98" s="433"/>
      <c r="AE98" s="644"/>
      <c r="AF98" s="661"/>
      <c r="AG98" s="433"/>
      <c r="AH98" s="433"/>
      <c r="AI98" s="433"/>
      <c r="AJ98" s="433"/>
      <c r="AK98" s="433"/>
      <c r="AL98" s="644"/>
    </row>
    <row r="99" spans="2:38" x14ac:dyDescent="0.45">
      <c r="B99" s="785"/>
      <c r="C99" s="256"/>
      <c r="D99" s="230"/>
      <c r="E99" s="267"/>
      <c r="F99" s="207"/>
      <c r="G99" s="208"/>
      <c r="H99" s="209"/>
      <c r="I99" s="966"/>
      <c r="J99" s="475"/>
      <c r="K99" s="602"/>
      <c r="L99" s="433"/>
      <c r="M99" s="433"/>
      <c r="N99" s="433">
        <f>E99*J87</f>
        <v>0</v>
      </c>
      <c r="O99" s="597">
        <v>0</v>
      </c>
      <c r="P99" s="596">
        <v>0</v>
      </c>
      <c r="Q99" s="608"/>
      <c r="R99" s="433"/>
      <c r="S99" s="433"/>
      <c r="T99" s="453">
        <f>O99*Q99</f>
        <v>0</v>
      </c>
      <c r="U99" s="433"/>
      <c r="V99" s="433"/>
      <c r="W99" s="433"/>
      <c r="X99" s="659"/>
      <c r="Y99" s="661"/>
      <c r="Z99" s="433"/>
      <c r="AA99" s="433"/>
      <c r="AB99" s="433"/>
      <c r="AC99" s="433"/>
      <c r="AD99" s="433"/>
      <c r="AE99" s="644"/>
      <c r="AF99" s="661"/>
      <c r="AG99" s="433"/>
      <c r="AH99" s="433"/>
      <c r="AI99" s="433"/>
      <c r="AJ99" s="433"/>
      <c r="AK99" s="433"/>
      <c r="AL99" s="644"/>
    </row>
    <row r="100" spans="2:38" x14ac:dyDescent="0.45">
      <c r="B100" s="785"/>
      <c r="C100" s="256"/>
      <c r="D100" s="230"/>
      <c r="E100" s="267"/>
      <c r="F100" s="207" t="s">
        <v>112</v>
      </c>
      <c r="G100" s="208" t="s">
        <v>113</v>
      </c>
      <c r="H100" s="209"/>
      <c r="I100" s="966"/>
      <c r="J100" s="475"/>
      <c r="K100" s="602"/>
      <c r="L100" s="433"/>
      <c r="M100" s="433"/>
      <c r="N100" s="433"/>
      <c r="O100" s="433"/>
      <c r="P100" s="433"/>
      <c r="Q100" s="595"/>
      <c r="R100" s="433"/>
      <c r="S100" s="433"/>
      <c r="T100" s="433"/>
      <c r="U100" s="433"/>
      <c r="V100" s="433"/>
      <c r="W100" s="433"/>
      <c r="X100" s="659"/>
      <c r="Y100" s="661"/>
      <c r="Z100" s="433"/>
      <c r="AA100" s="433"/>
      <c r="AB100" s="433"/>
      <c r="AC100" s="433"/>
      <c r="AD100" s="433"/>
      <c r="AE100" s="644"/>
      <c r="AF100" s="661"/>
      <c r="AG100" s="433"/>
      <c r="AH100" s="433"/>
      <c r="AI100" s="433"/>
      <c r="AJ100" s="433"/>
      <c r="AK100" s="433"/>
      <c r="AL100" s="644"/>
    </row>
    <row r="101" spans="2:38" x14ac:dyDescent="0.45">
      <c r="B101" s="785"/>
      <c r="C101" s="277"/>
      <c r="D101" s="211"/>
      <c r="E101" s="275"/>
      <c r="F101" s="239" t="s">
        <v>114</v>
      </c>
      <c r="G101" s="257" t="s">
        <v>166</v>
      </c>
      <c r="H101" s="229"/>
      <c r="I101" s="980">
        <v>0.15</v>
      </c>
      <c r="J101" s="475"/>
      <c r="K101" s="602"/>
      <c r="L101" s="433"/>
      <c r="M101" s="433"/>
      <c r="N101" s="433"/>
      <c r="O101" s="433"/>
      <c r="P101" s="433"/>
      <c r="Q101" s="595"/>
      <c r="R101" s="433"/>
      <c r="S101" s="433"/>
      <c r="T101" s="433"/>
      <c r="U101" s="433"/>
      <c r="V101" s="433"/>
      <c r="W101" s="433"/>
      <c r="X101" s="659"/>
      <c r="Y101" s="661"/>
      <c r="Z101" s="433"/>
      <c r="AA101" s="433"/>
      <c r="AB101" s="433"/>
      <c r="AC101" s="433"/>
      <c r="AD101" s="433"/>
      <c r="AE101" s="644"/>
      <c r="AF101" s="661"/>
      <c r="AG101" s="433"/>
      <c r="AH101" s="433"/>
      <c r="AI101" s="433"/>
      <c r="AJ101" s="433"/>
      <c r="AK101" s="433"/>
      <c r="AL101" s="644"/>
    </row>
    <row r="102" spans="2:38" ht="17" thickBot="1" x14ac:dyDescent="0.5">
      <c r="B102" s="786"/>
      <c r="C102" s="831"/>
      <c r="D102" s="852"/>
      <c r="E102" s="911"/>
      <c r="F102" s="834" t="s">
        <v>115</v>
      </c>
      <c r="G102" s="816" t="s">
        <v>127</v>
      </c>
      <c r="H102" s="835"/>
      <c r="I102" s="981"/>
      <c r="J102" s="793"/>
      <c r="K102" s="763"/>
      <c r="L102" s="655"/>
      <c r="M102" s="655"/>
      <c r="N102" s="655"/>
      <c r="O102" s="655"/>
      <c r="P102" s="655"/>
      <c r="Q102" s="654"/>
      <c r="R102" s="655"/>
      <c r="S102" s="655"/>
      <c r="T102" s="655"/>
      <c r="U102" s="655"/>
      <c r="V102" s="655"/>
      <c r="W102" s="655"/>
      <c r="X102" s="660"/>
      <c r="Y102" s="662"/>
      <c r="Z102" s="655"/>
      <c r="AA102" s="655"/>
      <c r="AB102" s="655"/>
      <c r="AC102" s="655"/>
      <c r="AD102" s="655"/>
      <c r="AE102" s="656"/>
      <c r="AF102" s="662"/>
      <c r="AG102" s="655"/>
      <c r="AH102" s="655"/>
      <c r="AI102" s="655"/>
      <c r="AJ102" s="655"/>
      <c r="AK102" s="655"/>
      <c r="AL102" s="656"/>
    </row>
    <row r="103" spans="2:38" x14ac:dyDescent="0.45">
      <c r="D103" s="112"/>
      <c r="E103" s="195"/>
      <c r="G103" s="111"/>
      <c r="H103" s="111"/>
      <c r="I103" s="111"/>
      <c r="Z103" s="657"/>
      <c r="AA103" s="657"/>
      <c r="AB103" s="657"/>
      <c r="AC103" s="657"/>
      <c r="AD103" s="657"/>
      <c r="AE103" s="657"/>
      <c r="AG103" s="657"/>
      <c r="AH103" s="657"/>
      <c r="AI103" s="657"/>
      <c r="AJ103" s="657"/>
      <c r="AK103" s="657"/>
      <c r="AL103" s="657"/>
    </row>
    <row r="104" spans="2:38" ht="17" thickBot="1" x14ac:dyDescent="0.5">
      <c r="B104" s="749" t="s">
        <v>701</v>
      </c>
      <c r="C104" s="750" t="str">
        <f>RAP!B77</f>
        <v xml:space="preserve">Memasang Pintu Alumunium KM Strip lebar 8 cm </v>
      </c>
      <c r="D104" s="241"/>
      <c r="E104" s="241"/>
      <c r="F104" s="276"/>
      <c r="G104" s="240"/>
      <c r="H104" s="241"/>
      <c r="I104" s="241"/>
      <c r="J104" s="604"/>
      <c r="K104" s="603"/>
      <c r="L104" s="604"/>
      <c r="M104" s="604"/>
      <c r="N104" s="604"/>
      <c r="O104" s="604"/>
      <c r="P104" s="604"/>
      <c r="Q104" s="604"/>
      <c r="R104" s="609"/>
      <c r="S104" s="609"/>
      <c r="T104" s="609"/>
      <c r="U104" s="609"/>
      <c r="V104" s="609"/>
      <c r="W104" s="609"/>
      <c r="X104" s="609"/>
      <c r="Y104" s="609"/>
      <c r="Z104" s="609"/>
      <c r="AA104" s="609"/>
      <c r="AB104" s="609"/>
      <c r="AC104" s="609"/>
      <c r="AD104" s="609"/>
      <c r="AE104" s="609"/>
      <c r="AF104" s="609"/>
      <c r="AG104" s="609"/>
      <c r="AH104" s="609"/>
      <c r="AI104" s="609"/>
      <c r="AJ104" s="609"/>
      <c r="AK104" s="609"/>
      <c r="AL104" s="609"/>
    </row>
    <row r="105" spans="2:38" ht="19.5" customHeight="1" x14ac:dyDescent="0.45">
      <c r="B105" s="1168" t="s">
        <v>99</v>
      </c>
      <c r="C105" s="1171" t="s">
        <v>100</v>
      </c>
      <c r="D105" s="1171" t="s">
        <v>89</v>
      </c>
      <c r="E105" s="1171" t="s">
        <v>101</v>
      </c>
      <c r="F105" s="1171" t="s">
        <v>102</v>
      </c>
      <c r="G105" s="1109" t="s">
        <v>103</v>
      </c>
      <c r="H105" s="1110"/>
      <c r="I105" s="1175"/>
      <c r="J105" s="1152" t="s">
        <v>539</v>
      </c>
      <c r="K105" s="1152"/>
      <c r="L105" s="1152"/>
      <c r="M105" s="1152"/>
      <c r="N105" s="1152"/>
      <c r="O105" s="1152"/>
      <c r="P105" s="1152"/>
      <c r="Q105" s="1152"/>
      <c r="R105" s="1152"/>
      <c r="S105" s="1152"/>
      <c r="T105" s="1152"/>
      <c r="U105" s="1152"/>
      <c r="V105" s="1152"/>
      <c r="W105" s="1152"/>
      <c r="X105" s="1152"/>
      <c r="Y105" s="1153" t="s">
        <v>540</v>
      </c>
      <c r="Z105" s="1154"/>
      <c r="AA105" s="1154"/>
      <c r="AB105" s="1154"/>
      <c r="AC105" s="1154"/>
      <c r="AD105" s="1154"/>
      <c r="AE105" s="1155"/>
      <c r="AF105" s="1156" t="s">
        <v>541</v>
      </c>
      <c r="AG105" s="1157"/>
      <c r="AH105" s="1157"/>
      <c r="AI105" s="1157"/>
      <c r="AJ105" s="1157"/>
      <c r="AK105" s="1157"/>
      <c r="AL105" s="1158"/>
    </row>
    <row r="106" spans="2:38" ht="45" x14ac:dyDescent="0.45">
      <c r="B106" s="1169"/>
      <c r="C106" s="1089"/>
      <c r="D106" s="1089"/>
      <c r="E106" s="1089"/>
      <c r="F106" s="1089"/>
      <c r="G106" s="1026"/>
      <c r="H106" s="1027"/>
      <c r="I106" s="1176"/>
      <c r="J106" s="1185" t="s">
        <v>15</v>
      </c>
      <c r="K106" s="673" t="s">
        <v>493</v>
      </c>
      <c r="L106" s="1161" t="s">
        <v>491</v>
      </c>
      <c r="M106" s="1162"/>
      <c r="N106" s="1162"/>
      <c r="O106" s="1162"/>
      <c r="P106" s="1163"/>
      <c r="Q106" s="674" t="s">
        <v>533</v>
      </c>
      <c r="R106" s="1161" t="s">
        <v>501</v>
      </c>
      <c r="S106" s="1162"/>
      <c r="T106" s="1163"/>
      <c r="U106" s="674" t="s">
        <v>530</v>
      </c>
      <c r="V106" s="674" t="s">
        <v>531</v>
      </c>
      <c r="W106" s="674" t="s">
        <v>578</v>
      </c>
      <c r="X106" s="681" t="s">
        <v>579</v>
      </c>
      <c r="Y106" s="1164" t="s">
        <v>534</v>
      </c>
      <c r="Z106" s="1165"/>
      <c r="AA106" s="663" t="s">
        <v>537</v>
      </c>
      <c r="AB106" s="664" t="s">
        <v>538</v>
      </c>
      <c r="AC106" s="665" t="s">
        <v>530</v>
      </c>
      <c r="AD106" s="665" t="s">
        <v>578</v>
      </c>
      <c r="AE106" s="682" t="s">
        <v>579</v>
      </c>
      <c r="AF106" s="1166" t="s">
        <v>542</v>
      </c>
      <c r="AG106" s="1167"/>
      <c r="AH106" s="737" t="s">
        <v>543</v>
      </c>
      <c r="AI106" s="738" t="s">
        <v>544</v>
      </c>
      <c r="AJ106" s="739" t="s">
        <v>530</v>
      </c>
      <c r="AK106" s="739" t="s">
        <v>578</v>
      </c>
      <c r="AL106" s="740" t="s">
        <v>579</v>
      </c>
    </row>
    <row r="107" spans="2:38" ht="30" x14ac:dyDescent="0.45">
      <c r="B107" s="1170"/>
      <c r="C107" s="1090"/>
      <c r="D107" s="1090"/>
      <c r="E107" s="1090"/>
      <c r="F107" s="1090"/>
      <c r="G107" s="1085"/>
      <c r="H107" s="1086"/>
      <c r="I107" s="1177"/>
      <c r="J107" s="1174"/>
      <c r="K107" s="675" t="s">
        <v>495</v>
      </c>
      <c r="L107" s="676" t="s">
        <v>524</v>
      </c>
      <c r="M107" s="676" t="s">
        <v>525</v>
      </c>
      <c r="N107" s="676" t="s">
        <v>526</v>
      </c>
      <c r="O107" s="675" t="s">
        <v>517</v>
      </c>
      <c r="P107" s="675" t="s">
        <v>290</v>
      </c>
      <c r="Q107" s="675" t="s">
        <v>532</v>
      </c>
      <c r="R107" s="676" t="s">
        <v>527</v>
      </c>
      <c r="S107" s="676" t="s">
        <v>528</v>
      </c>
      <c r="T107" s="677" t="s">
        <v>529</v>
      </c>
      <c r="U107" s="675" t="s">
        <v>502</v>
      </c>
      <c r="V107" s="675" t="s">
        <v>502</v>
      </c>
      <c r="W107" s="675" t="s">
        <v>502</v>
      </c>
      <c r="X107" s="678" t="s">
        <v>504</v>
      </c>
      <c r="Y107" s="666" t="s">
        <v>535</v>
      </c>
      <c r="Z107" s="667" t="s">
        <v>536</v>
      </c>
      <c r="AA107" s="668" t="s">
        <v>532</v>
      </c>
      <c r="AB107" s="668" t="s">
        <v>532</v>
      </c>
      <c r="AC107" s="668" t="s">
        <v>532</v>
      </c>
      <c r="AD107" s="668" t="s">
        <v>532</v>
      </c>
      <c r="AE107" s="669" t="s">
        <v>532</v>
      </c>
      <c r="AF107" s="741" t="s">
        <v>535</v>
      </c>
      <c r="AG107" s="742" t="s">
        <v>536</v>
      </c>
      <c r="AH107" s="743" t="s">
        <v>532</v>
      </c>
      <c r="AI107" s="743" t="s">
        <v>532</v>
      </c>
      <c r="AJ107" s="743" t="s">
        <v>532</v>
      </c>
      <c r="AK107" s="743" t="s">
        <v>532</v>
      </c>
      <c r="AL107" s="744" t="s">
        <v>532</v>
      </c>
    </row>
    <row r="108" spans="2:38" ht="30" x14ac:dyDescent="0.45">
      <c r="B108" s="639" t="s">
        <v>4</v>
      </c>
      <c r="C108" s="600" t="s">
        <v>5</v>
      </c>
      <c r="D108" s="570" t="s">
        <v>6</v>
      </c>
      <c r="E108" s="570" t="s">
        <v>112</v>
      </c>
      <c r="F108" s="570" t="s">
        <v>114</v>
      </c>
      <c r="G108" s="1014" t="s">
        <v>115</v>
      </c>
      <c r="H108" s="1014"/>
      <c r="I108" s="1172"/>
      <c r="J108" s="791" t="s">
        <v>21</v>
      </c>
      <c r="K108" s="675" t="s">
        <v>496</v>
      </c>
      <c r="L108" s="675" t="s">
        <v>497</v>
      </c>
      <c r="M108" s="675" t="s">
        <v>498</v>
      </c>
      <c r="N108" s="675" t="s">
        <v>499</v>
      </c>
      <c r="O108" s="676" t="s">
        <v>552</v>
      </c>
      <c r="P108" s="675" t="s">
        <v>512</v>
      </c>
      <c r="Q108" s="675" t="s">
        <v>503</v>
      </c>
      <c r="R108" s="675" t="s">
        <v>553</v>
      </c>
      <c r="S108" s="675" t="s">
        <v>513</v>
      </c>
      <c r="T108" s="675" t="s">
        <v>514</v>
      </c>
      <c r="U108" s="675" t="s">
        <v>554</v>
      </c>
      <c r="V108" s="675" t="s">
        <v>515</v>
      </c>
      <c r="W108" s="675" t="s">
        <v>555</v>
      </c>
      <c r="X108" s="678" t="s">
        <v>516</v>
      </c>
      <c r="Y108" s="670" t="s">
        <v>556</v>
      </c>
      <c r="Z108" s="671" t="s">
        <v>557</v>
      </c>
      <c r="AA108" s="671" t="s">
        <v>558</v>
      </c>
      <c r="AB108" s="671" t="s">
        <v>559</v>
      </c>
      <c r="AC108" s="671" t="s">
        <v>560</v>
      </c>
      <c r="AD108" s="671" t="s">
        <v>561</v>
      </c>
      <c r="AE108" s="672" t="s">
        <v>562</v>
      </c>
      <c r="AF108" s="745" t="s">
        <v>563</v>
      </c>
      <c r="AG108" s="746" t="s">
        <v>564</v>
      </c>
      <c r="AH108" s="746" t="s">
        <v>565</v>
      </c>
      <c r="AI108" s="746" t="s">
        <v>566</v>
      </c>
      <c r="AJ108" s="746" t="s">
        <v>567</v>
      </c>
      <c r="AK108" s="746" t="s">
        <v>568</v>
      </c>
      <c r="AL108" s="747" t="s">
        <v>569</v>
      </c>
    </row>
    <row r="109" spans="2:38" ht="15.5" x14ac:dyDescent="0.45">
      <c r="B109" s="764">
        <v>5</v>
      </c>
      <c r="C109" s="508" t="s">
        <v>195</v>
      </c>
      <c r="D109" s="892"/>
      <c r="E109" s="584">
        <v>1</v>
      </c>
      <c r="F109" s="583" t="s">
        <v>75</v>
      </c>
      <c r="G109" s="893" t="s">
        <v>252</v>
      </c>
      <c r="H109" s="562"/>
      <c r="I109" s="975"/>
      <c r="J109" s="789"/>
      <c r="K109" s="789"/>
      <c r="L109" s="789"/>
      <c r="M109" s="789"/>
      <c r="N109" s="789"/>
      <c r="O109" s="789"/>
      <c r="P109" s="789"/>
      <c r="Q109" s="789"/>
      <c r="R109" s="789"/>
      <c r="S109" s="789"/>
      <c r="T109" s="789"/>
      <c r="U109" s="789"/>
      <c r="V109" s="789"/>
      <c r="W109" s="789"/>
      <c r="X109" s="789"/>
      <c r="Y109" s="789"/>
      <c r="Z109" s="789"/>
      <c r="AA109" s="789"/>
      <c r="AB109" s="789"/>
      <c r="AC109" s="789"/>
      <c r="AD109" s="789"/>
      <c r="AE109" s="789"/>
      <c r="AF109" s="789"/>
      <c r="AG109" s="789"/>
      <c r="AH109" s="789"/>
      <c r="AI109" s="789"/>
      <c r="AJ109" s="789"/>
      <c r="AK109" s="789"/>
      <c r="AL109" s="790"/>
    </row>
    <row r="110" spans="2:38" x14ac:dyDescent="0.45">
      <c r="B110" s="794"/>
      <c r="C110" s="307"/>
      <c r="D110" s="230"/>
      <c r="E110" s="410"/>
      <c r="F110" s="207" t="s">
        <v>4</v>
      </c>
      <c r="G110" s="231" t="s">
        <v>120</v>
      </c>
      <c r="H110" s="209"/>
      <c r="I110" s="966"/>
      <c r="J110" s="792">
        <f>RAP!E77</f>
        <v>12.777600000000003</v>
      </c>
      <c r="K110" s="601">
        <v>1</v>
      </c>
      <c r="L110" s="319"/>
      <c r="M110" s="319"/>
      <c r="N110" s="319"/>
      <c r="O110" s="598"/>
      <c r="P110" s="598"/>
      <c r="Q110" s="605"/>
      <c r="R110" s="485"/>
      <c r="S110" s="485"/>
      <c r="T110" s="485"/>
      <c r="U110" s="752">
        <f>SUM(R110:R125)+(SUM(S110:S125)+SUM(T110:T125))</f>
        <v>9405000</v>
      </c>
      <c r="V110" s="754">
        <f>RAP!H77</f>
        <v>9914122.9100000001</v>
      </c>
      <c r="W110" s="752">
        <f>V110-U110</f>
        <v>509122.91000000015</v>
      </c>
      <c r="X110" s="760">
        <f>W110/V110*100</f>
        <v>5.1353298180968396</v>
      </c>
      <c r="Y110" s="755">
        <f>SUM(R110:R125)/J110</f>
        <v>20348.109191084393</v>
      </c>
      <c r="Z110" s="757">
        <v>25000</v>
      </c>
      <c r="AA110" s="758">
        <f>J110*Z110</f>
        <v>319440.00000000006</v>
      </c>
      <c r="AB110" s="758">
        <f>SUM(S110:S125)+SUM(T110:T125)</f>
        <v>9145000</v>
      </c>
      <c r="AC110" s="752">
        <f>AA110+AB110</f>
        <v>9464440</v>
      </c>
      <c r="AD110" s="752">
        <f>V110-AC110</f>
        <v>449682.91000000015</v>
      </c>
      <c r="AE110" s="760">
        <f>AD110/V110*100</f>
        <v>4.5357810678988262</v>
      </c>
      <c r="AF110" s="755">
        <f>(SUM(R110:R125)+SUM(S110:S125))/J110</f>
        <v>736053.71900826425</v>
      </c>
      <c r="AG110" s="757">
        <v>725000</v>
      </c>
      <c r="AH110" s="758">
        <f>AG110*J110</f>
        <v>9263760.0000000019</v>
      </c>
      <c r="AI110" s="758">
        <f>SUM(T110:T125)</f>
        <v>0</v>
      </c>
      <c r="AJ110" s="752">
        <f>AH110+AI110</f>
        <v>9263760.0000000019</v>
      </c>
      <c r="AK110" s="752">
        <f>V110-AJ110</f>
        <v>650362.90999999829</v>
      </c>
      <c r="AL110" s="760">
        <f>AK110/V110*100</f>
        <v>6.5599641632846994</v>
      </c>
    </row>
    <row r="111" spans="2:38" x14ac:dyDescent="0.45">
      <c r="B111" s="785"/>
      <c r="C111" s="277"/>
      <c r="D111" s="211" t="s">
        <v>107</v>
      </c>
      <c r="E111" s="394">
        <v>8.5000000000000006E-2</v>
      </c>
      <c r="F111" s="211" t="s">
        <v>108</v>
      </c>
      <c r="G111" s="209" t="s">
        <v>159</v>
      </c>
      <c r="H111" s="209"/>
      <c r="I111" s="966"/>
      <c r="J111" s="475"/>
      <c r="K111" s="602"/>
      <c r="L111" s="433">
        <f>E111*J110/K110</f>
        <v>1.0860960000000004</v>
      </c>
      <c r="M111" s="433"/>
      <c r="N111" s="433"/>
      <c r="O111" s="597">
        <v>1</v>
      </c>
      <c r="P111" s="596" t="str">
        <f>F111</f>
        <v>OH</v>
      </c>
      <c r="Q111" s="608">
        <f>Q88</f>
        <v>75000</v>
      </c>
      <c r="R111" s="453">
        <f>O111*Q111*K110</f>
        <v>75000</v>
      </c>
      <c r="S111" s="453"/>
      <c r="T111" s="453"/>
      <c r="U111" s="753"/>
      <c r="V111" s="753"/>
      <c r="W111" s="753"/>
      <c r="X111" s="761"/>
      <c r="Y111" s="756"/>
      <c r="Z111" s="759"/>
      <c r="AA111" s="759"/>
      <c r="AB111" s="759"/>
      <c r="AC111" s="753"/>
      <c r="AD111" s="753"/>
      <c r="AE111" s="761"/>
      <c r="AF111" s="756"/>
      <c r="AG111" s="759"/>
      <c r="AH111" s="759"/>
      <c r="AI111" s="759"/>
      <c r="AJ111" s="753"/>
      <c r="AK111" s="753"/>
      <c r="AL111" s="761"/>
    </row>
    <row r="112" spans="2:38" x14ac:dyDescent="0.45">
      <c r="B112" s="785"/>
      <c r="C112" s="277"/>
      <c r="D112" s="269" t="s">
        <v>121</v>
      </c>
      <c r="E112" s="383">
        <v>8.5000000000000006E-2</v>
      </c>
      <c r="F112" s="269" t="s">
        <v>108</v>
      </c>
      <c r="G112" s="226" t="s">
        <v>171</v>
      </c>
      <c r="H112" s="226"/>
      <c r="I112" s="974"/>
      <c r="J112" s="475"/>
      <c r="K112" s="602"/>
      <c r="L112" s="433">
        <f>E112*J110/K110</f>
        <v>1.0860960000000004</v>
      </c>
      <c r="M112" s="433"/>
      <c r="N112" s="433"/>
      <c r="O112" s="597">
        <v>1</v>
      </c>
      <c r="P112" s="596" t="str">
        <f>F112</f>
        <v>OH</v>
      </c>
      <c r="Q112" s="608">
        <f>Q89</f>
        <v>85000</v>
      </c>
      <c r="R112" s="453">
        <f>O112*Q112*K110</f>
        <v>85000</v>
      </c>
      <c r="S112" s="453"/>
      <c r="T112" s="453"/>
      <c r="U112" s="753"/>
      <c r="V112" s="753"/>
      <c r="W112" s="753"/>
      <c r="X112" s="761"/>
      <c r="Y112" s="756"/>
      <c r="Z112" s="759"/>
      <c r="AA112" s="759"/>
      <c r="AB112" s="759"/>
      <c r="AC112" s="753"/>
      <c r="AD112" s="753"/>
      <c r="AE112" s="761"/>
      <c r="AF112" s="756"/>
      <c r="AG112" s="759"/>
      <c r="AH112" s="759"/>
      <c r="AI112" s="759"/>
      <c r="AJ112" s="753"/>
      <c r="AK112" s="753"/>
      <c r="AL112" s="761"/>
    </row>
    <row r="113" spans="2:38" x14ac:dyDescent="0.45">
      <c r="B113" s="785"/>
      <c r="C113" s="277"/>
      <c r="D113" s="269" t="s">
        <v>122</v>
      </c>
      <c r="E113" s="395">
        <v>8.5000000000000006E-3</v>
      </c>
      <c r="F113" s="269" t="s">
        <v>108</v>
      </c>
      <c r="G113" s="226" t="s">
        <v>160</v>
      </c>
      <c r="H113" s="226"/>
      <c r="I113" s="974"/>
      <c r="J113" s="475"/>
      <c r="K113" s="602"/>
      <c r="L113" s="433">
        <f>E113*J110/K110</f>
        <v>0.10860960000000003</v>
      </c>
      <c r="M113" s="433"/>
      <c r="N113" s="433"/>
      <c r="O113" s="597">
        <v>0</v>
      </c>
      <c r="P113" s="596" t="str">
        <f>F113</f>
        <v>OH</v>
      </c>
      <c r="Q113" s="608">
        <f>Q90</f>
        <v>90000</v>
      </c>
      <c r="R113" s="453">
        <f>O113*Q113*K110</f>
        <v>0</v>
      </c>
      <c r="S113" s="453"/>
      <c r="T113" s="453"/>
      <c r="U113" s="753"/>
      <c r="V113" s="753"/>
      <c r="W113" s="753"/>
      <c r="X113" s="761"/>
      <c r="Y113" s="756"/>
      <c r="Z113" s="759"/>
      <c r="AA113" s="759"/>
      <c r="AB113" s="759"/>
      <c r="AC113" s="753"/>
      <c r="AD113" s="753"/>
      <c r="AE113" s="761"/>
      <c r="AF113" s="756"/>
      <c r="AG113" s="759"/>
      <c r="AH113" s="759"/>
      <c r="AI113" s="759"/>
      <c r="AJ113" s="753"/>
      <c r="AK113" s="753"/>
      <c r="AL113" s="761"/>
    </row>
    <row r="114" spans="2:38" x14ac:dyDescent="0.45">
      <c r="B114" s="785"/>
      <c r="C114" s="277"/>
      <c r="D114" s="253" t="s">
        <v>109</v>
      </c>
      <c r="E114" s="411">
        <v>4.1999999999999997E-3</v>
      </c>
      <c r="F114" s="253" t="s">
        <v>108</v>
      </c>
      <c r="G114" s="229" t="s">
        <v>161</v>
      </c>
      <c r="H114" s="229"/>
      <c r="I114" s="967"/>
      <c r="J114" s="475"/>
      <c r="K114" s="602"/>
      <c r="L114" s="433">
        <f>E114*J110/K110</f>
        <v>5.3665920000000013E-2</v>
      </c>
      <c r="M114" s="433"/>
      <c r="N114" s="433"/>
      <c r="O114" s="597">
        <v>1</v>
      </c>
      <c r="P114" s="596" t="str">
        <f>F114</f>
        <v>OH</v>
      </c>
      <c r="Q114" s="608">
        <f>Q91</f>
        <v>100000</v>
      </c>
      <c r="R114" s="453">
        <f>O114*Q114*K110</f>
        <v>100000</v>
      </c>
      <c r="S114" s="453"/>
      <c r="T114" s="453"/>
      <c r="U114" s="753"/>
      <c r="V114" s="753"/>
      <c r="W114" s="753"/>
      <c r="X114" s="761"/>
      <c r="Y114" s="756"/>
      <c r="Z114" s="759"/>
      <c r="AA114" s="759"/>
      <c r="AB114" s="759"/>
      <c r="AC114" s="753"/>
      <c r="AD114" s="753"/>
      <c r="AE114" s="761"/>
      <c r="AF114" s="756"/>
      <c r="AG114" s="759"/>
      <c r="AH114" s="759"/>
      <c r="AI114" s="759"/>
      <c r="AJ114" s="753"/>
      <c r="AK114" s="753"/>
      <c r="AL114" s="761"/>
    </row>
    <row r="115" spans="2:38" x14ac:dyDescent="0.45">
      <c r="B115" s="785"/>
      <c r="C115" s="256"/>
      <c r="D115" s="230"/>
      <c r="E115" s="339"/>
      <c r="F115" s="207" t="s">
        <v>5</v>
      </c>
      <c r="G115" s="231" t="s">
        <v>124</v>
      </c>
      <c r="H115" s="209"/>
      <c r="I115" s="966"/>
      <c r="J115" s="475"/>
      <c r="K115" s="602"/>
      <c r="L115" s="433"/>
      <c r="M115" s="433"/>
      <c r="N115" s="433"/>
      <c r="O115" s="597"/>
      <c r="P115" s="596"/>
      <c r="Q115" s="608"/>
      <c r="R115" s="453"/>
      <c r="S115" s="453"/>
      <c r="T115" s="453"/>
      <c r="U115" s="753"/>
      <c r="V115" s="753"/>
      <c r="W115" s="753"/>
      <c r="X115" s="761"/>
      <c r="Y115" s="756"/>
      <c r="Z115" s="759"/>
      <c r="AA115" s="759"/>
      <c r="AB115" s="759"/>
      <c r="AC115" s="753"/>
      <c r="AD115" s="753"/>
      <c r="AE115" s="761"/>
      <c r="AF115" s="756"/>
      <c r="AG115" s="759"/>
      <c r="AH115" s="759"/>
      <c r="AI115" s="759"/>
      <c r="AJ115" s="753"/>
      <c r="AK115" s="753"/>
      <c r="AL115" s="761"/>
    </row>
    <row r="116" spans="2:38" x14ac:dyDescent="0.45">
      <c r="B116" s="785"/>
      <c r="C116" s="256"/>
      <c r="D116" s="938"/>
      <c r="E116" s="940">
        <f>4.4/4</f>
        <v>1.1000000000000001</v>
      </c>
      <c r="F116" s="837" t="s">
        <v>365</v>
      </c>
      <c r="G116" s="821" t="s">
        <v>702</v>
      </c>
      <c r="H116" s="821"/>
      <c r="I116" s="977"/>
      <c r="J116" s="475"/>
      <c r="K116" s="602"/>
      <c r="L116" s="433"/>
      <c r="M116" s="433">
        <f>E116*J110</f>
        <v>14.055360000000004</v>
      </c>
      <c r="N116" s="433"/>
      <c r="O116" s="597">
        <v>15</v>
      </c>
      <c r="P116" s="596" t="str">
        <f>F116</f>
        <v>btg</v>
      </c>
      <c r="Q116" s="608">
        <f>'Harga Bahan RAP'!G134</f>
        <v>500000</v>
      </c>
      <c r="R116" s="453"/>
      <c r="S116" s="453">
        <f>O116*Q116</f>
        <v>7500000</v>
      </c>
      <c r="T116" s="453"/>
      <c r="U116" s="753"/>
      <c r="V116" s="753"/>
      <c r="W116" s="753"/>
      <c r="X116" s="761"/>
      <c r="Y116" s="756"/>
      <c r="Z116" s="759"/>
      <c r="AA116" s="759"/>
      <c r="AB116" s="759"/>
      <c r="AC116" s="753"/>
      <c r="AD116" s="753"/>
      <c r="AE116" s="761"/>
      <c r="AF116" s="756"/>
      <c r="AG116" s="759"/>
      <c r="AH116" s="759"/>
      <c r="AI116" s="759"/>
      <c r="AJ116" s="753"/>
      <c r="AK116" s="753"/>
      <c r="AL116" s="761"/>
    </row>
    <row r="117" spans="2:38" x14ac:dyDescent="0.45">
      <c r="B117" s="785"/>
      <c r="C117" s="256"/>
      <c r="D117" s="938"/>
      <c r="E117" s="941">
        <f>14.6/4</f>
        <v>3.65</v>
      </c>
      <c r="F117" s="837" t="s">
        <v>365</v>
      </c>
      <c r="G117" s="821" t="s">
        <v>253</v>
      </c>
      <c r="H117" s="821"/>
      <c r="I117" s="977"/>
      <c r="J117" s="475"/>
      <c r="K117" s="602"/>
      <c r="L117" s="433"/>
      <c r="M117" s="433">
        <f>E117*J110</f>
        <v>46.63824000000001</v>
      </c>
      <c r="N117" s="433"/>
      <c r="O117" s="597">
        <v>47</v>
      </c>
      <c r="P117" s="596" t="str">
        <f>F117</f>
        <v>btg</v>
      </c>
      <c r="Q117" s="608">
        <f>'Harga Bahan RAP'!G132</f>
        <v>35000</v>
      </c>
      <c r="R117" s="433"/>
      <c r="S117" s="453">
        <f t="shared" ref="S117:S120" si="6">O117*Q117</f>
        <v>1645000</v>
      </c>
      <c r="T117" s="433"/>
      <c r="U117" s="753"/>
      <c r="V117" s="753"/>
      <c r="W117" s="753"/>
      <c r="X117" s="761"/>
      <c r="Y117" s="756"/>
      <c r="Z117" s="759"/>
      <c r="AA117" s="759"/>
      <c r="AB117" s="759"/>
      <c r="AC117" s="753"/>
      <c r="AD117" s="753"/>
      <c r="AE117" s="761"/>
      <c r="AF117" s="756"/>
      <c r="AG117" s="759"/>
      <c r="AH117" s="759"/>
      <c r="AI117" s="759"/>
      <c r="AJ117" s="753"/>
      <c r="AK117" s="753"/>
      <c r="AL117" s="761"/>
    </row>
    <row r="118" spans="2:38" x14ac:dyDescent="0.45">
      <c r="B118" s="785"/>
      <c r="C118" s="256"/>
      <c r="D118" s="230"/>
      <c r="E118" s="942"/>
      <c r="F118" s="211"/>
      <c r="G118" s="209"/>
      <c r="H118" s="209"/>
      <c r="I118" s="966"/>
      <c r="J118" s="475"/>
      <c r="K118" s="602"/>
      <c r="L118" s="433"/>
      <c r="M118" s="433">
        <f>E118*J110</f>
        <v>0</v>
      </c>
      <c r="N118" s="433"/>
      <c r="O118" s="597">
        <v>0</v>
      </c>
      <c r="P118" s="596">
        <f>F118</f>
        <v>0</v>
      </c>
      <c r="Q118" s="608"/>
      <c r="R118" s="433"/>
      <c r="S118" s="453">
        <f t="shared" si="6"/>
        <v>0</v>
      </c>
      <c r="T118" s="433"/>
      <c r="U118" s="753"/>
      <c r="V118" s="753"/>
      <c r="W118" s="753"/>
      <c r="X118" s="761"/>
      <c r="Y118" s="756"/>
      <c r="Z118" s="759"/>
      <c r="AA118" s="759"/>
      <c r="AB118" s="759"/>
      <c r="AC118" s="753"/>
      <c r="AD118" s="753"/>
      <c r="AE118" s="761"/>
      <c r="AF118" s="756"/>
      <c r="AG118" s="759"/>
      <c r="AH118" s="759"/>
      <c r="AI118" s="759"/>
      <c r="AJ118" s="753"/>
      <c r="AK118" s="753"/>
      <c r="AL118" s="761"/>
    </row>
    <row r="119" spans="2:38" x14ac:dyDescent="0.45">
      <c r="B119" s="785"/>
      <c r="C119" s="256"/>
      <c r="D119" s="230"/>
      <c r="E119" s="942"/>
      <c r="F119" s="211"/>
      <c r="G119" s="209"/>
      <c r="H119" s="209"/>
      <c r="I119" s="966"/>
      <c r="J119" s="475"/>
      <c r="K119" s="602"/>
      <c r="L119" s="433"/>
      <c r="M119" s="433">
        <f>E119*J110</f>
        <v>0</v>
      </c>
      <c r="N119" s="433"/>
      <c r="O119" s="597">
        <v>0</v>
      </c>
      <c r="P119" s="596">
        <f>F119</f>
        <v>0</v>
      </c>
      <c r="Q119" s="608">
        <f>'Harga Bahan RAP'!G254</f>
        <v>0</v>
      </c>
      <c r="R119" s="433"/>
      <c r="S119" s="453">
        <f t="shared" si="6"/>
        <v>0</v>
      </c>
      <c r="T119" s="433"/>
      <c r="U119" s="753"/>
      <c r="V119" s="753"/>
      <c r="W119" s="753"/>
      <c r="X119" s="761"/>
      <c r="Y119" s="756"/>
      <c r="Z119" s="759"/>
      <c r="AA119" s="759"/>
      <c r="AB119" s="759"/>
      <c r="AC119" s="753"/>
      <c r="AD119" s="753"/>
      <c r="AE119" s="761"/>
      <c r="AF119" s="756"/>
      <c r="AG119" s="759"/>
      <c r="AH119" s="759"/>
      <c r="AI119" s="759"/>
      <c r="AJ119" s="753"/>
      <c r="AK119" s="753"/>
      <c r="AL119" s="761"/>
    </row>
    <row r="120" spans="2:38" x14ac:dyDescent="0.45">
      <c r="B120" s="785"/>
      <c r="C120" s="256"/>
      <c r="D120" s="230"/>
      <c r="E120" s="942"/>
      <c r="F120" s="211"/>
      <c r="G120" s="209"/>
      <c r="H120" s="209"/>
      <c r="I120" s="966"/>
      <c r="J120" s="475"/>
      <c r="K120" s="602"/>
      <c r="L120" s="433"/>
      <c r="M120" s="433">
        <f>E120*J110</f>
        <v>0</v>
      </c>
      <c r="N120" s="433"/>
      <c r="O120" s="597">
        <v>0</v>
      </c>
      <c r="P120" s="596">
        <f>F120</f>
        <v>0</v>
      </c>
      <c r="Q120" s="608"/>
      <c r="R120" s="433"/>
      <c r="S120" s="453">
        <f t="shared" si="6"/>
        <v>0</v>
      </c>
      <c r="T120" s="433"/>
      <c r="U120" s="753"/>
      <c r="V120" s="753"/>
      <c r="W120" s="753"/>
      <c r="X120" s="761"/>
      <c r="Y120" s="756"/>
      <c r="Z120" s="759"/>
      <c r="AA120" s="759"/>
      <c r="AB120" s="759"/>
      <c r="AC120" s="753"/>
      <c r="AD120" s="753"/>
      <c r="AE120" s="761"/>
      <c r="AF120" s="756"/>
      <c r="AG120" s="759"/>
      <c r="AH120" s="759"/>
      <c r="AI120" s="759"/>
      <c r="AJ120" s="753"/>
      <c r="AK120" s="753"/>
      <c r="AL120" s="761"/>
    </row>
    <row r="121" spans="2:38" x14ac:dyDescent="0.45">
      <c r="B121" s="785"/>
      <c r="C121" s="256"/>
      <c r="D121" s="230"/>
      <c r="E121" s="267"/>
      <c r="F121" s="207" t="s">
        <v>6</v>
      </c>
      <c r="G121" s="208" t="s">
        <v>111</v>
      </c>
      <c r="H121" s="209"/>
      <c r="I121" s="966"/>
      <c r="J121" s="475"/>
      <c r="K121" s="602"/>
      <c r="L121" s="433"/>
      <c r="M121" s="433"/>
      <c r="N121" s="433"/>
      <c r="O121" s="597"/>
      <c r="P121" s="596"/>
      <c r="Q121" s="608"/>
      <c r="R121" s="433"/>
      <c r="S121" s="433"/>
      <c r="T121" s="433"/>
      <c r="U121" s="433"/>
      <c r="V121" s="433"/>
      <c r="W121" s="433"/>
      <c r="X121" s="659"/>
      <c r="Y121" s="661"/>
      <c r="Z121" s="433"/>
      <c r="AA121" s="433"/>
      <c r="AB121" s="433"/>
      <c r="AC121" s="433"/>
      <c r="AD121" s="433"/>
      <c r="AE121" s="644"/>
      <c r="AF121" s="661"/>
      <c r="AG121" s="433"/>
      <c r="AH121" s="433"/>
      <c r="AI121" s="433"/>
      <c r="AJ121" s="433"/>
      <c r="AK121" s="433"/>
      <c r="AL121" s="644"/>
    </row>
    <row r="122" spans="2:38" x14ac:dyDescent="0.45">
      <c r="B122" s="785"/>
      <c r="C122" s="256"/>
      <c r="D122" s="230"/>
      <c r="E122" s="267"/>
      <c r="F122" s="207"/>
      <c r="G122" s="208"/>
      <c r="H122" s="209"/>
      <c r="I122" s="966"/>
      <c r="J122" s="475"/>
      <c r="K122" s="602"/>
      <c r="L122" s="433"/>
      <c r="M122" s="433"/>
      <c r="N122" s="433">
        <f>E122*J110</f>
        <v>0</v>
      </c>
      <c r="O122" s="597">
        <v>0</v>
      </c>
      <c r="P122" s="596">
        <v>0</v>
      </c>
      <c r="Q122" s="608"/>
      <c r="R122" s="433"/>
      <c r="S122" s="433"/>
      <c r="T122" s="453">
        <f>O122*Q122</f>
        <v>0</v>
      </c>
      <c r="U122" s="433"/>
      <c r="V122" s="433"/>
      <c r="W122" s="433"/>
      <c r="X122" s="659"/>
      <c r="Y122" s="661"/>
      <c r="Z122" s="433"/>
      <c r="AA122" s="433"/>
      <c r="AB122" s="433"/>
      <c r="AC122" s="433"/>
      <c r="AD122" s="433"/>
      <c r="AE122" s="644"/>
      <c r="AF122" s="661"/>
      <c r="AG122" s="433"/>
      <c r="AH122" s="433"/>
      <c r="AI122" s="433"/>
      <c r="AJ122" s="433"/>
      <c r="AK122" s="433"/>
      <c r="AL122" s="644"/>
    </row>
    <row r="123" spans="2:38" x14ac:dyDescent="0.45">
      <c r="B123" s="785"/>
      <c r="C123" s="256"/>
      <c r="D123" s="230"/>
      <c r="E123" s="267"/>
      <c r="F123" s="207" t="s">
        <v>112</v>
      </c>
      <c r="G123" s="208" t="s">
        <v>113</v>
      </c>
      <c r="H123" s="209"/>
      <c r="I123" s="966"/>
      <c r="J123" s="475"/>
      <c r="K123" s="602"/>
      <c r="L123" s="433"/>
      <c r="M123" s="433"/>
      <c r="N123" s="433"/>
      <c r="O123" s="433"/>
      <c r="P123" s="433"/>
      <c r="Q123" s="595"/>
      <c r="R123" s="433"/>
      <c r="S123" s="433"/>
      <c r="T123" s="433"/>
      <c r="U123" s="433"/>
      <c r="V123" s="433"/>
      <c r="W123" s="433"/>
      <c r="X123" s="659"/>
      <c r="Y123" s="661"/>
      <c r="Z123" s="433"/>
      <c r="AA123" s="433"/>
      <c r="AB123" s="433"/>
      <c r="AC123" s="433"/>
      <c r="AD123" s="433"/>
      <c r="AE123" s="644"/>
      <c r="AF123" s="661"/>
      <c r="AG123" s="433"/>
      <c r="AH123" s="433"/>
      <c r="AI123" s="433"/>
      <c r="AJ123" s="433"/>
      <c r="AK123" s="433"/>
      <c r="AL123" s="644"/>
    </row>
    <row r="124" spans="2:38" x14ac:dyDescent="0.45">
      <c r="B124" s="785"/>
      <c r="C124" s="277"/>
      <c r="D124" s="211"/>
      <c r="E124" s="275"/>
      <c r="F124" s="239" t="s">
        <v>114</v>
      </c>
      <c r="G124" s="257" t="s">
        <v>166</v>
      </c>
      <c r="H124" s="229"/>
      <c r="I124" s="980">
        <v>0.15</v>
      </c>
      <c r="J124" s="475"/>
      <c r="K124" s="602"/>
      <c r="L124" s="433"/>
      <c r="M124" s="433"/>
      <c r="N124" s="433"/>
      <c r="O124" s="433"/>
      <c r="P124" s="433"/>
      <c r="Q124" s="595"/>
      <c r="R124" s="433"/>
      <c r="S124" s="433"/>
      <c r="T124" s="433"/>
      <c r="U124" s="433"/>
      <c r="V124" s="433"/>
      <c r="W124" s="433"/>
      <c r="X124" s="659"/>
      <c r="Y124" s="661"/>
      <c r="Z124" s="433"/>
      <c r="AA124" s="433"/>
      <c r="AB124" s="433"/>
      <c r="AC124" s="433"/>
      <c r="AD124" s="433"/>
      <c r="AE124" s="644"/>
      <c r="AF124" s="661"/>
      <c r="AG124" s="433"/>
      <c r="AH124" s="433"/>
      <c r="AI124" s="433"/>
      <c r="AJ124" s="433"/>
      <c r="AK124" s="433"/>
      <c r="AL124" s="644"/>
    </row>
    <row r="125" spans="2:38" ht="17" thickBot="1" x14ac:dyDescent="0.5">
      <c r="B125" s="786"/>
      <c r="C125" s="831"/>
      <c r="D125" s="852"/>
      <c r="E125" s="911"/>
      <c r="F125" s="834" t="s">
        <v>115</v>
      </c>
      <c r="G125" s="816" t="s">
        <v>127</v>
      </c>
      <c r="H125" s="835"/>
      <c r="I125" s="981"/>
      <c r="J125" s="793"/>
      <c r="K125" s="763"/>
      <c r="L125" s="655"/>
      <c r="M125" s="655"/>
      <c r="N125" s="655"/>
      <c r="O125" s="655"/>
      <c r="P125" s="655"/>
      <c r="Q125" s="654"/>
      <c r="R125" s="655"/>
      <c r="S125" s="655"/>
      <c r="T125" s="655"/>
      <c r="U125" s="655"/>
      <c r="V125" s="655"/>
      <c r="W125" s="655"/>
      <c r="X125" s="660"/>
      <c r="Y125" s="662"/>
      <c r="Z125" s="655"/>
      <c r="AA125" s="655"/>
      <c r="AB125" s="655"/>
      <c r="AC125" s="655"/>
      <c r="AD125" s="655"/>
      <c r="AE125" s="656"/>
      <c r="AF125" s="662"/>
      <c r="AG125" s="655"/>
      <c r="AH125" s="655"/>
      <c r="AI125" s="655"/>
      <c r="AJ125" s="655"/>
      <c r="AK125" s="655"/>
      <c r="AL125" s="656"/>
    </row>
    <row r="126" spans="2:38" x14ac:dyDescent="0.45">
      <c r="D126" s="112"/>
      <c r="E126" s="195"/>
      <c r="G126" s="111"/>
      <c r="H126" s="111"/>
      <c r="I126" s="111"/>
      <c r="Z126" s="657"/>
      <c r="AA126" s="657"/>
      <c r="AB126" s="657"/>
      <c r="AC126" s="657"/>
      <c r="AD126" s="657"/>
      <c r="AE126" s="657"/>
      <c r="AG126" s="657"/>
      <c r="AH126" s="657"/>
      <c r="AI126" s="657"/>
      <c r="AJ126" s="657"/>
      <c r="AK126" s="657"/>
      <c r="AL126" s="657"/>
    </row>
    <row r="127" spans="2:38" ht="17" thickBot="1" x14ac:dyDescent="0.5">
      <c r="B127" s="749" t="s">
        <v>704</v>
      </c>
      <c r="C127" s="750" t="str">
        <f>RAP!B79</f>
        <v>Memasang Kaca Bening 5 mm</v>
      </c>
      <c r="D127" s="241"/>
      <c r="E127" s="241"/>
      <c r="F127" s="276"/>
      <c r="G127" s="240"/>
      <c r="H127" s="241"/>
      <c r="I127" s="241"/>
      <c r="J127" s="604"/>
      <c r="K127" s="603"/>
      <c r="L127" s="604"/>
      <c r="M127" s="604"/>
      <c r="N127" s="604"/>
      <c r="O127" s="604"/>
      <c r="P127" s="604"/>
      <c r="Q127" s="604"/>
      <c r="R127" s="609"/>
      <c r="S127" s="609"/>
      <c r="T127" s="609"/>
      <c r="U127" s="609"/>
      <c r="V127" s="609"/>
      <c r="W127" s="609"/>
      <c r="X127" s="609"/>
      <c r="Y127" s="609"/>
      <c r="Z127" s="609"/>
      <c r="AA127" s="609"/>
      <c r="AB127" s="609"/>
      <c r="AC127" s="609"/>
      <c r="AD127" s="609"/>
      <c r="AE127" s="609"/>
      <c r="AF127" s="609"/>
      <c r="AG127" s="609"/>
      <c r="AH127" s="609"/>
      <c r="AI127" s="609"/>
      <c r="AJ127" s="609"/>
      <c r="AK127" s="609"/>
      <c r="AL127" s="609"/>
    </row>
    <row r="128" spans="2:38" ht="19.5" customHeight="1" x14ac:dyDescent="0.45">
      <c r="B128" s="1168" t="s">
        <v>99</v>
      </c>
      <c r="C128" s="1171" t="s">
        <v>100</v>
      </c>
      <c r="D128" s="1171" t="s">
        <v>89</v>
      </c>
      <c r="E128" s="1171" t="s">
        <v>101</v>
      </c>
      <c r="F128" s="1171" t="s">
        <v>102</v>
      </c>
      <c r="G128" s="1109" t="s">
        <v>103</v>
      </c>
      <c r="H128" s="1110"/>
      <c r="I128" s="1175"/>
      <c r="J128" s="1152" t="s">
        <v>539</v>
      </c>
      <c r="K128" s="1152"/>
      <c r="L128" s="1152"/>
      <c r="M128" s="1152"/>
      <c r="N128" s="1152"/>
      <c r="O128" s="1152"/>
      <c r="P128" s="1152"/>
      <c r="Q128" s="1152"/>
      <c r="R128" s="1152"/>
      <c r="S128" s="1152"/>
      <c r="T128" s="1152"/>
      <c r="U128" s="1152"/>
      <c r="V128" s="1152"/>
      <c r="W128" s="1152"/>
      <c r="X128" s="1152"/>
      <c r="Y128" s="1153" t="s">
        <v>540</v>
      </c>
      <c r="Z128" s="1154"/>
      <c r="AA128" s="1154"/>
      <c r="AB128" s="1154"/>
      <c r="AC128" s="1154"/>
      <c r="AD128" s="1154"/>
      <c r="AE128" s="1155"/>
      <c r="AF128" s="1156" t="s">
        <v>541</v>
      </c>
      <c r="AG128" s="1157"/>
      <c r="AH128" s="1157"/>
      <c r="AI128" s="1157"/>
      <c r="AJ128" s="1157"/>
      <c r="AK128" s="1157"/>
      <c r="AL128" s="1158"/>
    </row>
    <row r="129" spans="2:38" ht="45" x14ac:dyDescent="0.45">
      <c r="B129" s="1169"/>
      <c r="C129" s="1089"/>
      <c r="D129" s="1089"/>
      <c r="E129" s="1089"/>
      <c r="F129" s="1089"/>
      <c r="G129" s="1026"/>
      <c r="H129" s="1027"/>
      <c r="I129" s="1176"/>
      <c r="J129" s="1185" t="s">
        <v>15</v>
      </c>
      <c r="K129" s="673" t="s">
        <v>493</v>
      </c>
      <c r="L129" s="1161" t="s">
        <v>491</v>
      </c>
      <c r="M129" s="1162"/>
      <c r="N129" s="1162"/>
      <c r="O129" s="1162"/>
      <c r="P129" s="1163"/>
      <c r="Q129" s="674" t="s">
        <v>533</v>
      </c>
      <c r="R129" s="1161" t="s">
        <v>501</v>
      </c>
      <c r="S129" s="1162"/>
      <c r="T129" s="1163"/>
      <c r="U129" s="674" t="s">
        <v>530</v>
      </c>
      <c r="V129" s="674" t="s">
        <v>531</v>
      </c>
      <c r="W129" s="674" t="s">
        <v>578</v>
      </c>
      <c r="X129" s="681" t="s">
        <v>579</v>
      </c>
      <c r="Y129" s="1164" t="s">
        <v>534</v>
      </c>
      <c r="Z129" s="1165"/>
      <c r="AA129" s="663" t="s">
        <v>537</v>
      </c>
      <c r="AB129" s="664" t="s">
        <v>538</v>
      </c>
      <c r="AC129" s="665" t="s">
        <v>530</v>
      </c>
      <c r="AD129" s="665" t="s">
        <v>578</v>
      </c>
      <c r="AE129" s="682" t="s">
        <v>579</v>
      </c>
      <c r="AF129" s="1166" t="s">
        <v>542</v>
      </c>
      <c r="AG129" s="1167"/>
      <c r="AH129" s="737" t="s">
        <v>543</v>
      </c>
      <c r="AI129" s="738" t="s">
        <v>544</v>
      </c>
      <c r="AJ129" s="739" t="s">
        <v>530</v>
      </c>
      <c r="AK129" s="739" t="s">
        <v>578</v>
      </c>
      <c r="AL129" s="740" t="s">
        <v>579</v>
      </c>
    </row>
    <row r="130" spans="2:38" ht="30" x14ac:dyDescent="0.45">
      <c r="B130" s="1170"/>
      <c r="C130" s="1090"/>
      <c r="D130" s="1090"/>
      <c r="E130" s="1090"/>
      <c r="F130" s="1090"/>
      <c r="G130" s="1085"/>
      <c r="H130" s="1086"/>
      <c r="I130" s="1177"/>
      <c r="J130" s="1174"/>
      <c r="K130" s="675" t="s">
        <v>495</v>
      </c>
      <c r="L130" s="676" t="s">
        <v>524</v>
      </c>
      <c r="M130" s="676" t="s">
        <v>525</v>
      </c>
      <c r="N130" s="676" t="s">
        <v>526</v>
      </c>
      <c r="O130" s="675" t="s">
        <v>517</v>
      </c>
      <c r="P130" s="675" t="s">
        <v>290</v>
      </c>
      <c r="Q130" s="675" t="s">
        <v>532</v>
      </c>
      <c r="R130" s="676" t="s">
        <v>527</v>
      </c>
      <c r="S130" s="676" t="s">
        <v>528</v>
      </c>
      <c r="T130" s="677" t="s">
        <v>529</v>
      </c>
      <c r="U130" s="675" t="s">
        <v>502</v>
      </c>
      <c r="V130" s="675" t="s">
        <v>502</v>
      </c>
      <c r="W130" s="675" t="s">
        <v>502</v>
      </c>
      <c r="X130" s="678" t="s">
        <v>504</v>
      </c>
      <c r="Y130" s="666" t="s">
        <v>535</v>
      </c>
      <c r="Z130" s="667" t="s">
        <v>536</v>
      </c>
      <c r="AA130" s="668" t="s">
        <v>532</v>
      </c>
      <c r="AB130" s="668" t="s">
        <v>532</v>
      </c>
      <c r="AC130" s="668" t="s">
        <v>532</v>
      </c>
      <c r="AD130" s="668" t="s">
        <v>532</v>
      </c>
      <c r="AE130" s="669" t="s">
        <v>532</v>
      </c>
      <c r="AF130" s="741" t="s">
        <v>535</v>
      </c>
      <c r="AG130" s="742" t="s">
        <v>536</v>
      </c>
      <c r="AH130" s="743" t="s">
        <v>532</v>
      </c>
      <c r="AI130" s="743" t="s">
        <v>532</v>
      </c>
      <c r="AJ130" s="743" t="s">
        <v>532</v>
      </c>
      <c r="AK130" s="743" t="s">
        <v>532</v>
      </c>
      <c r="AL130" s="744" t="s">
        <v>532</v>
      </c>
    </row>
    <row r="131" spans="2:38" ht="30" x14ac:dyDescent="0.45">
      <c r="B131" s="639" t="s">
        <v>4</v>
      </c>
      <c r="C131" s="600" t="s">
        <v>5</v>
      </c>
      <c r="D131" s="570" t="s">
        <v>6</v>
      </c>
      <c r="E131" s="570" t="s">
        <v>112</v>
      </c>
      <c r="F131" s="570" t="s">
        <v>114</v>
      </c>
      <c r="G131" s="1014" t="s">
        <v>115</v>
      </c>
      <c r="H131" s="1014"/>
      <c r="I131" s="1172"/>
      <c r="J131" s="791" t="s">
        <v>21</v>
      </c>
      <c r="K131" s="675" t="s">
        <v>496</v>
      </c>
      <c r="L131" s="675" t="s">
        <v>497</v>
      </c>
      <c r="M131" s="675" t="s">
        <v>498</v>
      </c>
      <c r="N131" s="675" t="s">
        <v>499</v>
      </c>
      <c r="O131" s="676" t="s">
        <v>552</v>
      </c>
      <c r="P131" s="675" t="s">
        <v>512</v>
      </c>
      <c r="Q131" s="675" t="s">
        <v>503</v>
      </c>
      <c r="R131" s="675" t="s">
        <v>553</v>
      </c>
      <c r="S131" s="675" t="s">
        <v>513</v>
      </c>
      <c r="T131" s="675" t="s">
        <v>514</v>
      </c>
      <c r="U131" s="675" t="s">
        <v>554</v>
      </c>
      <c r="V131" s="675" t="s">
        <v>515</v>
      </c>
      <c r="W131" s="675" t="s">
        <v>555</v>
      </c>
      <c r="X131" s="678" t="s">
        <v>516</v>
      </c>
      <c r="Y131" s="670" t="s">
        <v>556</v>
      </c>
      <c r="Z131" s="671" t="s">
        <v>557</v>
      </c>
      <c r="AA131" s="671" t="s">
        <v>558</v>
      </c>
      <c r="AB131" s="671" t="s">
        <v>559</v>
      </c>
      <c r="AC131" s="671" t="s">
        <v>560</v>
      </c>
      <c r="AD131" s="671" t="s">
        <v>561</v>
      </c>
      <c r="AE131" s="672" t="s">
        <v>562</v>
      </c>
      <c r="AF131" s="745" t="s">
        <v>563</v>
      </c>
      <c r="AG131" s="746" t="s">
        <v>564</v>
      </c>
      <c r="AH131" s="746" t="s">
        <v>565</v>
      </c>
      <c r="AI131" s="746" t="s">
        <v>566</v>
      </c>
      <c r="AJ131" s="746" t="s">
        <v>567</v>
      </c>
      <c r="AK131" s="746" t="s">
        <v>568</v>
      </c>
      <c r="AL131" s="747" t="s">
        <v>569</v>
      </c>
    </row>
    <row r="132" spans="2:38" ht="15.5" x14ac:dyDescent="0.45">
      <c r="B132" s="640">
        <v>6</v>
      </c>
      <c r="C132" s="439" t="s">
        <v>207</v>
      </c>
      <c r="D132" s="486"/>
      <c r="E132" s="441">
        <v>1</v>
      </c>
      <c r="F132" s="486" t="s">
        <v>75</v>
      </c>
      <c r="G132" s="487" t="s">
        <v>479</v>
      </c>
      <c r="H132" s="458"/>
      <c r="I132" s="972"/>
      <c r="J132" s="789"/>
      <c r="K132" s="789"/>
      <c r="L132" s="789"/>
      <c r="M132" s="789"/>
      <c r="N132" s="789"/>
      <c r="O132" s="789"/>
      <c r="P132" s="789"/>
      <c r="Q132" s="789"/>
      <c r="R132" s="789"/>
      <c r="S132" s="789"/>
      <c r="T132" s="789"/>
      <c r="U132" s="789"/>
      <c r="V132" s="789"/>
      <c r="W132" s="789"/>
      <c r="X132" s="789"/>
      <c r="Y132" s="789"/>
      <c r="Z132" s="789"/>
      <c r="AA132" s="789"/>
      <c r="AB132" s="789"/>
      <c r="AC132" s="789"/>
      <c r="AD132" s="789"/>
      <c r="AE132" s="789"/>
      <c r="AF132" s="789"/>
      <c r="AG132" s="789"/>
      <c r="AH132" s="789"/>
      <c r="AI132" s="789"/>
      <c r="AJ132" s="789"/>
      <c r="AK132" s="789"/>
      <c r="AL132" s="790"/>
    </row>
    <row r="133" spans="2:38" x14ac:dyDescent="0.45">
      <c r="B133" s="849"/>
      <c r="C133" s="307"/>
      <c r="D133" s="344"/>
      <c r="E133" s="359"/>
      <c r="F133" s="207" t="s">
        <v>4</v>
      </c>
      <c r="G133" s="231" t="s">
        <v>120</v>
      </c>
      <c r="H133" s="209"/>
      <c r="I133" s="966"/>
      <c r="J133" s="792">
        <f>RAP!E79</f>
        <v>152.84880000000004</v>
      </c>
      <c r="K133" s="601">
        <v>3</v>
      </c>
      <c r="L133" s="319"/>
      <c r="M133" s="319"/>
      <c r="N133" s="319"/>
      <c r="O133" s="598"/>
      <c r="P133" s="598"/>
      <c r="Q133" s="605"/>
      <c r="R133" s="485"/>
      <c r="S133" s="485"/>
      <c r="T133" s="485"/>
      <c r="U133" s="752">
        <f>SUM(R133:R148)+(SUM(S133:S148)+SUM(T133:T148))</f>
        <v>19745000</v>
      </c>
      <c r="V133" s="754">
        <f>RAP!H79</f>
        <v>22478689.670000002</v>
      </c>
      <c r="W133" s="752">
        <f>V133-U133</f>
        <v>2733689.6700000018</v>
      </c>
      <c r="X133" s="760">
        <f>W133/V133*100</f>
        <v>12.161250100126505</v>
      </c>
      <c r="Y133" s="755">
        <f>SUM(R133:R148)/J133</f>
        <v>16781.28974515992</v>
      </c>
      <c r="Z133" s="757">
        <v>16000</v>
      </c>
      <c r="AA133" s="758">
        <f>J133*Z133</f>
        <v>2445580.8000000007</v>
      </c>
      <c r="AB133" s="758">
        <f>SUM(S133:S148)+SUM(T133:T148)</f>
        <v>17180000</v>
      </c>
      <c r="AC133" s="752">
        <f>AA133+AB133</f>
        <v>19625580.800000001</v>
      </c>
      <c r="AD133" s="752">
        <f>V133-AC133</f>
        <v>2853108.870000001</v>
      </c>
      <c r="AE133" s="760">
        <f>AD133/V133*100</f>
        <v>12.692505265588288</v>
      </c>
      <c r="AF133" s="755">
        <f>(SUM(R133:R148)+SUM(S133:S148))/J133</f>
        <v>129179.94776537333</v>
      </c>
      <c r="AG133" s="757">
        <v>125000</v>
      </c>
      <c r="AH133" s="758">
        <f>AG133*J133</f>
        <v>19106100.000000004</v>
      </c>
      <c r="AI133" s="758">
        <f>SUM(T133:T148)</f>
        <v>0</v>
      </c>
      <c r="AJ133" s="752">
        <f>AH133+AI133</f>
        <v>19106100.000000004</v>
      </c>
      <c r="AK133" s="752">
        <f>V133-AJ133</f>
        <v>3372589.6699999981</v>
      </c>
      <c r="AL133" s="760">
        <f>AK133/V133*100</f>
        <v>15.003497621576434</v>
      </c>
    </row>
    <row r="134" spans="2:38" ht="15.5" x14ac:dyDescent="0.45">
      <c r="B134" s="850"/>
      <c r="C134" s="277"/>
      <c r="D134" s="279" t="s">
        <v>107</v>
      </c>
      <c r="E134" s="299">
        <v>1.4999999999999999E-2</v>
      </c>
      <c r="F134" s="267" t="s">
        <v>108</v>
      </c>
      <c r="G134" s="339" t="s">
        <v>51</v>
      </c>
      <c r="H134" s="209"/>
      <c r="I134" s="966"/>
      <c r="J134" s="475"/>
      <c r="K134" s="602"/>
      <c r="L134" s="433">
        <f>E134*J133/K133</f>
        <v>0.76424400000000015</v>
      </c>
      <c r="M134" s="433"/>
      <c r="N134" s="433"/>
      <c r="O134" s="597">
        <v>1</v>
      </c>
      <c r="P134" s="596" t="str">
        <f>F134</f>
        <v>OH</v>
      </c>
      <c r="Q134" s="608">
        <f>Q111</f>
        <v>75000</v>
      </c>
      <c r="R134" s="453">
        <f>O134*Q134*K133</f>
        <v>225000</v>
      </c>
      <c r="S134" s="453"/>
      <c r="T134" s="453"/>
      <c r="U134" s="753"/>
      <c r="V134" s="753"/>
      <c r="W134" s="753"/>
      <c r="X134" s="761"/>
      <c r="Y134" s="756"/>
      <c r="Z134" s="759"/>
      <c r="AA134" s="759"/>
      <c r="AB134" s="759"/>
      <c r="AC134" s="753"/>
      <c r="AD134" s="753"/>
      <c r="AE134" s="761"/>
      <c r="AF134" s="756"/>
      <c r="AG134" s="759"/>
      <c r="AH134" s="759"/>
      <c r="AI134" s="759"/>
      <c r="AJ134" s="753"/>
      <c r="AK134" s="753"/>
      <c r="AL134" s="761"/>
    </row>
    <row r="135" spans="2:38" ht="15.5" x14ac:dyDescent="0.45">
      <c r="B135" s="850"/>
      <c r="C135" s="277"/>
      <c r="D135" s="279" t="s">
        <v>121</v>
      </c>
      <c r="E135" s="222">
        <v>0.15</v>
      </c>
      <c r="F135" s="267" t="s">
        <v>108</v>
      </c>
      <c r="G135" s="339" t="s">
        <v>58</v>
      </c>
      <c r="H135" s="209"/>
      <c r="I135" s="966"/>
      <c r="J135" s="475"/>
      <c r="K135" s="602"/>
      <c r="L135" s="433">
        <f>E135*J133/K133</f>
        <v>7.6424400000000015</v>
      </c>
      <c r="M135" s="433"/>
      <c r="N135" s="433"/>
      <c r="O135" s="597">
        <v>8</v>
      </c>
      <c r="P135" s="596" t="str">
        <f>F135</f>
        <v>OH</v>
      </c>
      <c r="Q135" s="608">
        <f>Q112</f>
        <v>85000</v>
      </c>
      <c r="R135" s="453">
        <f>O135*Q135*K133</f>
        <v>2040000</v>
      </c>
      <c r="S135" s="453"/>
      <c r="T135" s="453"/>
      <c r="U135" s="753"/>
      <c r="V135" s="753"/>
      <c r="W135" s="753"/>
      <c r="X135" s="761"/>
      <c r="Y135" s="756"/>
      <c r="Z135" s="759"/>
      <c r="AA135" s="759"/>
      <c r="AB135" s="759"/>
      <c r="AC135" s="753"/>
      <c r="AD135" s="753"/>
      <c r="AE135" s="761"/>
      <c r="AF135" s="756"/>
      <c r="AG135" s="759"/>
      <c r="AH135" s="759"/>
      <c r="AI135" s="759"/>
      <c r="AJ135" s="753"/>
      <c r="AK135" s="753"/>
      <c r="AL135" s="761"/>
    </row>
    <row r="136" spans="2:38" ht="15.5" x14ac:dyDescent="0.45">
      <c r="B136" s="850"/>
      <c r="C136" s="277"/>
      <c r="D136" s="279" t="s">
        <v>122</v>
      </c>
      <c r="E136" s="299">
        <v>1.4999999999999999E-2</v>
      </c>
      <c r="F136" s="267" t="s">
        <v>108</v>
      </c>
      <c r="G136" s="339" t="s">
        <v>123</v>
      </c>
      <c r="H136" s="209"/>
      <c r="I136" s="966"/>
      <c r="J136" s="475"/>
      <c r="K136" s="602"/>
      <c r="L136" s="433">
        <f>E136*J133/K133</f>
        <v>0.76424400000000015</v>
      </c>
      <c r="M136" s="433"/>
      <c r="N136" s="433"/>
      <c r="O136" s="597">
        <v>0</v>
      </c>
      <c r="P136" s="596" t="str">
        <f>F136</f>
        <v>OH</v>
      </c>
      <c r="Q136" s="608">
        <f>Q113</f>
        <v>90000</v>
      </c>
      <c r="R136" s="453">
        <f>O136*Q136*K133</f>
        <v>0</v>
      </c>
      <c r="S136" s="453"/>
      <c r="T136" s="453"/>
      <c r="U136" s="753"/>
      <c r="V136" s="753"/>
      <c r="W136" s="753"/>
      <c r="X136" s="761"/>
      <c r="Y136" s="756"/>
      <c r="Z136" s="759"/>
      <c r="AA136" s="759"/>
      <c r="AB136" s="759"/>
      <c r="AC136" s="753"/>
      <c r="AD136" s="753"/>
      <c r="AE136" s="761"/>
      <c r="AF136" s="756"/>
      <c r="AG136" s="759"/>
      <c r="AH136" s="759"/>
      <c r="AI136" s="759"/>
      <c r="AJ136" s="753"/>
      <c r="AK136" s="753"/>
      <c r="AL136" s="761"/>
    </row>
    <row r="137" spans="2:38" ht="15.5" x14ac:dyDescent="0.45">
      <c r="B137" s="850"/>
      <c r="C137" s="277"/>
      <c r="D137" s="343" t="s">
        <v>109</v>
      </c>
      <c r="E137" s="416">
        <v>7.5000000000000002E-4</v>
      </c>
      <c r="F137" s="275" t="s">
        <v>108</v>
      </c>
      <c r="G137" s="351" t="s">
        <v>52</v>
      </c>
      <c r="H137" s="229"/>
      <c r="I137" s="967"/>
      <c r="J137" s="475"/>
      <c r="K137" s="602"/>
      <c r="L137" s="433">
        <f>E137*J133/K133</f>
        <v>3.8212200000000009E-2</v>
      </c>
      <c r="M137" s="433"/>
      <c r="N137" s="433"/>
      <c r="O137" s="597">
        <v>1</v>
      </c>
      <c r="P137" s="596" t="str">
        <f>F137</f>
        <v>OH</v>
      </c>
      <c r="Q137" s="608">
        <f>Q114</f>
        <v>100000</v>
      </c>
      <c r="R137" s="453">
        <f>O137*Q137*K133</f>
        <v>300000</v>
      </c>
      <c r="S137" s="453"/>
      <c r="T137" s="453"/>
      <c r="U137" s="753"/>
      <c r="V137" s="753"/>
      <c r="W137" s="753"/>
      <c r="X137" s="761"/>
      <c r="Y137" s="756"/>
      <c r="Z137" s="759"/>
      <c r="AA137" s="759"/>
      <c r="AB137" s="759"/>
      <c r="AC137" s="753"/>
      <c r="AD137" s="753"/>
      <c r="AE137" s="761"/>
      <c r="AF137" s="756"/>
      <c r="AG137" s="759"/>
      <c r="AH137" s="759"/>
      <c r="AI137" s="759"/>
      <c r="AJ137" s="753"/>
      <c r="AK137" s="753"/>
      <c r="AL137" s="761"/>
    </row>
    <row r="138" spans="2:38" x14ac:dyDescent="0.45">
      <c r="B138" s="850"/>
      <c r="C138" s="277"/>
      <c r="D138" s="344"/>
      <c r="E138" s="361"/>
      <c r="F138" s="285" t="s">
        <v>5</v>
      </c>
      <c r="G138" s="353" t="s">
        <v>139</v>
      </c>
      <c r="H138" s="209"/>
      <c r="I138" s="966"/>
      <c r="J138" s="475"/>
      <c r="K138" s="602"/>
      <c r="L138" s="433"/>
      <c r="M138" s="433"/>
      <c r="N138" s="433"/>
      <c r="O138" s="597"/>
      <c r="P138" s="596"/>
      <c r="Q138" s="608"/>
      <c r="R138" s="453"/>
      <c r="S138" s="453"/>
      <c r="T138" s="453"/>
      <c r="U138" s="753"/>
      <c r="V138" s="753"/>
      <c r="W138" s="753"/>
      <c r="X138" s="761"/>
      <c r="Y138" s="756"/>
      <c r="Z138" s="759"/>
      <c r="AA138" s="759"/>
      <c r="AB138" s="759"/>
      <c r="AC138" s="753"/>
      <c r="AD138" s="753"/>
      <c r="AE138" s="761"/>
      <c r="AF138" s="756"/>
      <c r="AG138" s="759"/>
      <c r="AH138" s="759"/>
      <c r="AI138" s="759"/>
      <c r="AJ138" s="753"/>
      <c r="AK138" s="753"/>
      <c r="AL138" s="761"/>
    </row>
    <row r="139" spans="2:38" x14ac:dyDescent="0.45">
      <c r="B139" s="850"/>
      <c r="C139" s="277"/>
      <c r="D139" s="344"/>
      <c r="E139" s="298">
        <v>1.1000000000000001</v>
      </c>
      <c r="F139" s="211" t="s">
        <v>30</v>
      </c>
      <c r="G139" s="339" t="s">
        <v>271</v>
      </c>
      <c r="H139" s="209"/>
      <c r="I139" s="966"/>
      <c r="J139" s="475"/>
      <c r="K139" s="602"/>
      <c r="L139" s="433"/>
      <c r="M139" s="433">
        <f>E139*J133</f>
        <v>168.13368000000006</v>
      </c>
      <c r="N139" s="433"/>
      <c r="O139" s="597">
        <v>169</v>
      </c>
      <c r="P139" s="596" t="str">
        <f>F139</f>
        <v>M2</v>
      </c>
      <c r="Q139" s="608">
        <f>'Harga Bahan RAP'!G104</f>
        <v>100000</v>
      </c>
      <c r="R139" s="453"/>
      <c r="S139" s="453">
        <f>O139*Q139</f>
        <v>16900000</v>
      </c>
      <c r="T139" s="453"/>
      <c r="U139" s="753"/>
      <c r="V139" s="753"/>
      <c r="W139" s="753"/>
      <c r="X139" s="761"/>
      <c r="Y139" s="756"/>
      <c r="Z139" s="759"/>
      <c r="AA139" s="759"/>
      <c r="AB139" s="759"/>
      <c r="AC139" s="753"/>
      <c r="AD139" s="753"/>
      <c r="AE139" s="761"/>
      <c r="AF139" s="756"/>
      <c r="AG139" s="759"/>
      <c r="AH139" s="759"/>
      <c r="AI139" s="759"/>
      <c r="AJ139" s="753"/>
      <c r="AK139" s="753"/>
      <c r="AL139" s="761"/>
    </row>
    <row r="140" spans="2:38" x14ac:dyDescent="0.45">
      <c r="B140" s="850"/>
      <c r="C140" s="277"/>
      <c r="D140" s="344"/>
      <c r="E140" s="222">
        <v>0.05</v>
      </c>
      <c r="F140" s="211" t="s">
        <v>162</v>
      </c>
      <c r="G140" s="339" t="s">
        <v>258</v>
      </c>
      <c r="H140" s="209"/>
      <c r="I140" s="966"/>
      <c r="J140" s="475"/>
      <c r="K140" s="602"/>
      <c r="L140" s="433"/>
      <c r="M140" s="433">
        <f>E140*J133</f>
        <v>7.6424400000000023</v>
      </c>
      <c r="N140" s="433"/>
      <c r="O140" s="597">
        <v>8</v>
      </c>
      <c r="P140" s="596" t="str">
        <f>F140</f>
        <v>Tube</v>
      </c>
      <c r="Q140" s="608">
        <f>'Harga Bahan RAP'!G136</f>
        <v>35000</v>
      </c>
      <c r="R140" s="433"/>
      <c r="S140" s="453">
        <f t="shared" ref="S140:S143" si="7">O140*Q140</f>
        <v>280000</v>
      </c>
      <c r="T140" s="433"/>
      <c r="U140" s="753"/>
      <c r="V140" s="753"/>
      <c r="W140" s="753"/>
      <c r="X140" s="761"/>
      <c r="Y140" s="756"/>
      <c r="Z140" s="759"/>
      <c r="AA140" s="759"/>
      <c r="AB140" s="759"/>
      <c r="AC140" s="753"/>
      <c r="AD140" s="753"/>
      <c r="AE140" s="761"/>
      <c r="AF140" s="756"/>
      <c r="AG140" s="759"/>
      <c r="AH140" s="759"/>
      <c r="AI140" s="759"/>
      <c r="AJ140" s="753"/>
      <c r="AK140" s="753"/>
      <c r="AL140" s="761"/>
    </row>
    <row r="141" spans="2:38" x14ac:dyDescent="0.45">
      <c r="B141" s="850"/>
      <c r="C141" s="277"/>
      <c r="D141" s="344"/>
      <c r="E141" s="222"/>
      <c r="F141" s="211"/>
      <c r="G141" s="209"/>
      <c r="H141" s="209"/>
      <c r="I141" s="966"/>
      <c r="J141" s="475"/>
      <c r="K141" s="602"/>
      <c r="L141" s="433"/>
      <c r="M141" s="433">
        <f>E141*J133</f>
        <v>0</v>
      </c>
      <c r="N141" s="433"/>
      <c r="O141" s="597">
        <v>0</v>
      </c>
      <c r="P141" s="596">
        <f>F141</f>
        <v>0</v>
      </c>
      <c r="Q141" s="608"/>
      <c r="R141" s="433"/>
      <c r="S141" s="453">
        <f t="shared" si="7"/>
        <v>0</v>
      </c>
      <c r="T141" s="433"/>
      <c r="U141" s="753"/>
      <c r="V141" s="753"/>
      <c r="W141" s="753"/>
      <c r="X141" s="761"/>
      <c r="Y141" s="756"/>
      <c r="Z141" s="759"/>
      <c r="AA141" s="759"/>
      <c r="AB141" s="759"/>
      <c r="AC141" s="753"/>
      <c r="AD141" s="753"/>
      <c r="AE141" s="761"/>
      <c r="AF141" s="756"/>
      <c r="AG141" s="759"/>
      <c r="AH141" s="759"/>
      <c r="AI141" s="759"/>
      <c r="AJ141" s="753"/>
      <c r="AK141" s="753"/>
      <c r="AL141" s="761"/>
    </row>
    <row r="142" spans="2:38" x14ac:dyDescent="0.45">
      <c r="B142" s="850"/>
      <c r="C142" s="277"/>
      <c r="D142" s="344"/>
      <c r="E142" s="222"/>
      <c r="F142" s="211"/>
      <c r="G142" s="209"/>
      <c r="H142" s="209"/>
      <c r="I142" s="966"/>
      <c r="J142" s="475"/>
      <c r="K142" s="602"/>
      <c r="L142" s="433"/>
      <c r="M142" s="433">
        <f>E142*J133</f>
        <v>0</v>
      </c>
      <c r="N142" s="433"/>
      <c r="O142" s="597">
        <v>0</v>
      </c>
      <c r="P142" s="596">
        <f>F142</f>
        <v>0</v>
      </c>
      <c r="Q142" s="608">
        <f>'Harga Bahan RAP'!G276</f>
        <v>0</v>
      </c>
      <c r="R142" s="433"/>
      <c r="S142" s="453">
        <f t="shared" si="7"/>
        <v>0</v>
      </c>
      <c r="T142" s="433"/>
      <c r="U142" s="753"/>
      <c r="V142" s="753"/>
      <c r="W142" s="753"/>
      <c r="X142" s="761"/>
      <c r="Y142" s="756"/>
      <c r="Z142" s="759"/>
      <c r="AA142" s="759"/>
      <c r="AB142" s="759"/>
      <c r="AC142" s="753"/>
      <c r="AD142" s="753"/>
      <c r="AE142" s="761"/>
      <c r="AF142" s="756"/>
      <c r="AG142" s="759"/>
      <c r="AH142" s="759"/>
      <c r="AI142" s="759"/>
      <c r="AJ142" s="753"/>
      <c r="AK142" s="753"/>
      <c r="AL142" s="761"/>
    </row>
    <row r="143" spans="2:38" x14ac:dyDescent="0.45">
      <c r="B143" s="850"/>
      <c r="C143" s="277"/>
      <c r="D143" s="344"/>
      <c r="E143" s="222"/>
      <c r="F143" s="211"/>
      <c r="G143" s="209"/>
      <c r="H143" s="209"/>
      <c r="I143" s="966"/>
      <c r="J143" s="475"/>
      <c r="K143" s="602"/>
      <c r="L143" s="433"/>
      <c r="M143" s="433">
        <f>E143*J133</f>
        <v>0</v>
      </c>
      <c r="N143" s="433"/>
      <c r="O143" s="597">
        <v>0</v>
      </c>
      <c r="P143" s="596">
        <f>F143</f>
        <v>0</v>
      </c>
      <c r="Q143" s="608"/>
      <c r="R143" s="433"/>
      <c r="S143" s="453">
        <f t="shared" si="7"/>
        <v>0</v>
      </c>
      <c r="T143" s="433"/>
      <c r="U143" s="753"/>
      <c r="V143" s="753"/>
      <c r="W143" s="753"/>
      <c r="X143" s="761"/>
      <c r="Y143" s="756"/>
      <c r="Z143" s="759"/>
      <c r="AA143" s="759"/>
      <c r="AB143" s="759"/>
      <c r="AC143" s="753"/>
      <c r="AD143" s="753"/>
      <c r="AE143" s="761"/>
      <c r="AF143" s="756"/>
      <c r="AG143" s="759"/>
      <c r="AH143" s="759"/>
      <c r="AI143" s="759"/>
      <c r="AJ143" s="753"/>
      <c r="AK143" s="753"/>
      <c r="AL143" s="761"/>
    </row>
    <row r="144" spans="2:38" x14ac:dyDescent="0.45">
      <c r="B144" s="813"/>
      <c r="C144" s="277"/>
      <c r="D144" s="279"/>
      <c r="E144" s="346"/>
      <c r="F144" s="207" t="s">
        <v>6</v>
      </c>
      <c r="G144" s="208" t="s">
        <v>111</v>
      </c>
      <c r="H144" s="209"/>
      <c r="I144" s="966"/>
      <c r="J144" s="475"/>
      <c r="K144" s="602"/>
      <c r="L144" s="433"/>
      <c r="M144" s="433"/>
      <c r="N144" s="433"/>
      <c r="O144" s="597"/>
      <c r="P144" s="596"/>
      <c r="Q144" s="608"/>
      <c r="R144" s="433"/>
      <c r="S144" s="433"/>
      <c r="T144" s="433"/>
      <c r="U144" s="433"/>
      <c r="V144" s="433"/>
      <c r="W144" s="433"/>
      <c r="X144" s="659"/>
      <c r="Y144" s="661"/>
      <c r="Z144" s="433"/>
      <c r="AA144" s="433"/>
      <c r="AB144" s="433"/>
      <c r="AC144" s="433"/>
      <c r="AD144" s="433"/>
      <c r="AE144" s="644"/>
      <c r="AF144" s="661"/>
      <c r="AG144" s="433"/>
      <c r="AH144" s="433"/>
      <c r="AI144" s="433"/>
      <c r="AJ144" s="433"/>
      <c r="AK144" s="433"/>
      <c r="AL144" s="644"/>
    </row>
    <row r="145" spans="2:38" x14ac:dyDescent="0.45">
      <c r="B145" s="813"/>
      <c r="C145" s="277"/>
      <c r="D145" s="279"/>
      <c r="E145" s="346"/>
      <c r="F145" s="207"/>
      <c r="G145" s="208"/>
      <c r="H145" s="209"/>
      <c r="I145" s="966"/>
      <c r="J145" s="475"/>
      <c r="K145" s="602"/>
      <c r="L145" s="433"/>
      <c r="M145" s="433"/>
      <c r="N145" s="433">
        <f>E145*J133</f>
        <v>0</v>
      </c>
      <c r="O145" s="597">
        <v>0</v>
      </c>
      <c r="P145" s="596">
        <v>0</v>
      </c>
      <c r="Q145" s="608"/>
      <c r="R145" s="433"/>
      <c r="S145" s="433"/>
      <c r="T145" s="453">
        <f>O145*Q145</f>
        <v>0</v>
      </c>
      <c r="U145" s="433"/>
      <c r="V145" s="433"/>
      <c r="W145" s="433"/>
      <c r="X145" s="659"/>
      <c r="Y145" s="661"/>
      <c r="Z145" s="433"/>
      <c r="AA145" s="433"/>
      <c r="AB145" s="433"/>
      <c r="AC145" s="433"/>
      <c r="AD145" s="433"/>
      <c r="AE145" s="644"/>
      <c r="AF145" s="661"/>
      <c r="AG145" s="433"/>
      <c r="AH145" s="433"/>
      <c r="AI145" s="433"/>
      <c r="AJ145" s="433"/>
      <c r="AK145" s="433"/>
      <c r="AL145" s="644"/>
    </row>
    <row r="146" spans="2:38" x14ac:dyDescent="0.45">
      <c r="B146" s="813"/>
      <c r="C146" s="277"/>
      <c r="D146" s="279"/>
      <c r="E146" s="346"/>
      <c r="F146" s="207" t="s">
        <v>112</v>
      </c>
      <c r="G146" s="208" t="s">
        <v>113</v>
      </c>
      <c r="H146" s="209"/>
      <c r="I146" s="966"/>
      <c r="J146" s="475"/>
      <c r="K146" s="602"/>
      <c r="L146" s="433"/>
      <c r="M146" s="433"/>
      <c r="N146" s="433"/>
      <c r="O146" s="433"/>
      <c r="P146" s="433"/>
      <c r="Q146" s="595"/>
      <c r="R146" s="433"/>
      <c r="S146" s="433"/>
      <c r="T146" s="433"/>
      <c r="U146" s="433"/>
      <c r="V146" s="433"/>
      <c r="W146" s="433"/>
      <c r="X146" s="659"/>
      <c r="Y146" s="661"/>
      <c r="Z146" s="433"/>
      <c r="AA146" s="433"/>
      <c r="AB146" s="433"/>
      <c r="AC146" s="433"/>
      <c r="AD146" s="433"/>
      <c r="AE146" s="644"/>
      <c r="AF146" s="661"/>
      <c r="AG146" s="433"/>
      <c r="AH146" s="433"/>
      <c r="AI146" s="433"/>
      <c r="AJ146" s="433"/>
      <c r="AK146" s="433"/>
      <c r="AL146" s="644"/>
    </row>
    <row r="147" spans="2:38" x14ac:dyDescent="0.45">
      <c r="B147" s="813"/>
      <c r="C147" s="277"/>
      <c r="D147" s="343"/>
      <c r="E147" s="347"/>
      <c r="F147" s="239" t="s">
        <v>114</v>
      </c>
      <c r="G147" s="257" t="s">
        <v>166</v>
      </c>
      <c r="H147" s="229"/>
      <c r="I147" s="980">
        <v>0.15</v>
      </c>
      <c r="J147" s="475"/>
      <c r="K147" s="602"/>
      <c r="L147" s="433"/>
      <c r="M147" s="433"/>
      <c r="N147" s="433"/>
      <c r="O147" s="433"/>
      <c r="P147" s="433"/>
      <c r="Q147" s="595"/>
      <c r="R147" s="433"/>
      <c r="S147" s="433"/>
      <c r="T147" s="433"/>
      <c r="U147" s="433"/>
      <c r="V147" s="433"/>
      <c r="W147" s="433"/>
      <c r="X147" s="659"/>
      <c r="Y147" s="661"/>
      <c r="Z147" s="433"/>
      <c r="AA147" s="433"/>
      <c r="AB147" s="433"/>
      <c r="AC147" s="433"/>
      <c r="AD147" s="433"/>
      <c r="AE147" s="644"/>
      <c r="AF147" s="661"/>
      <c r="AG147" s="433"/>
      <c r="AH147" s="433"/>
      <c r="AI147" s="433"/>
      <c r="AJ147" s="433"/>
      <c r="AK147" s="433"/>
      <c r="AL147" s="644"/>
    </row>
    <row r="148" spans="2:38" ht="17" thickBot="1" x14ac:dyDescent="0.5">
      <c r="B148" s="830"/>
      <c r="C148" s="831"/>
      <c r="D148" s="832"/>
      <c r="E148" s="833"/>
      <c r="F148" s="834" t="s">
        <v>115</v>
      </c>
      <c r="G148" s="816" t="s">
        <v>127</v>
      </c>
      <c r="H148" s="835"/>
      <c r="I148" s="981"/>
      <c r="J148" s="793"/>
      <c r="K148" s="763"/>
      <c r="L148" s="655"/>
      <c r="M148" s="655"/>
      <c r="N148" s="655"/>
      <c r="O148" s="655"/>
      <c r="P148" s="655"/>
      <c r="Q148" s="654"/>
      <c r="R148" s="655"/>
      <c r="S148" s="655"/>
      <c r="T148" s="655"/>
      <c r="U148" s="655"/>
      <c r="V148" s="655"/>
      <c r="W148" s="655"/>
      <c r="X148" s="660"/>
      <c r="Y148" s="662"/>
      <c r="Z148" s="655"/>
      <c r="AA148" s="655"/>
      <c r="AB148" s="655"/>
      <c r="AC148" s="655"/>
      <c r="AD148" s="655"/>
      <c r="AE148" s="656"/>
      <c r="AF148" s="662"/>
      <c r="AG148" s="655"/>
      <c r="AH148" s="655"/>
      <c r="AI148" s="655"/>
      <c r="AJ148" s="655"/>
      <c r="AK148" s="655"/>
      <c r="AL148" s="656"/>
    </row>
    <row r="149" spans="2:38" x14ac:dyDescent="0.45">
      <c r="D149" s="112"/>
      <c r="E149" s="195"/>
      <c r="G149" s="111"/>
      <c r="H149" s="111"/>
      <c r="I149" s="111"/>
      <c r="Z149" s="657"/>
      <c r="AA149" s="657"/>
      <c r="AB149" s="657"/>
      <c r="AC149" s="657"/>
      <c r="AD149" s="657"/>
      <c r="AE149" s="657"/>
      <c r="AG149" s="657"/>
      <c r="AH149" s="657"/>
      <c r="AI149" s="657"/>
      <c r="AJ149" s="657"/>
      <c r="AK149" s="657"/>
      <c r="AL149" s="657"/>
    </row>
    <row r="150" spans="2:38" ht="17" thickBot="1" x14ac:dyDescent="0.5">
      <c r="B150" s="749" t="s">
        <v>706</v>
      </c>
      <c r="C150" s="750" t="str">
        <f>RAP!B78</f>
        <v>Memasang Kaca Buram / Raybend 5 mm</v>
      </c>
      <c r="D150" s="241"/>
      <c r="E150" s="241"/>
      <c r="F150" s="276"/>
      <c r="G150" s="240"/>
      <c r="H150" s="241"/>
      <c r="I150" s="241"/>
      <c r="J150" s="604"/>
      <c r="K150" s="603"/>
      <c r="L150" s="604"/>
      <c r="M150" s="604"/>
      <c r="N150" s="604"/>
      <c r="O150" s="604"/>
      <c r="P150" s="604"/>
      <c r="Q150" s="604"/>
      <c r="R150" s="609"/>
      <c r="S150" s="609"/>
      <c r="T150" s="609"/>
      <c r="U150" s="609"/>
      <c r="V150" s="609"/>
      <c r="W150" s="609"/>
      <c r="X150" s="609"/>
      <c r="Y150" s="609"/>
      <c r="Z150" s="609"/>
      <c r="AA150" s="609"/>
      <c r="AB150" s="609"/>
      <c r="AC150" s="609"/>
      <c r="AD150" s="609"/>
      <c r="AE150" s="609"/>
      <c r="AF150" s="609"/>
      <c r="AG150" s="609"/>
      <c r="AH150" s="609"/>
      <c r="AI150" s="609"/>
      <c r="AJ150" s="609"/>
      <c r="AK150" s="609"/>
      <c r="AL150" s="609"/>
    </row>
    <row r="151" spans="2:38" ht="19.5" customHeight="1" x14ac:dyDescent="0.45">
      <c r="B151" s="1168" t="s">
        <v>99</v>
      </c>
      <c r="C151" s="1171" t="s">
        <v>100</v>
      </c>
      <c r="D151" s="1171" t="s">
        <v>89</v>
      </c>
      <c r="E151" s="1171" t="s">
        <v>101</v>
      </c>
      <c r="F151" s="1171" t="s">
        <v>102</v>
      </c>
      <c r="G151" s="1109" t="s">
        <v>103</v>
      </c>
      <c r="H151" s="1110"/>
      <c r="I151" s="1175"/>
      <c r="J151" s="1152" t="s">
        <v>539</v>
      </c>
      <c r="K151" s="1152"/>
      <c r="L151" s="1152"/>
      <c r="M151" s="1152"/>
      <c r="N151" s="1152"/>
      <c r="O151" s="1152"/>
      <c r="P151" s="1152"/>
      <c r="Q151" s="1152"/>
      <c r="R151" s="1152"/>
      <c r="S151" s="1152"/>
      <c r="T151" s="1152"/>
      <c r="U151" s="1152"/>
      <c r="V151" s="1152"/>
      <c r="W151" s="1152"/>
      <c r="X151" s="1152"/>
      <c r="Y151" s="1153" t="s">
        <v>540</v>
      </c>
      <c r="Z151" s="1154"/>
      <c r="AA151" s="1154"/>
      <c r="AB151" s="1154"/>
      <c r="AC151" s="1154"/>
      <c r="AD151" s="1154"/>
      <c r="AE151" s="1155"/>
      <c r="AF151" s="1156" t="s">
        <v>541</v>
      </c>
      <c r="AG151" s="1157"/>
      <c r="AH151" s="1157"/>
      <c r="AI151" s="1157"/>
      <c r="AJ151" s="1157"/>
      <c r="AK151" s="1157"/>
      <c r="AL151" s="1158"/>
    </row>
    <row r="152" spans="2:38" ht="45" x14ac:dyDescent="0.45">
      <c r="B152" s="1169"/>
      <c r="C152" s="1089"/>
      <c r="D152" s="1089"/>
      <c r="E152" s="1089"/>
      <c r="F152" s="1089"/>
      <c r="G152" s="1026"/>
      <c r="H152" s="1027"/>
      <c r="I152" s="1176"/>
      <c r="J152" s="1185" t="s">
        <v>15</v>
      </c>
      <c r="K152" s="673" t="s">
        <v>493</v>
      </c>
      <c r="L152" s="1161" t="s">
        <v>491</v>
      </c>
      <c r="M152" s="1162"/>
      <c r="N152" s="1162"/>
      <c r="O152" s="1162"/>
      <c r="P152" s="1163"/>
      <c r="Q152" s="674" t="s">
        <v>533</v>
      </c>
      <c r="R152" s="1161" t="s">
        <v>501</v>
      </c>
      <c r="S152" s="1162"/>
      <c r="T152" s="1163"/>
      <c r="U152" s="674" t="s">
        <v>530</v>
      </c>
      <c r="V152" s="674" t="s">
        <v>531</v>
      </c>
      <c r="W152" s="674" t="s">
        <v>578</v>
      </c>
      <c r="X152" s="681" t="s">
        <v>579</v>
      </c>
      <c r="Y152" s="1164" t="s">
        <v>534</v>
      </c>
      <c r="Z152" s="1165"/>
      <c r="AA152" s="663" t="s">
        <v>537</v>
      </c>
      <c r="AB152" s="664" t="s">
        <v>538</v>
      </c>
      <c r="AC152" s="665" t="s">
        <v>530</v>
      </c>
      <c r="AD152" s="665" t="s">
        <v>578</v>
      </c>
      <c r="AE152" s="682" t="s">
        <v>579</v>
      </c>
      <c r="AF152" s="1166" t="s">
        <v>542</v>
      </c>
      <c r="AG152" s="1167"/>
      <c r="AH152" s="737" t="s">
        <v>543</v>
      </c>
      <c r="AI152" s="738" t="s">
        <v>544</v>
      </c>
      <c r="AJ152" s="739" t="s">
        <v>530</v>
      </c>
      <c r="AK152" s="739" t="s">
        <v>578</v>
      </c>
      <c r="AL152" s="740" t="s">
        <v>579</v>
      </c>
    </row>
    <row r="153" spans="2:38" ht="30" x14ac:dyDescent="0.45">
      <c r="B153" s="1170"/>
      <c r="C153" s="1090"/>
      <c r="D153" s="1090"/>
      <c r="E153" s="1090"/>
      <c r="F153" s="1090"/>
      <c r="G153" s="1085"/>
      <c r="H153" s="1086"/>
      <c r="I153" s="1177"/>
      <c r="J153" s="1174"/>
      <c r="K153" s="675" t="s">
        <v>495</v>
      </c>
      <c r="L153" s="676" t="s">
        <v>524</v>
      </c>
      <c r="M153" s="676" t="s">
        <v>525</v>
      </c>
      <c r="N153" s="676" t="s">
        <v>526</v>
      </c>
      <c r="O153" s="675" t="s">
        <v>517</v>
      </c>
      <c r="P153" s="675" t="s">
        <v>290</v>
      </c>
      <c r="Q153" s="675" t="s">
        <v>532</v>
      </c>
      <c r="R153" s="676" t="s">
        <v>527</v>
      </c>
      <c r="S153" s="676" t="s">
        <v>528</v>
      </c>
      <c r="T153" s="677" t="s">
        <v>529</v>
      </c>
      <c r="U153" s="675" t="s">
        <v>502</v>
      </c>
      <c r="V153" s="675" t="s">
        <v>502</v>
      </c>
      <c r="W153" s="675" t="s">
        <v>502</v>
      </c>
      <c r="X153" s="678" t="s">
        <v>504</v>
      </c>
      <c r="Y153" s="666" t="s">
        <v>535</v>
      </c>
      <c r="Z153" s="667" t="s">
        <v>536</v>
      </c>
      <c r="AA153" s="668" t="s">
        <v>532</v>
      </c>
      <c r="AB153" s="668" t="s">
        <v>532</v>
      </c>
      <c r="AC153" s="668" t="s">
        <v>532</v>
      </c>
      <c r="AD153" s="668" t="s">
        <v>532</v>
      </c>
      <c r="AE153" s="669" t="s">
        <v>532</v>
      </c>
      <c r="AF153" s="741" t="s">
        <v>535</v>
      </c>
      <c r="AG153" s="742" t="s">
        <v>536</v>
      </c>
      <c r="AH153" s="743" t="s">
        <v>532</v>
      </c>
      <c r="AI153" s="743" t="s">
        <v>532</v>
      </c>
      <c r="AJ153" s="743" t="s">
        <v>532</v>
      </c>
      <c r="AK153" s="743" t="s">
        <v>532</v>
      </c>
      <c r="AL153" s="744" t="s">
        <v>532</v>
      </c>
    </row>
    <row r="154" spans="2:38" ht="30" x14ac:dyDescent="0.45">
      <c r="B154" s="639" t="s">
        <v>4</v>
      </c>
      <c r="C154" s="600" t="s">
        <v>5</v>
      </c>
      <c r="D154" s="570" t="s">
        <v>6</v>
      </c>
      <c r="E154" s="570" t="s">
        <v>112</v>
      </c>
      <c r="F154" s="570" t="s">
        <v>114</v>
      </c>
      <c r="G154" s="1014" t="s">
        <v>115</v>
      </c>
      <c r="H154" s="1014"/>
      <c r="I154" s="1172"/>
      <c r="J154" s="791" t="s">
        <v>21</v>
      </c>
      <c r="K154" s="675" t="s">
        <v>496</v>
      </c>
      <c r="L154" s="675" t="s">
        <v>497</v>
      </c>
      <c r="M154" s="675" t="s">
        <v>498</v>
      </c>
      <c r="N154" s="675" t="s">
        <v>499</v>
      </c>
      <c r="O154" s="676" t="s">
        <v>552</v>
      </c>
      <c r="P154" s="675" t="s">
        <v>512</v>
      </c>
      <c r="Q154" s="675" t="s">
        <v>503</v>
      </c>
      <c r="R154" s="675" t="s">
        <v>553</v>
      </c>
      <c r="S154" s="675" t="s">
        <v>513</v>
      </c>
      <c r="T154" s="675" t="s">
        <v>514</v>
      </c>
      <c r="U154" s="675" t="s">
        <v>554</v>
      </c>
      <c r="V154" s="675" t="s">
        <v>515</v>
      </c>
      <c r="W154" s="675" t="s">
        <v>555</v>
      </c>
      <c r="X154" s="678" t="s">
        <v>516</v>
      </c>
      <c r="Y154" s="670" t="s">
        <v>556</v>
      </c>
      <c r="Z154" s="671" t="s">
        <v>557</v>
      </c>
      <c r="AA154" s="671" t="s">
        <v>558</v>
      </c>
      <c r="AB154" s="671" t="s">
        <v>559</v>
      </c>
      <c r="AC154" s="671" t="s">
        <v>560</v>
      </c>
      <c r="AD154" s="671" t="s">
        <v>561</v>
      </c>
      <c r="AE154" s="672" t="s">
        <v>562</v>
      </c>
      <c r="AF154" s="745" t="s">
        <v>563</v>
      </c>
      <c r="AG154" s="746" t="s">
        <v>564</v>
      </c>
      <c r="AH154" s="746" t="s">
        <v>565</v>
      </c>
      <c r="AI154" s="746" t="s">
        <v>566</v>
      </c>
      <c r="AJ154" s="746" t="s">
        <v>567</v>
      </c>
      <c r="AK154" s="746" t="s">
        <v>568</v>
      </c>
      <c r="AL154" s="747" t="s">
        <v>569</v>
      </c>
    </row>
    <row r="155" spans="2:38" ht="15.5" x14ac:dyDescent="0.45">
      <c r="B155" s="764">
        <v>7</v>
      </c>
      <c r="C155" s="508" t="s">
        <v>477</v>
      </c>
      <c r="D155" s="584"/>
      <c r="E155" s="569">
        <v>1</v>
      </c>
      <c r="F155" s="584" t="s">
        <v>75</v>
      </c>
      <c r="G155" s="561" t="s">
        <v>480</v>
      </c>
      <c r="H155" s="562"/>
      <c r="I155" s="975"/>
      <c r="J155" s="789"/>
      <c r="K155" s="789"/>
      <c r="L155" s="789"/>
      <c r="M155" s="789"/>
      <c r="N155" s="789"/>
      <c r="O155" s="789"/>
      <c r="P155" s="789"/>
      <c r="Q155" s="789"/>
      <c r="R155" s="789"/>
      <c r="S155" s="789"/>
      <c r="T155" s="789"/>
      <c r="U155" s="789"/>
      <c r="V155" s="789"/>
      <c r="W155" s="789"/>
      <c r="X155" s="789"/>
      <c r="Y155" s="789"/>
      <c r="Z155" s="789"/>
      <c r="AA155" s="789"/>
      <c r="AB155" s="789"/>
      <c r="AC155" s="789"/>
      <c r="AD155" s="789"/>
      <c r="AE155" s="789"/>
      <c r="AF155" s="789"/>
      <c r="AG155" s="789"/>
      <c r="AH155" s="789"/>
      <c r="AI155" s="789"/>
      <c r="AJ155" s="789"/>
      <c r="AK155" s="789"/>
      <c r="AL155" s="790"/>
    </row>
    <row r="156" spans="2:38" x14ac:dyDescent="0.45">
      <c r="B156" s="849"/>
      <c r="C156" s="307"/>
      <c r="D156" s="344"/>
      <c r="E156" s="359"/>
      <c r="F156" s="207" t="s">
        <v>4</v>
      </c>
      <c r="G156" s="231" t="s">
        <v>120</v>
      </c>
      <c r="H156" s="209"/>
      <c r="I156" s="966"/>
      <c r="J156" s="792">
        <f>RAP!E78</f>
        <v>55.678200000000011</v>
      </c>
      <c r="K156" s="601">
        <v>2</v>
      </c>
      <c r="L156" s="319"/>
      <c r="M156" s="319"/>
      <c r="N156" s="319"/>
      <c r="O156" s="598"/>
      <c r="P156" s="598"/>
      <c r="Q156" s="605"/>
      <c r="R156" s="485"/>
      <c r="S156" s="485"/>
      <c r="T156" s="485"/>
      <c r="U156" s="752">
        <f>SUM(R156:R171)+(SUM(S156:S171)+SUM(T156:T171))</f>
        <v>8265000</v>
      </c>
      <c r="V156" s="754">
        <f>RAP!H78</f>
        <v>9596965.9800000004</v>
      </c>
      <c r="W156" s="752">
        <f>V156-U156</f>
        <v>1331965.9800000004</v>
      </c>
      <c r="X156" s="760">
        <f>W156/V156*100</f>
        <v>13.879032006321651</v>
      </c>
      <c r="Y156" s="755">
        <f>SUM(R156:R171)/J156</f>
        <v>18499.161251620917</v>
      </c>
      <c r="Z156" s="757">
        <v>16000</v>
      </c>
      <c r="AA156" s="758">
        <f>J156*Z156</f>
        <v>890851.20000000019</v>
      </c>
      <c r="AB156" s="758">
        <f>SUM(S156:S171)+SUM(T156:T171)</f>
        <v>7235000</v>
      </c>
      <c r="AC156" s="752">
        <f>AA156+AB156</f>
        <v>8125851.2000000002</v>
      </c>
      <c r="AD156" s="752">
        <f>V156-AC156</f>
        <v>1471114.7800000003</v>
      </c>
      <c r="AE156" s="760">
        <f>AD156/V156*100</f>
        <v>15.328956912692945</v>
      </c>
      <c r="AF156" s="755">
        <f>(SUM(R156:R171)+SUM(S156:S171))/J156</f>
        <v>148442.29878121056</v>
      </c>
      <c r="AG156" s="757">
        <v>125000</v>
      </c>
      <c r="AH156" s="758">
        <f>AG156*J156</f>
        <v>6959775.0000000009</v>
      </c>
      <c r="AI156" s="758">
        <f>SUM(T156:T171)</f>
        <v>0</v>
      </c>
      <c r="AJ156" s="752">
        <f>AH156+AI156</f>
        <v>6959775.0000000009</v>
      </c>
      <c r="AK156" s="752">
        <f>V156-AJ156</f>
        <v>2637190.9799999995</v>
      </c>
      <c r="AL156" s="760">
        <f>AK156/V156*100</f>
        <v>27.479424075232572</v>
      </c>
    </row>
    <row r="157" spans="2:38" ht="15.5" x14ac:dyDescent="0.45">
      <c r="B157" s="850"/>
      <c r="C157" s="277"/>
      <c r="D157" s="279" t="s">
        <v>107</v>
      </c>
      <c r="E157" s="299">
        <v>1.4999999999999999E-2</v>
      </c>
      <c r="F157" s="267" t="s">
        <v>108</v>
      </c>
      <c r="G157" s="339" t="s">
        <v>51</v>
      </c>
      <c r="H157" s="209"/>
      <c r="I157" s="966"/>
      <c r="J157" s="475"/>
      <c r="K157" s="602"/>
      <c r="L157" s="433">
        <f>E157*J156/K156</f>
        <v>0.41758650000000008</v>
      </c>
      <c r="M157" s="433"/>
      <c r="N157" s="433"/>
      <c r="O157" s="597">
        <v>1</v>
      </c>
      <c r="P157" s="596" t="str">
        <f>F157</f>
        <v>OH</v>
      </c>
      <c r="Q157" s="608">
        <f>Q134</f>
        <v>75000</v>
      </c>
      <c r="R157" s="453">
        <f>O157*Q157*K156</f>
        <v>150000</v>
      </c>
      <c r="S157" s="453"/>
      <c r="T157" s="453"/>
      <c r="U157" s="753"/>
      <c r="V157" s="753"/>
      <c r="W157" s="753"/>
      <c r="X157" s="761"/>
      <c r="Y157" s="756"/>
      <c r="Z157" s="759"/>
      <c r="AA157" s="759"/>
      <c r="AB157" s="759"/>
      <c r="AC157" s="753"/>
      <c r="AD157" s="753"/>
      <c r="AE157" s="761"/>
      <c r="AF157" s="756"/>
      <c r="AG157" s="759"/>
      <c r="AH157" s="759"/>
      <c r="AI157" s="759"/>
      <c r="AJ157" s="753"/>
      <c r="AK157" s="753"/>
      <c r="AL157" s="761"/>
    </row>
    <row r="158" spans="2:38" ht="15.5" x14ac:dyDescent="0.45">
      <c r="B158" s="850"/>
      <c r="C158" s="277"/>
      <c r="D158" s="279" t="s">
        <v>121</v>
      </c>
      <c r="E158" s="222">
        <v>0.15</v>
      </c>
      <c r="F158" s="267" t="s">
        <v>108</v>
      </c>
      <c r="G158" s="339" t="s">
        <v>56</v>
      </c>
      <c r="H158" s="209"/>
      <c r="I158" s="966"/>
      <c r="J158" s="475"/>
      <c r="K158" s="602"/>
      <c r="L158" s="433">
        <f>E158*J156/K156</f>
        <v>4.1758650000000008</v>
      </c>
      <c r="M158" s="433"/>
      <c r="N158" s="433"/>
      <c r="O158" s="597">
        <v>4</v>
      </c>
      <c r="P158" s="596" t="str">
        <f>F158</f>
        <v>OH</v>
      </c>
      <c r="Q158" s="608">
        <f t="shared" ref="Q158:Q160" si="8">Q135</f>
        <v>85000</v>
      </c>
      <c r="R158" s="453">
        <f>O158*Q158*K156</f>
        <v>680000</v>
      </c>
      <c r="S158" s="453"/>
      <c r="T158" s="453"/>
      <c r="U158" s="753"/>
      <c r="V158" s="753"/>
      <c r="W158" s="753"/>
      <c r="X158" s="761"/>
      <c r="Y158" s="756"/>
      <c r="Z158" s="759"/>
      <c r="AA158" s="759"/>
      <c r="AB158" s="759"/>
      <c r="AC158" s="753"/>
      <c r="AD158" s="753"/>
      <c r="AE158" s="761"/>
      <c r="AF158" s="756"/>
      <c r="AG158" s="759"/>
      <c r="AH158" s="759"/>
      <c r="AI158" s="759"/>
      <c r="AJ158" s="753"/>
      <c r="AK158" s="753"/>
      <c r="AL158" s="761"/>
    </row>
    <row r="159" spans="2:38" ht="15.5" x14ac:dyDescent="0.45">
      <c r="B159" s="850"/>
      <c r="C159" s="277"/>
      <c r="D159" s="279" t="s">
        <v>122</v>
      </c>
      <c r="E159" s="299">
        <v>1.4999999999999999E-2</v>
      </c>
      <c r="F159" s="267" t="s">
        <v>108</v>
      </c>
      <c r="G159" s="339" t="s">
        <v>123</v>
      </c>
      <c r="H159" s="209"/>
      <c r="I159" s="966"/>
      <c r="J159" s="475"/>
      <c r="K159" s="602"/>
      <c r="L159" s="433">
        <f>E159*J156/K156</f>
        <v>0.41758650000000008</v>
      </c>
      <c r="M159" s="433"/>
      <c r="N159" s="433"/>
      <c r="O159" s="597">
        <v>0</v>
      </c>
      <c r="P159" s="596" t="str">
        <f>F159</f>
        <v>OH</v>
      </c>
      <c r="Q159" s="608">
        <f t="shared" si="8"/>
        <v>90000</v>
      </c>
      <c r="R159" s="453">
        <f>O159*Q159*K156</f>
        <v>0</v>
      </c>
      <c r="S159" s="453"/>
      <c r="T159" s="453"/>
      <c r="U159" s="753"/>
      <c r="V159" s="753"/>
      <c r="W159" s="753"/>
      <c r="X159" s="761"/>
      <c r="Y159" s="756"/>
      <c r="Z159" s="759"/>
      <c r="AA159" s="759"/>
      <c r="AB159" s="759"/>
      <c r="AC159" s="753"/>
      <c r="AD159" s="753"/>
      <c r="AE159" s="761"/>
      <c r="AF159" s="756"/>
      <c r="AG159" s="759"/>
      <c r="AH159" s="759"/>
      <c r="AI159" s="759"/>
      <c r="AJ159" s="753"/>
      <c r="AK159" s="753"/>
      <c r="AL159" s="761"/>
    </row>
    <row r="160" spans="2:38" ht="15.5" x14ac:dyDescent="0.45">
      <c r="B160" s="850"/>
      <c r="C160" s="277"/>
      <c r="D160" s="343" t="s">
        <v>109</v>
      </c>
      <c r="E160" s="416">
        <v>7.5000000000000002E-4</v>
      </c>
      <c r="F160" s="275" t="s">
        <v>108</v>
      </c>
      <c r="G160" s="351" t="s">
        <v>52</v>
      </c>
      <c r="H160" s="229"/>
      <c r="I160" s="967"/>
      <c r="J160" s="475"/>
      <c r="K160" s="602"/>
      <c r="L160" s="433">
        <f>E160*J156/K156</f>
        <v>2.0879325000000004E-2</v>
      </c>
      <c r="M160" s="433"/>
      <c r="N160" s="433"/>
      <c r="O160" s="597">
        <v>1</v>
      </c>
      <c r="P160" s="596" t="str">
        <f>F160</f>
        <v>OH</v>
      </c>
      <c r="Q160" s="608">
        <f t="shared" si="8"/>
        <v>100000</v>
      </c>
      <c r="R160" s="453">
        <f>O160*Q160*K156</f>
        <v>200000</v>
      </c>
      <c r="S160" s="453"/>
      <c r="T160" s="453"/>
      <c r="U160" s="753"/>
      <c r="V160" s="753"/>
      <c r="W160" s="753"/>
      <c r="X160" s="761"/>
      <c r="Y160" s="756"/>
      <c r="Z160" s="759"/>
      <c r="AA160" s="759"/>
      <c r="AB160" s="759"/>
      <c r="AC160" s="753"/>
      <c r="AD160" s="753"/>
      <c r="AE160" s="761"/>
      <c r="AF160" s="756"/>
      <c r="AG160" s="759"/>
      <c r="AH160" s="759"/>
      <c r="AI160" s="759"/>
      <c r="AJ160" s="753"/>
      <c r="AK160" s="753"/>
      <c r="AL160" s="761"/>
    </row>
    <row r="161" spans="2:38" x14ac:dyDescent="0.45">
      <c r="B161" s="850"/>
      <c r="C161" s="277"/>
      <c r="D161" s="344"/>
      <c r="E161" s="361"/>
      <c r="F161" s="285" t="s">
        <v>5</v>
      </c>
      <c r="G161" s="353" t="s">
        <v>139</v>
      </c>
      <c r="H161" s="209"/>
      <c r="I161" s="966"/>
      <c r="J161" s="475"/>
      <c r="K161" s="602"/>
      <c r="L161" s="433"/>
      <c r="M161" s="433"/>
      <c r="N161" s="433"/>
      <c r="O161" s="597"/>
      <c r="P161" s="596"/>
      <c r="Q161" s="608"/>
      <c r="R161" s="453"/>
      <c r="S161" s="453"/>
      <c r="T161" s="453"/>
      <c r="U161" s="753"/>
      <c r="V161" s="753"/>
      <c r="W161" s="753"/>
      <c r="X161" s="761"/>
      <c r="Y161" s="756"/>
      <c r="Z161" s="759"/>
      <c r="AA161" s="759"/>
      <c r="AB161" s="759"/>
      <c r="AC161" s="753"/>
      <c r="AD161" s="753"/>
      <c r="AE161" s="761"/>
      <c r="AF161" s="756"/>
      <c r="AG161" s="759"/>
      <c r="AH161" s="759"/>
      <c r="AI161" s="759"/>
      <c r="AJ161" s="753"/>
      <c r="AK161" s="753"/>
      <c r="AL161" s="761"/>
    </row>
    <row r="162" spans="2:38" x14ac:dyDescent="0.45">
      <c r="B162" s="850"/>
      <c r="C162" s="277"/>
      <c r="D162" s="344"/>
      <c r="E162" s="298">
        <v>1.1000000000000001</v>
      </c>
      <c r="F162" s="211" t="s">
        <v>30</v>
      </c>
      <c r="G162" s="339" t="s">
        <v>271</v>
      </c>
      <c r="H162" s="209"/>
      <c r="I162" s="966"/>
      <c r="J162" s="475"/>
      <c r="K162" s="602"/>
      <c r="L162" s="433"/>
      <c r="M162" s="433">
        <f>E162*J156</f>
        <v>61.246020000000016</v>
      </c>
      <c r="N162" s="433"/>
      <c r="O162" s="597">
        <v>62</v>
      </c>
      <c r="P162" s="596" t="str">
        <f>F162</f>
        <v>M2</v>
      </c>
      <c r="Q162" s="608">
        <f>'Harga Bahan RAP'!G111</f>
        <v>115000</v>
      </c>
      <c r="R162" s="453"/>
      <c r="S162" s="453">
        <f>O162*Q162</f>
        <v>7130000</v>
      </c>
      <c r="T162" s="453"/>
      <c r="U162" s="753"/>
      <c r="V162" s="753"/>
      <c r="W162" s="753"/>
      <c r="X162" s="761"/>
      <c r="Y162" s="756"/>
      <c r="Z162" s="759"/>
      <c r="AA162" s="759"/>
      <c r="AB162" s="759"/>
      <c r="AC162" s="753"/>
      <c r="AD162" s="753"/>
      <c r="AE162" s="761"/>
      <c r="AF162" s="756"/>
      <c r="AG162" s="759"/>
      <c r="AH162" s="759"/>
      <c r="AI162" s="759"/>
      <c r="AJ162" s="753"/>
      <c r="AK162" s="753"/>
      <c r="AL162" s="761"/>
    </row>
    <row r="163" spans="2:38" x14ac:dyDescent="0.45">
      <c r="B163" s="850"/>
      <c r="C163" s="277"/>
      <c r="D163" s="344"/>
      <c r="E163" s="222">
        <v>0.05</v>
      </c>
      <c r="F163" s="211" t="s">
        <v>162</v>
      </c>
      <c r="G163" s="339" t="s">
        <v>258</v>
      </c>
      <c r="H163" s="209"/>
      <c r="I163" s="966"/>
      <c r="J163" s="475"/>
      <c r="K163" s="602"/>
      <c r="L163" s="433"/>
      <c r="M163" s="433">
        <f>E163*J156</f>
        <v>2.7839100000000006</v>
      </c>
      <c r="N163" s="433"/>
      <c r="O163" s="597">
        <v>3</v>
      </c>
      <c r="P163" s="596" t="str">
        <f>F163</f>
        <v>Tube</v>
      </c>
      <c r="Q163" s="608">
        <f>'Harga Bahan RAP'!G136</f>
        <v>35000</v>
      </c>
      <c r="R163" s="433"/>
      <c r="S163" s="453">
        <f t="shared" ref="S163:S166" si="9">O163*Q163</f>
        <v>105000</v>
      </c>
      <c r="T163" s="433"/>
      <c r="U163" s="753"/>
      <c r="V163" s="753"/>
      <c r="W163" s="753"/>
      <c r="X163" s="761"/>
      <c r="Y163" s="756"/>
      <c r="Z163" s="759"/>
      <c r="AA163" s="759"/>
      <c r="AB163" s="759"/>
      <c r="AC163" s="753"/>
      <c r="AD163" s="753"/>
      <c r="AE163" s="761"/>
      <c r="AF163" s="756"/>
      <c r="AG163" s="759"/>
      <c r="AH163" s="759"/>
      <c r="AI163" s="759"/>
      <c r="AJ163" s="753"/>
      <c r="AK163" s="753"/>
      <c r="AL163" s="761"/>
    </row>
    <row r="164" spans="2:38" x14ac:dyDescent="0.45">
      <c r="B164" s="850"/>
      <c r="C164" s="277"/>
      <c r="D164" s="344"/>
      <c r="E164" s="222"/>
      <c r="F164" s="211"/>
      <c r="G164" s="209"/>
      <c r="H164" s="209"/>
      <c r="I164" s="966"/>
      <c r="J164" s="475"/>
      <c r="K164" s="602"/>
      <c r="L164" s="433"/>
      <c r="M164" s="433">
        <f>E164*J156</f>
        <v>0</v>
      </c>
      <c r="N164" s="433"/>
      <c r="O164" s="597">
        <v>0</v>
      </c>
      <c r="P164" s="596">
        <f>F164</f>
        <v>0</v>
      </c>
      <c r="Q164" s="608"/>
      <c r="R164" s="433"/>
      <c r="S164" s="453">
        <f t="shared" si="9"/>
        <v>0</v>
      </c>
      <c r="T164" s="433"/>
      <c r="U164" s="753"/>
      <c r="V164" s="753"/>
      <c r="W164" s="753"/>
      <c r="X164" s="761"/>
      <c r="Y164" s="756"/>
      <c r="Z164" s="759"/>
      <c r="AA164" s="759"/>
      <c r="AB164" s="759"/>
      <c r="AC164" s="753"/>
      <c r="AD164" s="753"/>
      <c r="AE164" s="761"/>
      <c r="AF164" s="756"/>
      <c r="AG164" s="759"/>
      <c r="AH164" s="759"/>
      <c r="AI164" s="759"/>
      <c r="AJ164" s="753"/>
      <c r="AK164" s="753"/>
      <c r="AL164" s="761"/>
    </row>
    <row r="165" spans="2:38" x14ac:dyDescent="0.45">
      <c r="B165" s="850"/>
      <c r="C165" s="277"/>
      <c r="D165" s="344"/>
      <c r="E165" s="222"/>
      <c r="F165" s="211"/>
      <c r="G165" s="209"/>
      <c r="H165" s="209"/>
      <c r="I165" s="966"/>
      <c r="J165" s="475"/>
      <c r="K165" s="602"/>
      <c r="L165" s="433"/>
      <c r="M165" s="433">
        <f>E165*J156</f>
        <v>0</v>
      </c>
      <c r="N165" s="433"/>
      <c r="O165" s="597">
        <v>0</v>
      </c>
      <c r="P165" s="596">
        <f>F165</f>
        <v>0</v>
      </c>
      <c r="Q165" s="608">
        <f>'Harga Bahan RAP'!G298</f>
        <v>0</v>
      </c>
      <c r="R165" s="433"/>
      <c r="S165" s="453">
        <f t="shared" si="9"/>
        <v>0</v>
      </c>
      <c r="T165" s="433"/>
      <c r="U165" s="753"/>
      <c r="V165" s="753"/>
      <c r="W165" s="753"/>
      <c r="X165" s="761"/>
      <c r="Y165" s="756"/>
      <c r="Z165" s="759"/>
      <c r="AA165" s="759"/>
      <c r="AB165" s="759"/>
      <c r="AC165" s="753"/>
      <c r="AD165" s="753"/>
      <c r="AE165" s="761"/>
      <c r="AF165" s="756"/>
      <c r="AG165" s="759"/>
      <c r="AH165" s="759"/>
      <c r="AI165" s="759"/>
      <c r="AJ165" s="753"/>
      <c r="AK165" s="753"/>
      <c r="AL165" s="761"/>
    </row>
    <row r="166" spans="2:38" x14ac:dyDescent="0.45">
      <c r="B166" s="850"/>
      <c r="C166" s="277"/>
      <c r="D166" s="344"/>
      <c r="E166" s="222"/>
      <c r="F166" s="211"/>
      <c r="G166" s="209"/>
      <c r="H166" s="209"/>
      <c r="I166" s="966"/>
      <c r="J166" s="475"/>
      <c r="K166" s="602"/>
      <c r="L166" s="433"/>
      <c r="M166" s="433">
        <f>E166*J156</f>
        <v>0</v>
      </c>
      <c r="N166" s="433"/>
      <c r="O166" s="597">
        <v>0</v>
      </c>
      <c r="P166" s="596">
        <f>F166</f>
        <v>0</v>
      </c>
      <c r="Q166" s="608"/>
      <c r="R166" s="433"/>
      <c r="S166" s="453">
        <f t="shared" si="9"/>
        <v>0</v>
      </c>
      <c r="T166" s="433"/>
      <c r="U166" s="753"/>
      <c r="V166" s="753"/>
      <c r="W166" s="753"/>
      <c r="X166" s="761"/>
      <c r="Y166" s="756"/>
      <c r="Z166" s="759"/>
      <c r="AA166" s="759"/>
      <c r="AB166" s="759"/>
      <c r="AC166" s="753"/>
      <c r="AD166" s="753"/>
      <c r="AE166" s="761"/>
      <c r="AF166" s="756"/>
      <c r="AG166" s="759"/>
      <c r="AH166" s="759"/>
      <c r="AI166" s="759"/>
      <c r="AJ166" s="753"/>
      <c r="AK166" s="753"/>
      <c r="AL166" s="761"/>
    </row>
    <row r="167" spans="2:38" x14ac:dyDescent="0.45">
      <c r="B167" s="813"/>
      <c r="C167" s="277"/>
      <c r="D167" s="279"/>
      <c r="E167" s="346"/>
      <c r="F167" s="207" t="s">
        <v>6</v>
      </c>
      <c r="G167" s="208" t="s">
        <v>111</v>
      </c>
      <c r="H167" s="209"/>
      <c r="I167" s="966"/>
      <c r="J167" s="475"/>
      <c r="K167" s="602"/>
      <c r="L167" s="433"/>
      <c r="M167" s="433"/>
      <c r="N167" s="433"/>
      <c r="O167" s="597"/>
      <c r="P167" s="596"/>
      <c r="Q167" s="608"/>
      <c r="R167" s="433"/>
      <c r="S167" s="433"/>
      <c r="T167" s="433"/>
      <c r="U167" s="433"/>
      <c r="V167" s="433"/>
      <c r="W167" s="433"/>
      <c r="X167" s="659"/>
      <c r="Y167" s="661"/>
      <c r="Z167" s="433"/>
      <c r="AA167" s="433"/>
      <c r="AB167" s="433"/>
      <c r="AC167" s="433"/>
      <c r="AD167" s="433"/>
      <c r="AE167" s="644"/>
      <c r="AF167" s="661"/>
      <c r="AG167" s="433"/>
      <c r="AH167" s="433"/>
      <c r="AI167" s="433"/>
      <c r="AJ167" s="433"/>
      <c r="AK167" s="433"/>
      <c r="AL167" s="644"/>
    </row>
    <row r="168" spans="2:38" x14ac:dyDescent="0.45">
      <c r="B168" s="813"/>
      <c r="C168" s="277"/>
      <c r="D168" s="279"/>
      <c r="E168" s="346"/>
      <c r="F168" s="207"/>
      <c r="G168" s="208"/>
      <c r="H168" s="209"/>
      <c r="I168" s="966"/>
      <c r="J168" s="475"/>
      <c r="K168" s="602"/>
      <c r="L168" s="433"/>
      <c r="M168" s="433"/>
      <c r="N168" s="433">
        <f>E168*J156</f>
        <v>0</v>
      </c>
      <c r="O168" s="597">
        <v>0</v>
      </c>
      <c r="P168" s="596">
        <v>0</v>
      </c>
      <c r="Q168" s="608"/>
      <c r="R168" s="433"/>
      <c r="S168" s="433"/>
      <c r="T168" s="453">
        <f>O168*Q168</f>
        <v>0</v>
      </c>
      <c r="U168" s="433"/>
      <c r="V168" s="433"/>
      <c r="W168" s="433"/>
      <c r="X168" s="659"/>
      <c r="Y168" s="661"/>
      <c r="Z168" s="433"/>
      <c r="AA168" s="433"/>
      <c r="AB168" s="433"/>
      <c r="AC168" s="433"/>
      <c r="AD168" s="433"/>
      <c r="AE168" s="644"/>
      <c r="AF168" s="661"/>
      <c r="AG168" s="433"/>
      <c r="AH168" s="433"/>
      <c r="AI168" s="433"/>
      <c r="AJ168" s="433"/>
      <c r="AK168" s="433"/>
      <c r="AL168" s="644"/>
    </row>
    <row r="169" spans="2:38" x14ac:dyDescent="0.45">
      <c r="B169" s="813"/>
      <c r="C169" s="277"/>
      <c r="D169" s="279"/>
      <c r="E169" s="346"/>
      <c r="F169" s="207" t="s">
        <v>112</v>
      </c>
      <c r="G169" s="208" t="s">
        <v>113</v>
      </c>
      <c r="H169" s="209"/>
      <c r="I169" s="966"/>
      <c r="J169" s="475"/>
      <c r="K169" s="602"/>
      <c r="L169" s="433"/>
      <c r="M169" s="433"/>
      <c r="N169" s="433"/>
      <c r="O169" s="433"/>
      <c r="P169" s="433"/>
      <c r="Q169" s="595"/>
      <c r="R169" s="433"/>
      <c r="S169" s="433"/>
      <c r="T169" s="433"/>
      <c r="U169" s="433"/>
      <c r="V169" s="433"/>
      <c r="W169" s="433"/>
      <c r="X169" s="659"/>
      <c r="Y169" s="661"/>
      <c r="Z169" s="433"/>
      <c r="AA169" s="433"/>
      <c r="AB169" s="433"/>
      <c r="AC169" s="433"/>
      <c r="AD169" s="433"/>
      <c r="AE169" s="644"/>
      <c r="AF169" s="661"/>
      <c r="AG169" s="433"/>
      <c r="AH169" s="433"/>
      <c r="AI169" s="433"/>
      <c r="AJ169" s="433"/>
      <c r="AK169" s="433"/>
      <c r="AL169" s="644"/>
    </row>
    <row r="170" spans="2:38" x14ac:dyDescent="0.45">
      <c r="B170" s="813"/>
      <c r="C170" s="277"/>
      <c r="D170" s="343"/>
      <c r="E170" s="347"/>
      <c r="F170" s="239" t="s">
        <v>114</v>
      </c>
      <c r="G170" s="257" t="s">
        <v>166</v>
      </c>
      <c r="H170" s="229"/>
      <c r="I170" s="980">
        <v>0.15</v>
      </c>
      <c r="J170" s="475"/>
      <c r="K170" s="602"/>
      <c r="L170" s="433"/>
      <c r="M170" s="433"/>
      <c r="N170" s="433"/>
      <c r="O170" s="433"/>
      <c r="P170" s="433"/>
      <c r="Q170" s="595"/>
      <c r="R170" s="433"/>
      <c r="S170" s="433"/>
      <c r="T170" s="433"/>
      <c r="U170" s="433"/>
      <c r="V170" s="433"/>
      <c r="W170" s="433"/>
      <c r="X170" s="659"/>
      <c r="Y170" s="661"/>
      <c r="Z170" s="433"/>
      <c r="AA170" s="433"/>
      <c r="AB170" s="433"/>
      <c r="AC170" s="433"/>
      <c r="AD170" s="433"/>
      <c r="AE170" s="644"/>
      <c r="AF170" s="661"/>
      <c r="AG170" s="433"/>
      <c r="AH170" s="433"/>
      <c r="AI170" s="433"/>
      <c r="AJ170" s="433"/>
      <c r="AK170" s="433"/>
      <c r="AL170" s="644"/>
    </row>
    <row r="171" spans="2:38" ht="17" thickBot="1" x14ac:dyDescent="0.5">
      <c r="B171" s="830"/>
      <c r="C171" s="831"/>
      <c r="D171" s="832"/>
      <c r="E171" s="833"/>
      <c r="F171" s="834" t="s">
        <v>115</v>
      </c>
      <c r="G171" s="816" t="s">
        <v>127</v>
      </c>
      <c r="H171" s="835"/>
      <c r="I171" s="981"/>
      <c r="J171" s="793"/>
      <c r="K171" s="763"/>
      <c r="L171" s="655"/>
      <c r="M171" s="655"/>
      <c r="N171" s="655"/>
      <c r="O171" s="655"/>
      <c r="P171" s="655"/>
      <c r="Q171" s="654"/>
      <c r="R171" s="655"/>
      <c r="S171" s="655"/>
      <c r="T171" s="655"/>
      <c r="U171" s="655"/>
      <c r="V171" s="655"/>
      <c r="W171" s="655"/>
      <c r="X171" s="660"/>
      <c r="Y171" s="662"/>
      <c r="Z171" s="655"/>
      <c r="AA171" s="655"/>
      <c r="AB171" s="655"/>
      <c r="AC171" s="655"/>
      <c r="AD171" s="655"/>
      <c r="AE171" s="656"/>
      <c r="AF171" s="662"/>
      <c r="AG171" s="655"/>
      <c r="AH171" s="655"/>
      <c r="AI171" s="655"/>
      <c r="AJ171" s="655"/>
      <c r="AK171" s="655"/>
      <c r="AL171" s="656"/>
    </row>
  </sheetData>
  <mergeCells count="105">
    <mergeCell ref="AF14:AG14"/>
    <mergeCell ref="B36:B38"/>
    <mergeCell ref="C36:C38"/>
    <mergeCell ref="D36:D38"/>
    <mergeCell ref="E36:E38"/>
    <mergeCell ref="F36:F38"/>
    <mergeCell ref="J14:J15"/>
    <mergeCell ref="L14:P14"/>
    <mergeCell ref="R14:T14"/>
    <mergeCell ref="Y14:Z14"/>
    <mergeCell ref="G16:I16"/>
    <mergeCell ref="J36:X36"/>
    <mergeCell ref="Y36:AE36"/>
    <mergeCell ref="AF36:AL36"/>
    <mergeCell ref="J37:J38"/>
    <mergeCell ref="L37:P37"/>
    <mergeCell ref="R37:T37"/>
    <mergeCell ref="Y37:Z37"/>
    <mergeCell ref="AF37:AG37"/>
    <mergeCell ref="L83:P83"/>
    <mergeCell ref="R83:T83"/>
    <mergeCell ref="Y83:Z83"/>
    <mergeCell ref="AF83:AG83"/>
    <mergeCell ref="G62:I62"/>
    <mergeCell ref="J59:X59"/>
    <mergeCell ref="Y59:AE59"/>
    <mergeCell ref="AF59:AL59"/>
    <mergeCell ref="J60:J61"/>
    <mergeCell ref="L60:P60"/>
    <mergeCell ref="R60:T60"/>
    <mergeCell ref="Y60:Z60"/>
    <mergeCell ref="AF60:AG60"/>
    <mergeCell ref="G59:I61"/>
    <mergeCell ref="J13:X13"/>
    <mergeCell ref="Y13:AE13"/>
    <mergeCell ref="AF13:AL13"/>
    <mergeCell ref="G108:I108"/>
    <mergeCell ref="B13:B15"/>
    <mergeCell ref="C13:C15"/>
    <mergeCell ref="D13:D15"/>
    <mergeCell ref="E13:E15"/>
    <mergeCell ref="F13:F15"/>
    <mergeCell ref="G13:I15"/>
    <mergeCell ref="J105:X105"/>
    <mergeCell ref="Y105:AE105"/>
    <mergeCell ref="AF105:AL105"/>
    <mergeCell ref="J106:J107"/>
    <mergeCell ref="L106:P106"/>
    <mergeCell ref="R106:T106"/>
    <mergeCell ref="Y106:Z106"/>
    <mergeCell ref="AF106:AG106"/>
    <mergeCell ref="G85:I85"/>
    <mergeCell ref="J82:X82"/>
    <mergeCell ref="Y82:AE82"/>
    <mergeCell ref="AF82:AL82"/>
    <mergeCell ref="J83:J84"/>
    <mergeCell ref="G36:I38"/>
    <mergeCell ref="B82:B84"/>
    <mergeCell ref="C82:C84"/>
    <mergeCell ref="D82:D84"/>
    <mergeCell ref="E82:E84"/>
    <mergeCell ref="F82:F84"/>
    <mergeCell ref="G82:I84"/>
    <mergeCell ref="B105:B107"/>
    <mergeCell ref="C105:C107"/>
    <mergeCell ref="G39:I39"/>
    <mergeCell ref="B59:B61"/>
    <mergeCell ref="C59:C61"/>
    <mergeCell ref="D59:D61"/>
    <mergeCell ref="E59:E61"/>
    <mergeCell ref="F59:F61"/>
    <mergeCell ref="AF128:AL128"/>
    <mergeCell ref="J129:J130"/>
    <mergeCell ref="L129:P129"/>
    <mergeCell ref="R129:T129"/>
    <mergeCell ref="Y129:Z129"/>
    <mergeCell ref="AF129:AG129"/>
    <mergeCell ref="D105:D107"/>
    <mergeCell ref="E105:E107"/>
    <mergeCell ref="F105:F107"/>
    <mergeCell ref="G105:I107"/>
    <mergeCell ref="D128:D130"/>
    <mergeCell ref="E128:E130"/>
    <mergeCell ref="F128:F130"/>
    <mergeCell ref="G128:I130"/>
    <mergeCell ref="G131:I131"/>
    <mergeCell ref="B151:B153"/>
    <mergeCell ref="C151:C153"/>
    <mergeCell ref="D151:D153"/>
    <mergeCell ref="E151:E153"/>
    <mergeCell ref="F151:F153"/>
    <mergeCell ref="G151:I153"/>
    <mergeCell ref="J128:X128"/>
    <mergeCell ref="Y128:AE128"/>
    <mergeCell ref="B128:B130"/>
    <mergeCell ref="C128:C130"/>
    <mergeCell ref="G154:I154"/>
    <mergeCell ref="J151:X151"/>
    <mergeCell ref="Y151:AE151"/>
    <mergeCell ref="AF151:AL151"/>
    <mergeCell ref="J152:J153"/>
    <mergeCell ref="L152:P152"/>
    <mergeCell ref="R152:T152"/>
    <mergeCell ref="Y152:Z152"/>
    <mergeCell ref="AF152:AG152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54D1-B6EA-448A-AD05-FB59B4F8CF4A}">
  <sheetPr>
    <tabColor rgb="FFFFFF00"/>
  </sheetPr>
  <dimension ref="A1:AL81"/>
  <sheetViews>
    <sheetView view="pageBreakPreview" topLeftCell="P13" zoomScale="72" zoomScaleNormal="100" zoomScaleSheetLayoutView="72" workbookViewId="0">
      <selection activeCell="E4" sqref="E4"/>
    </sheetView>
  </sheetViews>
  <sheetFormatPr defaultRowHeight="16.5" x14ac:dyDescent="0.45"/>
  <cols>
    <col min="1" max="1" width="2.1796875" style="1" customWidth="1"/>
    <col min="2" max="2" width="6.81640625" style="38" customWidth="1"/>
    <col min="3" max="3" width="10.7265625" style="38" customWidth="1"/>
    <col min="4" max="4" width="7.1796875" style="38" customWidth="1"/>
    <col min="5" max="5" width="11.1796875" style="38" customWidth="1"/>
    <col min="6" max="7" width="9.1796875" style="38"/>
    <col min="8" max="8" width="12.1796875" style="38" customWidth="1"/>
    <col min="9" max="9" width="15.453125" style="38" customWidth="1"/>
    <col min="10" max="10" width="12.1796875" customWidth="1"/>
    <col min="11" max="11" width="12" customWidth="1"/>
    <col min="12" max="12" width="15.54296875" customWidth="1"/>
    <col min="13" max="13" width="13.26953125" customWidth="1"/>
    <col min="14" max="14" width="11.7265625" customWidth="1"/>
    <col min="15" max="15" width="19.54296875" customWidth="1"/>
    <col min="16" max="16" width="10.453125" customWidth="1"/>
    <col min="17" max="17" width="32.1796875" customWidth="1"/>
    <col min="18" max="18" width="17.453125" customWidth="1"/>
    <col min="19" max="19" width="18.7265625" customWidth="1"/>
    <col min="20" max="20" width="18.54296875" customWidth="1"/>
    <col min="21" max="21" width="19.26953125" customWidth="1"/>
    <col min="22" max="22" width="18.453125" customWidth="1"/>
    <col min="23" max="23" width="19.54296875" bestFit="1" customWidth="1"/>
    <col min="24" max="24" width="18.453125" customWidth="1"/>
    <col min="25" max="25" width="18" customWidth="1"/>
    <col min="26" max="27" width="21.453125" customWidth="1"/>
    <col min="28" max="28" width="23.7265625" customWidth="1"/>
    <col min="29" max="31" width="19.7265625" customWidth="1"/>
    <col min="32" max="32" width="28.81640625" customWidth="1"/>
    <col min="33" max="33" width="25" customWidth="1"/>
    <col min="34" max="34" width="21.453125" customWidth="1"/>
    <col min="35" max="35" width="18.1796875" customWidth="1"/>
    <col min="36" max="38" width="19.7265625" customWidth="1"/>
  </cols>
  <sheetData>
    <row r="1" spans="2:38" x14ac:dyDescent="0.45">
      <c r="B1" s="8" t="s">
        <v>598</v>
      </c>
      <c r="C1" s="8"/>
      <c r="D1" s="8"/>
      <c r="E1" s="8"/>
      <c r="F1" s="8"/>
      <c r="G1" s="8"/>
      <c r="H1" s="8"/>
      <c r="I1" s="8"/>
    </row>
    <row r="2" spans="2:38" ht="9.75" customHeight="1" x14ac:dyDescent="0.45">
      <c r="Z2" s="657"/>
      <c r="AA2" s="657"/>
      <c r="AB2" s="657"/>
      <c r="AC2" s="657"/>
      <c r="AD2" s="657"/>
      <c r="AE2" s="657"/>
      <c r="AG2" s="657"/>
      <c r="AH2" s="657"/>
      <c r="AI2" s="657"/>
      <c r="AJ2" s="657"/>
      <c r="AK2" s="657"/>
      <c r="AL2" s="657"/>
    </row>
    <row r="3" spans="2:38" x14ac:dyDescent="0.45">
      <c r="B3" s="38" t="str">
        <f>+Rekapitulasi!A4</f>
        <v>PEKERJAAN</v>
      </c>
      <c r="D3" s="112" t="s">
        <v>1</v>
      </c>
      <c r="E3" s="195" t="str">
        <f>RAP!B81</f>
        <v xml:space="preserve">PEKERJAAN PENGECATAN </v>
      </c>
      <c r="G3" s="111"/>
      <c r="H3" s="111"/>
      <c r="I3" s="111"/>
      <c r="Z3" s="657"/>
      <c r="AA3" s="657"/>
      <c r="AB3" s="657"/>
      <c r="AC3" s="657"/>
      <c r="AD3" s="657"/>
      <c r="AE3" s="657"/>
      <c r="AG3" s="657"/>
      <c r="AH3" s="657"/>
      <c r="AI3" s="657"/>
      <c r="AJ3" s="657"/>
      <c r="AK3" s="657"/>
      <c r="AL3" s="657"/>
    </row>
    <row r="4" spans="2:38" x14ac:dyDescent="0.45">
      <c r="D4" s="112"/>
      <c r="E4" s="195"/>
      <c r="G4" s="111"/>
      <c r="H4" s="111"/>
      <c r="I4" s="111"/>
      <c r="Z4" s="657"/>
      <c r="AA4" s="657"/>
      <c r="AB4" s="657"/>
      <c r="AC4" s="657"/>
      <c r="AD4" s="657"/>
      <c r="AE4" s="657"/>
      <c r="AG4" s="657"/>
      <c r="AH4" s="657"/>
      <c r="AI4" s="657"/>
      <c r="AJ4" s="657"/>
      <c r="AK4" s="657"/>
      <c r="AL4" s="657"/>
    </row>
    <row r="5" spans="2:38" x14ac:dyDescent="0.45">
      <c r="B5" s="38" t="s">
        <v>510</v>
      </c>
      <c r="D5" s="112"/>
      <c r="E5" s="195"/>
      <c r="G5" s="111"/>
      <c r="H5" s="111"/>
      <c r="I5" s="111"/>
      <c r="Z5" s="657"/>
      <c r="AA5" s="657"/>
      <c r="AB5" s="657"/>
      <c r="AC5" s="657"/>
      <c r="AD5" s="657"/>
      <c r="AE5" s="657"/>
      <c r="AG5" s="657"/>
      <c r="AH5" s="657"/>
      <c r="AI5" s="657"/>
      <c r="AJ5" s="657"/>
      <c r="AK5" s="657"/>
      <c r="AL5" s="657"/>
    </row>
    <row r="6" spans="2:38" x14ac:dyDescent="0.45">
      <c r="B6" s="637"/>
      <c r="C6" s="38" t="s">
        <v>522</v>
      </c>
      <c r="D6" s="112"/>
      <c r="E6" s="195"/>
      <c r="G6" s="111"/>
      <c r="H6" s="111"/>
      <c r="I6" s="111"/>
      <c r="Z6" s="657"/>
      <c r="AA6" s="657"/>
      <c r="AB6" s="657"/>
      <c r="AC6" s="657"/>
      <c r="AD6" s="657"/>
      <c r="AE6" s="657"/>
      <c r="AG6" s="657"/>
      <c r="AH6" s="657"/>
      <c r="AI6" s="657"/>
      <c r="AJ6" s="657"/>
      <c r="AK6" s="657"/>
      <c r="AL6" s="657"/>
    </row>
    <row r="7" spans="2:38" x14ac:dyDescent="0.45">
      <c r="B7" s="638"/>
      <c r="C7" s="38" t="s">
        <v>523</v>
      </c>
      <c r="D7" s="112"/>
      <c r="E7" s="195"/>
      <c r="G7" s="111"/>
      <c r="H7" s="111"/>
      <c r="I7" s="111"/>
      <c r="Z7" s="657"/>
      <c r="AA7" s="657"/>
      <c r="AB7" s="657"/>
      <c r="AC7" s="657"/>
      <c r="AD7" s="657"/>
      <c r="AE7" s="657"/>
      <c r="AG7" s="657"/>
      <c r="AH7" s="657"/>
      <c r="AI7" s="657"/>
      <c r="AJ7" s="657"/>
      <c r="AK7" s="657"/>
      <c r="AL7" s="657"/>
    </row>
    <row r="8" spans="2:38" x14ac:dyDescent="0.45">
      <c r="B8" s="841"/>
      <c r="C8" s="38" t="s">
        <v>616</v>
      </c>
      <c r="D8" s="112"/>
      <c r="E8" s="195"/>
      <c r="G8" s="111"/>
      <c r="H8" s="111"/>
      <c r="I8" s="111"/>
      <c r="Z8" s="657"/>
      <c r="AA8" s="657"/>
      <c r="AB8" s="657"/>
      <c r="AC8" s="657"/>
      <c r="AD8" s="657"/>
      <c r="AE8" s="657"/>
      <c r="AG8" s="657"/>
      <c r="AH8" s="657"/>
      <c r="AI8" s="657"/>
      <c r="AJ8" s="657"/>
      <c r="AK8" s="657"/>
      <c r="AL8" s="657"/>
    </row>
    <row r="9" spans="2:38" x14ac:dyDescent="0.45">
      <c r="B9" s="847"/>
      <c r="C9" s="38" t="s">
        <v>620</v>
      </c>
      <c r="D9" s="112"/>
      <c r="E9" s="195"/>
      <c r="G9" s="111"/>
      <c r="H9" s="111"/>
      <c r="I9" s="111"/>
      <c r="Z9" s="657"/>
      <c r="AA9" s="657"/>
      <c r="AB9" s="657"/>
      <c r="AC9" s="657"/>
      <c r="AD9" s="657"/>
      <c r="AE9" s="657"/>
      <c r="AG9" s="657"/>
      <c r="AH9" s="657"/>
      <c r="AI9" s="657"/>
      <c r="AJ9" s="657"/>
      <c r="AK9" s="657"/>
      <c r="AL9" s="657"/>
    </row>
    <row r="10" spans="2:38" x14ac:dyDescent="0.45">
      <c r="D10" s="112"/>
      <c r="E10" s="195"/>
      <c r="G10" s="111"/>
      <c r="H10" s="111"/>
      <c r="I10" s="111"/>
      <c r="Z10" s="657"/>
      <c r="AA10" s="657"/>
      <c r="AB10" s="657"/>
      <c r="AC10" s="657"/>
      <c r="AD10" s="657"/>
      <c r="AE10" s="657"/>
      <c r="AG10" s="657"/>
      <c r="AH10" s="657"/>
      <c r="AI10" s="657"/>
      <c r="AJ10" s="657"/>
      <c r="AK10" s="657"/>
      <c r="AL10" s="657"/>
    </row>
    <row r="11" spans="2:38" ht="17" thickBot="1" x14ac:dyDescent="0.5">
      <c r="B11" s="749" t="s">
        <v>708</v>
      </c>
      <c r="C11" s="750" t="str">
        <f>RAP!B82</f>
        <v>Cat Dinding Interior</v>
      </c>
      <c r="D11" s="241"/>
      <c r="E11" s="241"/>
      <c r="F11" s="276"/>
      <c r="G11" s="240"/>
      <c r="H11" s="241"/>
      <c r="I11" s="241"/>
      <c r="J11" s="604"/>
      <c r="K11" s="603"/>
      <c r="L11" s="604"/>
      <c r="M11" s="604"/>
      <c r="N11" s="604"/>
      <c r="O11" s="604"/>
      <c r="P11" s="604"/>
      <c r="Q11" s="604"/>
      <c r="R11" s="609"/>
      <c r="S11" s="609"/>
      <c r="T11" s="609"/>
      <c r="U11" s="609"/>
      <c r="V11" s="609"/>
      <c r="W11" s="609"/>
      <c r="X11" s="609"/>
      <c r="Y11" s="609"/>
      <c r="Z11" s="609"/>
      <c r="AA11" s="609"/>
      <c r="AB11" s="609"/>
      <c r="AC11" s="609"/>
      <c r="AD11" s="609"/>
      <c r="AE11" s="609"/>
      <c r="AF11" s="609"/>
      <c r="AG11" s="609"/>
      <c r="AH11" s="609"/>
      <c r="AI11" s="609"/>
      <c r="AJ11" s="609"/>
      <c r="AK11" s="609"/>
      <c r="AL11" s="609"/>
    </row>
    <row r="12" spans="2:38" ht="19.5" customHeight="1" x14ac:dyDescent="0.45">
      <c r="B12" s="1168" t="s">
        <v>99</v>
      </c>
      <c r="C12" s="1171" t="s">
        <v>100</v>
      </c>
      <c r="D12" s="1171" t="s">
        <v>89</v>
      </c>
      <c r="E12" s="1171" t="s">
        <v>101</v>
      </c>
      <c r="F12" s="1171" t="s">
        <v>102</v>
      </c>
      <c r="G12" s="1109" t="s">
        <v>103</v>
      </c>
      <c r="H12" s="1110"/>
      <c r="I12" s="1175"/>
      <c r="J12" s="1152" t="s">
        <v>539</v>
      </c>
      <c r="K12" s="1152"/>
      <c r="L12" s="1152"/>
      <c r="M12" s="1152"/>
      <c r="N12" s="1152"/>
      <c r="O12" s="1152"/>
      <c r="P12" s="1152"/>
      <c r="Q12" s="1152"/>
      <c r="R12" s="1152"/>
      <c r="S12" s="1152"/>
      <c r="T12" s="1152"/>
      <c r="U12" s="1152"/>
      <c r="V12" s="1152"/>
      <c r="W12" s="1152"/>
      <c r="X12" s="1152"/>
      <c r="Y12" s="1153" t="s">
        <v>540</v>
      </c>
      <c r="Z12" s="1154"/>
      <c r="AA12" s="1154"/>
      <c r="AB12" s="1154"/>
      <c r="AC12" s="1154"/>
      <c r="AD12" s="1154"/>
      <c r="AE12" s="1155"/>
      <c r="AF12" s="1156" t="s">
        <v>541</v>
      </c>
      <c r="AG12" s="1157"/>
      <c r="AH12" s="1157"/>
      <c r="AI12" s="1157"/>
      <c r="AJ12" s="1157"/>
      <c r="AK12" s="1157"/>
      <c r="AL12" s="1158"/>
    </row>
    <row r="13" spans="2:38" ht="45" x14ac:dyDescent="0.45">
      <c r="B13" s="1169"/>
      <c r="C13" s="1089"/>
      <c r="D13" s="1089"/>
      <c r="E13" s="1089"/>
      <c r="F13" s="1089"/>
      <c r="G13" s="1026"/>
      <c r="H13" s="1027"/>
      <c r="I13" s="1176"/>
      <c r="J13" s="1185" t="s">
        <v>15</v>
      </c>
      <c r="K13" s="673" t="s">
        <v>493</v>
      </c>
      <c r="L13" s="1161" t="s">
        <v>491</v>
      </c>
      <c r="M13" s="1162"/>
      <c r="N13" s="1162"/>
      <c r="O13" s="1162"/>
      <c r="P13" s="1163"/>
      <c r="Q13" s="674" t="s">
        <v>533</v>
      </c>
      <c r="R13" s="1161" t="s">
        <v>501</v>
      </c>
      <c r="S13" s="1162"/>
      <c r="T13" s="1163"/>
      <c r="U13" s="674" t="s">
        <v>530</v>
      </c>
      <c r="V13" s="674" t="s">
        <v>531</v>
      </c>
      <c r="W13" s="674" t="s">
        <v>578</v>
      </c>
      <c r="X13" s="681" t="s">
        <v>579</v>
      </c>
      <c r="Y13" s="1164" t="s">
        <v>534</v>
      </c>
      <c r="Z13" s="1165"/>
      <c r="AA13" s="663" t="s">
        <v>537</v>
      </c>
      <c r="AB13" s="664" t="s">
        <v>538</v>
      </c>
      <c r="AC13" s="665" t="s">
        <v>530</v>
      </c>
      <c r="AD13" s="665" t="s">
        <v>578</v>
      </c>
      <c r="AE13" s="682" t="s">
        <v>579</v>
      </c>
      <c r="AF13" s="1166" t="s">
        <v>542</v>
      </c>
      <c r="AG13" s="1167"/>
      <c r="AH13" s="737" t="s">
        <v>543</v>
      </c>
      <c r="AI13" s="738" t="s">
        <v>544</v>
      </c>
      <c r="AJ13" s="739" t="s">
        <v>530</v>
      </c>
      <c r="AK13" s="739" t="s">
        <v>578</v>
      </c>
      <c r="AL13" s="740" t="s">
        <v>579</v>
      </c>
    </row>
    <row r="14" spans="2:38" ht="30" x14ac:dyDescent="0.45">
      <c r="B14" s="1170"/>
      <c r="C14" s="1090"/>
      <c r="D14" s="1090"/>
      <c r="E14" s="1090"/>
      <c r="F14" s="1090"/>
      <c r="G14" s="1085"/>
      <c r="H14" s="1086"/>
      <c r="I14" s="1177"/>
      <c r="J14" s="1174"/>
      <c r="K14" s="675" t="s">
        <v>495</v>
      </c>
      <c r="L14" s="676" t="s">
        <v>524</v>
      </c>
      <c r="M14" s="676" t="s">
        <v>525</v>
      </c>
      <c r="N14" s="676" t="s">
        <v>526</v>
      </c>
      <c r="O14" s="675" t="s">
        <v>517</v>
      </c>
      <c r="P14" s="675" t="s">
        <v>290</v>
      </c>
      <c r="Q14" s="675" t="s">
        <v>532</v>
      </c>
      <c r="R14" s="676" t="s">
        <v>527</v>
      </c>
      <c r="S14" s="676" t="s">
        <v>528</v>
      </c>
      <c r="T14" s="677" t="s">
        <v>529</v>
      </c>
      <c r="U14" s="675" t="s">
        <v>502</v>
      </c>
      <c r="V14" s="675" t="s">
        <v>502</v>
      </c>
      <c r="W14" s="675" t="s">
        <v>502</v>
      </c>
      <c r="X14" s="678" t="s">
        <v>504</v>
      </c>
      <c r="Y14" s="666" t="s">
        <v>535</v>
      </c>
      <c r="Z14" s="667" t="s">
        <v>536</v>
      </c>
      <c r="AA14" s="668" t="s">
        <v>532</v>
      </c>
      <c r="AB14" s="668" t="s">
        <v>532</v>
      </c>
      <c r="AC14" s="668" t="s">
        <v>532</v>
      </c>
      <c r="AD14" s="668" t="s">
        <v>532</v>
      </c>
      <c r="AE14" s="669" t="s">
        <v>532</v>
      </c>
      <c r="AF14" s="741" t="s">
        <v>535</v>
      </c>
      <c r="AG14" s="742" t="s">
        <v>536</v>
      </c>
      <c r="AH14" s="743" t="s">
        <v>532</v>
      </c>
      <c r="AI14" s="743" t="s">
        <v>532</v>
      </c>
      <c r="AJ14" s="743" t="s">
        <v>532</v>
      </c>
      <c r="AK14" s="743" t="s">
        <v>532</v>
      </c>
      <c r="AL14" s="744" t="s">
        <v>532</v>
      </c>
    </row>
    <row r="15" spans="2:38" ht="30" x14ac:dyDescent="0.45">
      <c r="B15" s="639" t="s">
        <v>4</v>
      </c>
      <c r="C15" s="600" t="s">
        <v>5</v>
      </c>
      <c r="D15" s="570" t="s">
        <v>6</v>
      </c>
      <c r="E15" s="570" t="s">
        <v>112</v>
      </c>
      <c r="F15" s="570" t="s">
        <v>114</v>
      </c>
      <c r="G15" s="1014" t="s">
        <v>115</v>
      </c>
      <c r="H15" s="1014"/>
      <c r="I15" s="1172"/>
      <c r="J15" s="791" t="s">
        <v>21</v>
      </c>
      <c r="K15" s="675" t="s">
        <v>496</v>
      </c>
      <c r="L15" s="675" t="s">
        <v>497</v>
      </c>
      <c r="M15" s="675" t="s">
        <v>498</v>
      </c>
      <c r="N15" s="675" t="s">
        <v>499</v>
      </c>
      <c r="O15" s="676" t="s">
        <v>552</v>
      </c>
      <c r="P15" s="675" t="s">
        <v>512</v>
      </c>
      <c r="Q15" s="675" t="s">
        <v>503</v>
      </c>
      <c r="R15" s="675" t="s">
        <v>553</v>
      </c>
      <c r="S15" s="675" t="s">
        <v>513</v>
      </c>
      <c r="T15" s="675" t="s">
        <v>514</v>
      </c>
      <c r="U15" s="675" t="s">
        <v>554</v>
      </c>
      <c r="V15" s="675" t="s">
        <v>515</v>
      </c>
      <c r="W15" s="675" t="s">
        <v>555</v>
      </c>
      <c r="X15" s="678" t="s">
        <v>516</v>
      </c>
      <c r="Y15" s="670" t="s">
        <v>556</v>
      </c>
      <c r="Z15" s="671" t="s">
        <v>557</v>
      </c>
      <c r="AA15" s="671" t="s">
        <v>558</v>
      </c>
      <c r="AB15" s="671" t="s">
        <v>559</v>
      </c>
      <c r="AC15" s="671" t="s">
        <v>560</v>
      </c>
      <c r="AD15" s="671" t="s">
        <v>561</v>
      </c>
      <c r="AE15" s="672" t="s">
        <v>562</v>
      </c>
      <c r="AF15" s="745" t="s">
        <v>563</v>
      </c>
      <c r="AG15" s="746" t="s">
        <v>564</v>
      </c>
      <c r="AH15" s="746" t="s">
        <v>565</v>
      </c>
      <c r="AI15" s="746" t="s">
        <v>566</v>
      </c>
      <c r="AJ15" s="746" t="s">
        <v>567</v>
      </c>
      <c r="AK15" s="746" t="s">
        <v>568</v>
      </c>
      <c r="AL15" s="747" t="s">
        <v>569</v>
      </c>
    </row>
    <row r="16" spans="2:38" ht="15.5" x14ac:dyDescent="0.45">
      <c r="B16" s="1186">
        <v>1</v>
      </c>
      <c r="C16" s="1187" t="s">
        <v>41</v>
      </c>
      <c r="D16" s="582"/>
      <c r="E16" s="943">
        <v>1</v>
      </c>
      <c r="F16" s="583" t="s">
        <v>30</v>
      </c>
      <c r="G16" s="561" t="s">
        <v>264</v>
      </c>
      <c r="H16" s="585"/>
      <c r="I16" s="997"/>
      <c r="J16" s="828"/>
      <c r="K16" s="828"/>
      <c r="L16" s="828"/>
      <c r="M16" s="828"/>
      <c r="N16" s="828"/>
      <c r="O16" s="828"/>
      <c r="P16" s="828"/>
      <c r="Q16" s="828"/>
      <c r="R16" s="828"/>
      <c r="S16" s="828"/>
      <c r="T16" s="828"/>
      <c r="U16" s="828"/>
      <c r="V16" s="828"/>
      <c r="W16" s="828"/>
      <c r="X16" s="828"/>
      <c r="Y16" s="828"/>
      <c r="Z16" s="828"/>
      <c r="AA16" s="828"/>
      <c r="AB16" s="828"/>
      <c r="AC16" s="828"/>
      <c r="AD16" s="828"/>
      <c r="AE16" s="828"/>
      <c r="AF16" s="828"/>
      <c r="AG16" s="828"/>
      <c r="AH16" s="828"/>
      <c r="AI16" s="828"/>
      <c r="AJ16" s="828"/>
      <c r="AK16" s="828"/>
      <c r="AL16" s="828"/>
    </row>
    <row r="17" spans="2:38" ht="15.5" x14ac:dyDescent="0.45">
      <c r="B17" s="1179"/>
      <c r="C17" s="1070"/>
      <c r="D17" s="582"/>
      <c r="E17" s="583"/>
      <c r="F17" s="584"/>
      <c r="G17" s="561" t="s">
        <v>263</v>
      </c>
      <c r="H17" s="585"/>
      <c r="I17" s="997"/>
      <c r="J17" s="789"/>
      <c r="K17" s="789"/>
      <c r="L17" s="789"/>
      <c r="M17" s="789"/>
      <c r="N17" s="789"/>
      <c r="O17" s="789"/>
      <c r="P17" s="789"/>
      <c r="Q17" s="789"/>
      <c r="R17" s="789"/>
      <c r="S17" s="789"/>
      <c r="T17" s="789"/>
      <c r="U17" s="789"/>
      <c r="V17" s="789"/>
      <c r="W17" s="789"/>
      <c r="X17" s="789"/>
      <c r="Y17" s="789"/>
      <c r="Z17" s="789"/>
      <c r="AA17" s="789"/>
      <c r="AB17" s="789"/>
      <c r="AC17" s="789"/>
      <c r="AD17" s="789"/>
      <c r="AE17" s="789"/>
      <c r="AF17" s="789"/>
      <c r="AG17" s="789"/>
      <c r="AH17" s="789"/>
      <c r="AI17" s="789"/>
      <c r="AJ17" s="789"/>
      <c r="AK17" s="789"/>
      <c r="AL17" s="790"/>
    </row>
    <row r="18" spans="2:38" x14ac:dyDescent="0.45">
      <c r="B18" s="784"/>
      <c r="C18" s="229"/>
      <c r="D18" s="230"/>
      <c r="E18" s="284"/>
      <c r="F18" s="285" t="s">
        <v>4</v>
      </c>
      <c r="G18" s="353" t="s">
        <v>120</v>
      </c>
      <c r="H18" s="209"/>
      <c r="I18" s="966"/>
      <c r="J18" s="792">
        <f>RAP!E82</f>
        <v>518.04999999999995</v>
      </c>
      <c r="K18" s="601">
        <v>8</v>
      </c>
      <c r="L18" s="319"/>
      <c r="M18" s="319"/>
      <c r="N18" s="319"/>
      <c r="O18" s="598"/>
      <c r="P18" s="598"/>
      <c r="Q18" s="605"/>
      <c r="R18" s="485"/>
      <c r="S18" s="485"/>
      <c r="T18" s="485"/>
      <c r="U18" s="752">
        <f>SUM(R18:R33)+(SUM(S18:S33)+SUM(T18:T33))</f>
        <v>10722000</v>
      </c>
      <c r="V18" s="754">
        <f>RAP!H82</f>
        <v>11556801.859999999</v>
      </c>
      <c r="W18" s="752">
        <f>V18-U18</f>
        <v>834801.8599999994</v>
      </c>
      <c r="X18" s="760">
        <f>W18/V18*100</f>
        <v>7.2234677907681926</v>
      </c>
      <c r="Y18" s="755">
        <f>SUM(R18:R33)/J18</f>
        <v>9111.089663159928</v>
      </c>
      <c r="Z18" s="757">
        <v>8000</v>
      </c>
      <c r="AA18" s="758">
        <f>J18*Z18</f>
        <v>4144399.9999999995</v>
      </c>
      <c r="AB18" s="758">
        <f>SUM(S18:S33)+SUM(T18:T33)</f>
        <v>6002000</v>
      </c>
      <c r="AC18" s="752">
        <f>AA18+AB18</f>
        <v>10146400</v>
      </c>
      <c r="AD18" s="752">
        <f>V18-AC18</f>
        <v>1410401.8599999994</v>
      </c>
      <c r="AE18" s="760">
        <f>AD18/V18*100</f>
        <v>12.204084461131355</v>
      </c>
      <c r="AF18" s="755">
        <f>(SUM(R18:R33)+SUM(S18:S33))/J18</f>
        <v>20696.843933983208</v>
      </c>
      <c r="AG18" s="757">
        <v>20000</v>
      </c>
      <c r="AH18" s="758">
        <f>AG18*J18</f>
        <v>10361000</v>
      </c>
      <c r="AI18" s="758">
        <f>SUM(T18:T33)</f>
        <v>0</v>
      </c>
      <c r="AJ18" s="752">
        <f>AH18+AI18</f>
        <v>10361000</v>
      </c>
      <c r="AK18" s="752">
        <f>V18-AJ18</f>
        <v>1195801.8599999994</v>
      </c>
      <c r="AL18" s="760">
        <f>AK18/V18*100</f>
        <v>10.347169350881295</v>
      </c>
    </row>
    <row r="19" spans="2:38" x14ac:dyDescent="0.45">
      <c r="B19" s="784"/>
      <c r="C19" s="229"/>
      <c r="D19" s="211" t="s">
        <v>107</v>
      </c>
      <c r="E19" s="397">
        <v>0.02</v>
      </c>
      <c r="F19" s="267" t="s">
        <v>108</v>
      </c>
      <c r="G19" s="339" t="s">
        <v>51</v>
      </c>
      <c r="H19" s="209"/>
      <c r="I19" s="966"/>
      <c r="J19" s="475"/>
      <c r="K19" s="602"/>
      <c r="L19" s="433">
        <f>E19*J18/K18</f>
        <v>1.2951249999999999</v>
      </c>
      <c r="M19" s="433"/>
      <c r="N19" s="433"/>
      <c r="O19" s="597">
        <v>2</v>
      </c>
      <c r="P19" s="596" t="str">
        <f>F19</f>
        <v>OH</v>
      </c>
      <c r="Q19" s="608">
        <f>'Analisa Upah RAP'!G5</f>
        <v>75000</v>
      </c>
      <c r="R19" s="453">
        <f>O19*Q19*K18</f>
        <v>1200000</v>
      </c>
      <c r="S19" s="453"/>
      <c r="T19" s="453"/>
      <c r="U19" s="753"/>
      <c r="V19" s="753"/>
      <c r="W19" s="753"/>
      <c r="X19" s="761"/>
      <c r="Y19" s="756"/>
      <c r="Z19" s="759"/>
      <c r="AA19" s="759"/>
      <c r="AB19" s="759"/>
      <c r="AC19" s="753"/>
      <c r="AD19" s="753"/>
      <c r="AE19" s="761"/>
      <c r="AF19" s="756"/>
      <c r="AG19" s="759"/>
      <c r="AH19" s="759"/>
      <c r="AI19" s="759"/>
      <c r="AJ19" s="753"/>
      <c r="AK19" s="753"/>
      <c r="AL19" s="761"/>
    </row>
    <row r="20" spans="2:38" x14ac:dyDescent="0.45">
      <c r="B20" s="784"/>
      <c r="C20" s="229"/>
      <c r="D20" s="211" t="s">
        <v>121</v>
      </c>
      <c r="E20" s="399">
        <v>6.3E-2</v>
      </c>
      <c r="F20" s="267" t="s">
        <v>108</v>
      </c>
      <c r="G20" s="339" t="s">
        <v>59</v>
      </c>
      <c r="H20" s="209"/>
      <c r="I20" s="966"/>
      <c r="J20" s="475"/>
      <c r="K20" s="602"/>
      <c r="L20" s="433">
        <f>E20*J18/K18</f>
        <v>4.0796437499999998</v>
      </c>
      <c r="M20" s="433"/>
      <c r="N20" s="433"/>
      <c r="O20" s="597">
        <v>4</v>
      </c>
      <c r="P20" s="596" t="str">
        <f>F20</f>
        <v>OH</v>
      </c>
      <c r="Q20" s="608">
        <f>'Analisa Upah RAP'!G9</f>
        <v>85000</v>
      </c>
      <c r="R20" s="453">
        <f>O20*Q20*K18</f>
        <v>2720000</v>
      </c>
      <c r="S20" s="453"/>
      <c r="T20" s="453"/>
      <c r="U20" s="753"/>
      <c r="V20" s="753"/>
      <c r="W20" s="753"/>
      <c r="X20" s="761"/>
      <c r="Y20" s="756"/>
      <c r="Z20" s="759"/>
      <c r="AA20" s="759"/>
      <c r="AB20" s="759"/>
      <c r="AC20" s="753"/>
      <c r="AD20" s="753"/>
      <c r="AE20" s="761"/>
      <c r="AF20" s="756"/>
      <c r="AG20" s="759"/>
      <c r="AH20" s="759"/>
      <c r="AI20" s="759"/>
      <c r="AJ20" s="753"/>
      <c r="AK20" s="753"/>
      <c r="AL20" s="761"/>
    </row>
    <row r="21" spans="2:38" x14ac:dyDescent="0.45">
      <c r="B21" s="784"/>
      <c r="C21" s="229"/>
      <c r="D21" s="211" t="s">
        <v>122</v>
      </c>
      <c r="E21" s="427">
        <v>6.3E-3</v>
      </c>
      <c r="F21" s="267" t="s">
        <v>108</v>
      </c>
      <c r="G21" s="339" t="s">
        <v>123</v>
      </c>
      <c r="H21" s="209"/>
      <c r="I21" s="966"/>
      <c r="J21" s="475"/>
      <c r="K21" s="602"/>
      <c r="L21" s="433">
        <f>E21*J18/K18</f>
        <v>0.40796437499999999</v>
      </c>
      <c r="M21" s="433"/>
      <c r="N21" s="433"/>
      <c r="O21" s="597">
        <v>0</v>
      </c>
      <c r="P21" s="596" t="str">
        <f>F21</f>
        <v>OH</v>
      </c>
      <c r="Q21" s="608">
        <f>'Analisa Upah RAP'!G11</f>
        <v>90000</v>
      </c>
      <c r="R21" s="453">
        <f>O21*Q21*K18</f>
        <v>0</v>
      </c>
      <c r="S21" s="453"/>
      <c r="T21" s="453"/>
      <c r="U21" s="753"/>
      <c r="V21" s="753"/>
      <c r="W21" s="753"/>
      <c r="X21" s="761"/>
      <c r="Y21" s="756"/>
      <c r="Z21" s="759"/>
      <c r="AA21" s="759"/>
      <c r="AB21" s="759"/>
      <c r="AC21" s="753"/>
      <c r="AD21" s="753"/>
      <c r="AE21" s="761"/>
      <c r="AF21" s="756"/>
      <c r="AG21" s="759"/>
      <c r="AH21" s="759"/>
      <c r="AI21" s="759"/>
      <c r="AJ21" s="753"/>
      <c r="AK21" s="753"/>
      <c r="AL21" s="761"/>
    </row>
    <row r="22" spans="2:38" ht="15.5" x14ac:dyDescent="0.45">
      <c r="B22" s="909"/>
      <c r="C22" s="229"/>
      <c r="D22" s="253" t="s">
        <v>109</v>
      </c>
      <c r="E22" s="428">
        <v>3.0000000000000001E-3</v>
      </c>
      <c r="F22" s="275" t="s">
        <v>108</v>
      </c>
      <c r="G22" s="351" t="s">
        <v>52</v>
      </c>
      <c r="H22" s="229"/>
      <c r="I22" s="967"/>
      <c r="J22" s="475"/>
      <c r="K22" s="602"/>
      <c r="L22" s="433">
        <f>E22*J18/K18</f>
        <v>0.19426874999999999</v>
      </c>
      <c r="M22" s="433"/>
      <c r="N22" s="433"/>
      <c r="O22" s="597">
        <v>1</v>
      </c>
      <c r="P22" s="596" t="str">
        <f>F22</f>
        <v>OH</v>
      </c>
      <c r="Q22" s="608">
        <f>'Analisa Upah RAP'!G12</f>
        <v>100000</v>
      </c>
      <c r="R22" s="453">
        <f>O22*Q22*K18</f>
        <v>800000</v>
      </c>
      <c r="S22" s="453"/>
      <c r="T22" s="453"/>
      <c r="U22" s="753"/>
      <c r="V22" s="753"/>
      <c r="W22" s="753"/>
      <c r="X22" s="761"/>
      <c r="Y22" s="756"/>
      <c r="Z22" s="759"/>
      <c r="AA22" s="759"/>
      <c r="AB22" s="759"/>
      <c r="AC22" s="753"/>
      <c r="AD22" s="753"/>
      <c r="AE22" s="761"/>
      <c r="AF22" s="756"/>
      <c r="AG22" s="759"/>
      <c r="AH22" s="759"/>
      <c r="AI22" s="759"/>
      <c r="AJ22" s="753"/>
      <c r="AK22" s="753"/>
      <c r="AL22" s="761"/>
    </row>
    <row r="23" spans="2:38" ht="15.5" x14ac:dyDescent="0.45">
      <c r="B23" s="909"/>
      <c r="C23" s="229"/>
      <c r="D23" s="211"/>
      <c r="E23" s="352"/>
      <c r="F23" s="285" t="s">
        <v>5</v>
      </c>
      <c r="G23" s="353" t="s">
        <v>124</v>
      </c>
      <c r="H23" s="209"/>
      <c r="I23" s="966"/>
      <c r="J23" s="475"/>
      <c r="K23" s="602"/>
      <c r="L23" s="433"/>
      <c r="M23" s="433"/>
      <c r="N23" s="433"/>
      <c r="O23" s="597"/>
      <c r="P23" s="596"/>
      <c r="Q23" s="608"/>
      <c r="R23" s="453"/>
      <c r="S23" s="453"/>
      <c r="T23" s="453"/>
      <c r="U23" s="753"/>
      <c r="V23" s="753"/>
      <c r="W23" s="753"/>
      <c r="X23" s="761"/>
      <c r="Y23" s="756"/>
      <c r="Z23" s="759"/>
      <c r="AA23" s="759"/>
      <c r="AB23" s="759"/>
      <c r="AC23" s="753"/>
      <c r="AD23" s="753"/>
      <c r="AE23" s="761"/>
      <c r="AF23" s="756"/>
      <c r="AG23" s="759"/>
      <c r="AH23" s="759"/>
      <c r="AI23" s="759"/>
      <c r="AJ23" s="753"/>
      <c r="AK23" s="753"/>
      <c r="AL23" s="761"/>
    </row>
    <row r="24" spans="2:38" ht="15.5" x14ac:dyDescent="0.45">
      <c r="B24" s="909"/>
      <c r="C24" s="229"/>
      <c r="D24" s="211"/>
      <c r="E24" s="408">
        <v>0.1</v>
      </c>
      <c r="F24" s="267" t="s">
        <v>39</v>
      </c>
      <c r="G24" s="339" t="s">
        <v>167</v>
      </c>
      <c r="H24" s="209"/>
      <c r="I24" s="966"/>
      <c r="J24" s="475"/>
      <c r="K24" s="602"/>
      <c r="L24" s="433"/>
      <c r="M24" s="433">
        <f>E24*J18</f>
        <v>51.805</v>
      </c>
      <c r="N24" s="433"/>
      <c r="O24" s="597">
        <v>52</v>
      </c>
      <c r="P24" s="596" t="str">
        <f>F24</f>
        <v>Kg</v>
      </c>
      <c r="Q24" s="608">
        <f>'Harga Bahan RAP'!G87</f>
        <v>26000</v>
      </c>
      <c r="R24" s="453"/>
      <c r="S24" s="453">
        <f>O24*Q24</f>
        <v>1352000</v>
      </c>
      <c r="T24" s="453"/>
      <c r="U24" s="753"/>
      <c r="V24" s="753"/>
      <c r="W24" s="753"/>
      <c r="X24" s="761"/>
      <c r="Y24" s="756"/>
      <c r="Z24" s="759"/>
      <c r="AA24" s="759"/>
      <c r="AB24" s="759"/>
      <c r="AC24" s="753"/>
      <c r="AD24" s="753"/>
      <c r="AE24" s="761"/>
      <c r="AF24" s="756"/>
      <c r="AG24" s="759"/>
      <c r="AH24" s="759"/>
      <c r="AI24" s="759"/>
      <c r="AJ24" s="753"/>
      <c r="AK24" s="753"/>
      <c r="AL24" s="761"/>
    </row>
    <row r="25" spans="2:38" ht="15.5" x14ac:dyDescent="0.45">
      <c r="B25" s="909"/>
      <c r="C25" s="229"/>
      <c r="D25" s="211"/>
      <c r="E25" s="945">
        <f>0.1/25</f>
        <v>4.0000000000000001E-3</v>
      </c>
      <c r="F25" s="819" t="s">
        <v>709</v>
      </c>
      <c r="G25" s="842" t="s">
        <v>168</v>
      </c>
      <c r="H25" s="821"/>
      <c r="I25" s="977"/>
      <c r="J25" s="475"/>
      <c r="K25" s="602"/>
      <c r="L25" s="433"/>
      <c r="M25" s="433">
        <f>E25*J18</f>
        <v>2.0722</v>
      </c>
      <c r="N25" s="433"/>
      <c r="O25" s="597">
        <v>2</v>
      </c>
      <c r="P25" s="596" t="str">
        <f>F25</f>
        <v>Pail</v>
      </c>
      <c r="Q25" s="608">
        <f>'Harga Bahan RAP'!G88</f>
        <v>525000</v>
      </c>
      <c r="R25" s="433"/>
      <c r="S25" s="453">
        <f t="shared" ref="S25:S28" si="0">O25*Q25</f>
        <v>1050000</v>
      </c>
      <c r="T25" s="433"/>
      <c r="U25" s="753"/>
      <c r="V25" s="753"/>
      <c r="W25" s="753"/>
      <c r="X25" s="761"/>
      <c r="Y25" s="756"/>
      <c r="Z25" s="759"/>
      <c r="AA25" s="759"/>
      <c r="AB25" s="759"/>
      <c r="AC25" s="753"/>
      <c r="AD25" s="753"/>
      <c r="AE25" s="761"/>
      <c r="AF25" s="756"/>
      <c r="AG25" s="759"/>
      <c r="AH25" s="759"/>
      <c r="AI25" s="759"/>
      <c r="AJ25" s="753"/>
      <c r="AK25" s="753"/>
      <c r="AL25" s="761"/>
    </row>
    <row r="26" spans="2:38" ht="15.5" x14ac:dyDescent="0.45">
      <c r="B26" s="909"/>
      <c r="C26" s="229"/>
      <c r="D26" s="269"/>
      <c r="E26" s="946">
        <f>0.26/25</f>
        <v>1.04E-2</v>
      </c>
      <c r="F26" s="889" t="s">
        <v>709</v>
      </c>
      <c r="G26" s="933" t="s">
        <v>291</v>
      </c>
      <c r="H26" s="934"/>
      <c r="I26" s="998"/>
      <c r="J26" s="475"/>
      <c r="K26" s="602"/>
      <c r="L26" s="433"/>
      <c r="M26" s="433">
        <f>E26*J18</f>
        <v>5.387719999999999</v>
      </c>
      <c r="N26" s="433"/>
      <c r="O26" s="597">
        <v>6</v>
      </c>
      <c r="P26" s="596" t="str">
        <f>F26</f>
        <v>Pail</v>
      </c>
      <c r="Q26" s="608">
        <f>'Harga Bahan RAP'!G92</f>
        <v>600000</v>
      </c>
      <c r="R26" s="433"/>
      <c r="S26" s="453">
        <f t="shared" si="0"/>
        <v>3600000</v>
      </c>
      <c r="T26" s="433"/>
      <c r="U26" s="753"/>
      <c r="V26" s="753"/>
      <c r="W26" s="753"/>
      <c r="X26" s="761"/>
      <c r="Y26" s="756"/>
      <c r="Z26" s="759"/>
      <c r="AA26" s="759"/>
      <c r="AB26" s="759"/>
      <c r="AC26" s="753"/>
      <c r="AD26" s="753"/>
      <c r="AE26" s="761"/>
      <c r="AF26" s="756"/>
      <c r="AG26" s="759"/>
      <c r="AH26" s="759"/>
      <c r="AI26" s="759"/>
      <c r="AJ26" s="753"/>
      <c r="AK26" s="753"/>
      <c r="AL26" s="761"/>
    </row>
    <row r="27" spans="2:38" ht="15.5" x14ac:dyDescent="0.45">
      <c r="B27" s="909"/>
      <c r="C27" s="229"/>
      <c r="D27" s="269"/>
      <c r="E27" s="923"/>
      <c r="F27" s="211"/>
      <c r="G27" s="226"/>
      <c r="H27" s="226"/>
      <c r="I27" s="974"/>
      <c r="J27" s="475"/>
      <c r="K27" s="602"/>
      <c r="L27" s="433"/>
      <c r="M27" s="433">
        <f>E27*J18</f>
        <v>0</v>
      </c>
      <c r="N27" s="433"/>
      <c r="O27" s="597">
        <v>0</v>
      </c>
      <c r="P27" s="596">
        <f>F27</f>
        <v>0</v>
      </c>
      <c r="Q27" s="608">
        <f>'Harga Bahan RAP'!G189</f>
        <v>0</v>
      </c>
      <c r="R27" s="433"/>
      <c r="S27" s="453">
        <f t="shared" si="0"/>
        <v>0</v>
      </c>
      <c r="T27" s="433"/>
      <c r="U27" s="753"/>
      <c r="V27" s="753"/>
      <c r="W27" s="753"/>
      <c r="X27" s="761"/>
      <c r="Y27" s="756"/>
      <c r="Z27" s="759"/>
      <c r="AA27" s="759"/>
      <c r="AB27" s="759"/>
      <c r="AC27" s="753"/>
      <c r="AD27" s="753"/>
      <c r="AE27" s="761"/>
      <c r="AF27" s="756"/>
      <c r="AG27" s="759"/>
      <c r="AH27" s="759"/>
      <c r="AI27" s="759"/>
      <c r="AJ27" s="753"/>
      <c r="AK27" s="753"/>
      <c r="AL27" s="761"/>
    </row>
    <row r="28" spans="2:38" ht="15.5" x14ac:dyDescent="0.45">
      <c r="B28" s="909"/>
      <c r="C28" s="229"/>
      <c r="D28" s="269"/>
      <c r="E28" s="923"/>
      <c r="F28" s="211"/>
      <c r="G28" s="226"/>
      <c r="H28" s="226"/>
      <c r="I28" s="974"/>
      <c r="J28" s="475"/>
      <c r="K28" s="602"/>
      <c r="L28" s="433"/>
      <c r="M28" s="433">
        <f>E28*J18</f>
        <v>0</v>
      </c>
      <c r="N28" s="433"/>
      <c r="O28" s="597">
        <v>0</v>
      </c>
      <c r="P28" s="596">
        <f>F28</f>
        <v>0</v>
      </c>
      <c r="Q28" s="608"/>
      <c r="R28" s="433"/>
      <c r="S28" s="453">
        <f t="shared" si="0"/>
        <v>0</v>
      </c>
      <c r="T28" s="433"/>
      <c r="U28" s="753"/>
      <c r="V28" s="753"/>
      <c r="W28" s="753"/>
      <c r="X28" s="761"/>
      <c r="Y28" s="756"/>
      <c r="Z28" s="759"/>
      <c r="AA28" s="759"/>
      <c r="AB28" s="759"/>
      <c r="AC28" s="753"/>
      <c r="AD28" s="753"/>
      <c r="AE28" s="761"/>
      <c r="AF28" s="756"/>
      <c r="AG28" s="759"/>
      <c r="AH28" s="759"/>
      <c r="AI28" s="759"/>
      <c r="AJ28" s="753"/>
      <c r="AK28" s="753"/>
      <c r="AL28" s="761"/>
    </row>
    <row r="29" spans="2:38" ht="15.5" x14ac:dyDescent="0.45">
      <c r="B29" s="909"/>
      <c r="C29" s="229"/>
      <c r="D29" s="211"/>
      <c r="E29" s="267"/>
      <c r="F29" s="207" t="s">
        <v>6</v>
      </c>
      <c r="G29" s="208" t="s">
        <v>111</v>
      </c>
      <c r="H29" s="209"/>
      <c r="I29" s="966"/>
      <c r="J29" s="475"/>
      <c r="K29" s="602"/>
      <c r="L29" s="433"/>
      <c r="M29" s="433"/>
      <c r="N29" s="433"/>
      <c r="O29" s="597"/>
      <c r="P29" s="596"/>
      <c r="Q29" s="608"/>
      <c r="R29" s="433"/>
      <c r="S29" s="433"/>
      <c r="T29" s="433"/>
      <c r="U29" s="433"/>
      <c r="V29" s="433"/>
      <c r="W29" s="433"/>
      <c r="X29" s="659"/>
      <c r="Y29" s="661"/>
      <c r="Z29" s="433"/>
      <c r="AA29" s="433"/>
      <c r="AB29" s="433"/>
      <c r="AC29" s="433"/>
      <c r="AD29" s="433"/>
      <c r="AE29" s="644"/>
      <c r="AF29" s="661"/>
      <c r="AG29" s="433"/>
      <c r="AH29" s="433"/>
      <c r="AI29" s="433"/>
      <c r="AJ29" s="433"/>
      <c r="AK29" s="433"/>
      <c r="AL29" s="644"/>
    </row>
    <row r="30" spans="2:38" ht="15.5" x14ac:dyDescent="0.45">
      <c r="B30" s="909"/>
      <c r="C30" s="229"/>
      <c r="D30" s="211"/>
      <c r="E30" s="267"/>
      <c r="F30" s="207"/>
      <c r="G30" s="208"/>
      <c r="H30" s="209"/>
      <c r="I30" s="966"/>
      <c r="J30" s="475"/>
      <c r="K30" s="602"/>
      <c r="L30" s="433"/>
      <c r="M30" s="433"/>
      <c r="N30" s="433">
        <f>E30*J18</f>
        <v>0</v>
      </c>
      <c r="O30" s="597">
        <v>0</v>
      </c>
      <c r="P30" s="596">
        <v>0</v>
      </c>
      <c r="Q30" s="608"/>
      <c r="R30" s="433"/>
      <c r="S30" s="433"/>
      <c r="T30" s="453">
        <f>O30*Q30</f>
        <v>0</v>
      </c>
      <c r="U30" s="433"/>
      <c r="V30" s="433"/>
      <c r="W30" s="433"/>
      <c r="X30" s="659"/>
      <c r="Y30" s="661"/>
      <c r="Z30" s="433"/>
      <c r="AA30" s="433"/>
      <c r="AB30" s="433"/>
      <c r="AC30" s="433"/>
      <c r="AD30" s="433"/>
      <c r="AE30" s="644"/>
      <c r="AF30" s="661"/>
      <c r="AG30" s="433"/>
      <c r="AH30" s="433"/>
      <c r="AI30" s="433"/>
      <c r="AJ30" s="433"/>
      <c r="AK30" s="433"/>
      <c r="AL30" s="644"/>
    </row>
    <row r="31" spans="2:38" ht="15.5" x14ac:dyDescent="0.45">
      <c r="B31" s="909"/>
      <c r="C31" s="229"/>
      <c r="D31" s="211"/>
      <c r="E31" s="267"/>
      <c r="F31" s="207" t="s">
        <v>112</v>
      </c>
      <c r="G31" s="208" t="s">
        <v>113</v>
      </c>
      <c r="H31" s="209"/>
      <c r="I31" s="966"/>
      <c r="J31" s="475"/>
      <c r="K31" s="602"/>
      <c r="L31" s="433"/>
      <c r="M31" s="433"/>
      <c r="N31" s="433"/>
      <c r="O31" s="433"/>
      <c r="P31" s="433"/>
      <c r="Q31" s="595"/>
      <c r="R31" s="433"/>
      <c r="S31" s="433"/>
      <c r="T31" s="433"/>
      <c r="U31" s="433"/>
      <c r="V31" s="433"/>
      <c r="W31" s="433"/>
      <c r="X31" s="659"/>
      <c r="Y31" s="661"/>
      <c r="Z31" s="433"/>
      <c r="AA31" s="433"/>
      <c r="AB31" s="433"/>
      <c r="AC31" s="433"/>
      <c r="AD31" s="433"/>
      <c r="AE31" s="644"/>
      <c r="AF31" s="661"/>
      <c r="AG31" s="433"/>
      <c r="AH31" s="433"/>
      <c r="AI31" s="433"/>
      <c r="AJ31" s="433"/>
      <c r="AK31" s="433"/>
      <c r="AL31" s="644"/>
    </row>
    <row r="32" spans="2:38" ht="15.5" x14ac:dyDescent="0.45">
      <c r="B32" s="909"/>
      <c r="C32" s="229"/>
      <c r="D32" s="253"/>
      <c r="E32" s="275"/>
      <c r="F32" s="239" t="s">
        <v>114</v>
      </c>
      <c r="G32" s="257" t="s">
        <v>166</v>
      </c>
      <c r="H32" s="229"/>
      <c r="I32" s="980">
        <v>0.15</v>
      </c>
      <c r="J32" s="475"/>
      <c r="K32" s="602"/>
      <c r="L32" s="433"/>
      <c r="M32" s="433"/>
      <c r="N32" s="433"/>
      <c r="O32" s="433"/>
      <c r="P32" s="433"/>
      <c r="Q32" s="595"/>
      <c r="R32" s="433"/>
      <c r="S32" s="433"/>
      <c r="T32" s="433"/>
      <c r="U32" s="433"/>
      <c r="V32" s="433"/>
      <c r="W32" s="433"/>
      <c r="X32" s="659"/>
      <c r="Y32" s="661"/>
      <c r="Z32" s="433"/>
      <c r="AA32" s="433"/>
      <c r="AB32" s="433"/>
      <c r="AC32" s="433"/>
      <c r="AD32" s="433"/>
      <c r="AE32" s="644"/>
      <c r="AF32" s="661"/>
      <c r="AG32" s="433"/>
      <c r="AH32" s="433"/>
      <c r="AI32" s="433"/>
      <c r="AJ32" s="433"/>
      <c r="AK32" s="433"/>
      <c r="AL32" s="644"/>
    </row>
    <row r="33" spans="2:38" ht="16" thickBot="1" x14ac:dyDescent="0.5">
      <c r="B33" s="910"/>
      <c r="C33" s="944"/>
      <c r="D33" s="852"/>
      <c r="E33" s="911"/>
      <c r="F33" s="834" t="s">
        <v>115</v>
      </c>
      <c r="G33" s="816" t="s">
        <v>127</v>
      </c>
      <c r="H33" s="835"/>
      <c r="I33" s="981"/>
      <c r="J33" s="793"/>
      <c r="K33" s="763"/>
      <c r="L33" s="655"/>
      <c r="M33" s="655"/>
      <c r="N33" s="655"/>
      <c r="O33" s="655"/>
      <c r="P33" s="655"/>
      <c r="Q33" s="654"/>
      <c r="R33" s="655"/>
      <c r="S33" s="655"/>
      <c r="T33" s="655"/>
      <c r="U33" s="655"/>
      <c r="V33" s="655"/>
      <c r="W33" s="655"/>
      <c r="X33" s="660"/>
      <c r="Y33" s="662"/>
      <c r="Z33" s="655"/>
      <c r="AA33" s="655"/>
      <c r="AB33" s="655"/>
      <c r="AC33" s="655"/>
      <c r="AD33" s="655"/>
      <c r="AE33" s="656"/>
      <c r="AF33" s="662"/>
      <c r="AG33" s="655"/>
      <c r="AH33" s="655"/>
      <c r="AI33" s="655"/>
      <c r="AJ33" s="655"/>
      <c r="AK33" s="655"/>
      <c r="AL33" s="656"/>
    </row>
    <row r="34" spans="2:38" x14ac:dyDescent="0.45">
      <c r="D34" s="112"/>
      <c r="E34" s="195"/>
      <c r="G34" s="111"/>
      <c r="H34" s="111"/>
      <c r="I34" s="111"/>
      <c r="Z34" s="657"/>
      <c r="AA34" s="657"/>
      <c r="AB34" s="657"/>
      <c r="AC34" s="657"/>
      <c r="AD34" s="657"/>
      <c r="AE34" s="657"/>
      <c r="AG34" s="657"/>
      <c r="AH34" s="657"/>
      <c r="AI34" s="657"/>
      <c r="AJ34" s="657"/>
      <c r="AK34" s="657"/>
      <c r="AL34" s="657"/>
    </row>
    <row r="35" spans="2:38" ht="17" thickBot="1" x14ac:dyDescent="0.5">
      <c r="B35" s="749" t="s">
        <v>717</v>
      </c>
      <c r="C35" s="750" t="str">
        <f>RAP!B83</f>
        <v>Cat Dinding Eksterior</v>
      </c>
      <c r="D35" s="241"/>
      <c r="E35" s="241"/>
      <c r="F35" s="276"/>
      <c r="G35" s="240"/>
      <c r="H35" s="241"/>
      <c r="I35" s="241"/>
      <c r="J35" s="604"/>
      <c r="K35" s="603"/>
      <c r="L35" s="604"/>
      <c r="M35" s="604"/>
      <c r="N35" s="604"/>
      <c r="O35" s="604"/>
      <c r="P35" s="604"/>
      <c r="Q35" s="604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</row>
    <row r="36" spans="2:38" ht="19.5" customHeight="1" x14ac:dyDescent="0.45">
      <c r="B36" s="1168" t="s">
        <v>99</v>
      </c>
      <c r="C36" s="1171" t="s">
        <v>100</v>
      </c>
      <c r="D36" s="1171" t="s">
        <v>89</v>
      </c>
      <c r="E36" s="1171" t="s">
        <v>101</v>
      </c>
      <c r="F36" s="1171" t="s">
        <v>102</v>
      </c>
      <c r="G36" s="1109" t="s">
        <v>103</v>
      </c>
      <c r="H36" s="1110"/>
      <c r="I36" s="1175"/>
      <c r="J36" s="1152" t="s">
        <v>539</v>
      </c>
      <c r="K36" s="1152"/>
      <c r="L36" s="1152"/>
      <c r="M36" s="1152"/>
      <c r="N36" s="1152"/>
      <c r="O36" s="1152"/>
      <c r="P36" s="1152"/>
      <c r="Q36" s="1152"/>
      <c r="R36" s="1152"/>
      <c r="S36" s="1152"/>
      <c r="T36" s="1152"/>
      <c r="U36" s="1152"/>
      <c r="V36" s="1152"/>
      <c r="W36" s="1152"/>
      <c r="X36" s="1152"/>
      <c r="Y36" s="1153" t="s">
        <v>540</v>
      </c>
      <c r="Z36" s="1154"/>
      <c r="AA36" s="1154"/>
      <c r="AB36" s="1154"/>
      <c r="AC36" s="1154"/>
      <c r="AD36" s="1154"/>
      <c r="AE36" s="1155"/>
      <c r="AF36" s="1156" t="s">
        <v>541</v>
      </c>
      <c r="AG36" s="1157"/>
      <c r="AH36" s="1157"/>
      <c r="AI36" s="1157"/>
      <c r="AJ36" s="1157"/>
      <c r="AK36" s="1157"/>
      <c r="AL36" s="1158"/>
    </row>
    <row r="37" spans="2:38" ht="45" x14ac:dyDescent="0.45">
      <c r="B37" s="1169"/>
      <c r="C37" s="1089"/>
      <c r="D37" s="1089"/>
      <c r="E37" s="1089"/>
      <c r="F37" s="1089"/>
      <c r="G37" s="1026"/>
      <c r="H37" s="1027"/>
      <c r="I37" s="1176"/>
      <c r="J37" s="1185" t="s">
        <v>15</v>
      </c>
      <c r="K37" s="673" t="s">
        <v>493</v>
      </c>
      <c r="L37" s="1161" t="s">
        <v>491</v>
      </c>
      <c r="M37" s="1162"/>
      <c r="N37" s="1162"/>
      <c r="O37" s="1162"/>
      <c r="P37" s="1163"/>
      <c r="Q37" s="674" t="s">
        <v>533</v>
      </c>
      <c r="R37" s="1161" t="s">
        <v>501</v>
      </c>
      <c r="S37" s="1162"/>
      <c r="T37" s="1163"/>
      <c r="U37" s="674" t="s">
        <v>530</v>
      </c>
      <c r="V37" s="674" t="s">
        <v>531</v>
      </c>
      <c r="W37" s="674" t="s">
        <v>578</v>
      </c>
      <c r="X37" s="681" t="s">
        <v>579</v>
      </c>
      <c r="Y37" s="1164" t="s">
        <v>534</v>
      </c>
      <c r="Z37" s="1165"/>
      <c r="AA37" s="663" t="s">
        <v>537</v>
      </c>
      <c r="AB37" s="664" t="s">
        <v>538</v>
      </c>
      <c r="AC37" s="665" t="s">
        <v>530</v>
      </c>
      <c r="AD37" s="665" t="s">
        <v>578</v>
      </c>
      <c r="AE37" s="682" t="s">
        <v>579</v>
      </c>
      <c r="AF37" s="1166" t="s">
        <v>542</v>
      </c>
      <c r="AG37" s="1167"/>
      <c r="AH37" s="737" t="s">
        <v>543</v>
      </c>
      <c r="AI37" s="738" t="s">
        <v>544</v>
      </c>
      <c r="AJ37" s="739" t="s">
        <v>530</v>
      </c>
      <c r="AK37" s="739" t="s">
        <v>578</v>
      </c>
      <c r="AL37" s="740" t="s">
        <v>579</v>
      </c>
    </row>
    <row r="38" spans="2:38" ht="30" x14ac:dyDescent="0.45">
      <c r="B38" s="1170"/>
      <c r="C38" s="1090"/>
      <c r="D38" s="1090"/>
      <c r="E38" s="1090"/>
      <c r="F38" s="1090"/>
      <c r="G38" s="1085"/>
      <c r="H38" s="1086"/>
      <c r="I38" s="1177"/>
      <c r="J38" s="1174"/>
      <c r="K38" s="675" t="s">
        <v>495</v>
      </c>
      <c r="L38" s="676" t="s">
        <v>524</v>
      </c>
      <c r="M38" s="676" t="s">
        <v>525</v>
      </c>
      <c r="N38" s="676" t="s">
        <v>526</v>
      </c>
      <c r="O38" s="675" t="s">
        <v>517</v>
      </c>
      <c r="P38" s="675" t="s">
        <v>290</v>
      </c>
      <c r="Q38" s="675" t="s">
        <v>532</v>
      </c>
      <c r="R38" s="676" t="s">
        <v>527</v>
      </c>
      <c r="S38" s="676" t="s">
        <v>528</v>
      </c>
      <c r="T38" s="677" t="s">
        <v>529</v>
      </c>
      <c r="U38" s="675" t="s">
        <v>502</v>
      </c>
      <c r="V38" s="675" t="s">
        <v>502</v>
      </c>
      <c r="W38" s="675" t="s">
        <v>502</v>
      </c>
      <c r="X38" s="678" t="s">
        <v>504</v>
      </c>
      <c r="Y38" s="666" t="s">
        <v>535</v>
      </c>
      <c r="Z38" s="667" t="s">
        <v>536</v>
      </c>
      <c r="AA38" s="668" t="s">
        <v>532</v>
      </c>
      <c r="AB38" s="668" t="s">
        <v>532</v>
      </c>
      <c r="AC38" s="668" t="s">
        <v>532</v>
      </c>
      <c r="AD38" s="668" t="s">
        <v>532</v>
      </c>
      <c r="AE38" s="669" t="s">
        <v>532</v>
      </c>
      <c r="AF38" s="741" t="s">
        <v>535</v>
      </c>
      <c r="AG38" s="742" t="s">
        <v>536</v>
      </c>
      <c r="AH38" s="743" t="s">
        <v>532</v>
      </c>
      <c r="AI38" s="743" t="s">
        <v>532</v>
      </c>
      <c r="AJ38" s="743" t="s">
        <v>532</v>
      </c>
      <c r="AK38" s="743" t="s">
        <v>532</v>
      </c>
      <c r="AL38" s="744" t="s">
        <v>532</v>
      </c>
    </row>
    <row r="39" spans="2:38" ht="30" x14ac:dyDescent="0.45">
      <c r="B39" s="639" t="s">
        <v>4</v>
      </c>
      <c r="C39" s="600" t="s">
        <v>5</v>
      </c>
      <c r="D39" s="570" t="s">
        <v>6</v>
      </c>
      <c r="E39" s="570" t="s">
        <v>112</v>
      </c>
      <c r="F39" s="570" t="s">
        <v>114</v>
      </c>
      <c r="G39" s="1014" t="s">
        <v>115</v>
      </c>
      <c r="H39" s="1014"/>
      <c r="I39" s="1172"/>
      <c r="J39" s="791" t="s">
        <v>21</v>
      </c>
      <c r="K39" s="675" t="s">
        <v>496</v>
      </c>
      <c r="L39" s="675" t="s">
        <v>497</v>
      </c>
      <c r="M39" s="675" t="s">
        <v>498</v>
      </c>
      <c r="N39" s="675" t="s">
        <v>499</v>
      </c>
      <c r="O39" s="676" t="s">
        <v>552</v>
      </c>
      <c r="P39" s="675" t="s">
        <v>512</v>
      </c>
      <c r="Q39" s="675" t="s">
        <v>503</v>
      </c>
      <c r="R39" s="675" t="s">
        <v>553</v>
      </c>
      <c r="S39" s="675" t="s">
        <v>513</v>
      </c>
      <c r="T39" s="675" t="s">
        <v>514</v>
      </c>
      <c r="U39" s="675" t="s">
        <v>554</v>
      </c>
      <c r="V39" s="675" t="s">
        <v>515</v>
      </c>
      <c r="W39" s="675" t="s">
        <v>555</v>
      </c>
      <c r="X39" s="678" t="s">
        <v>516</v>
      </c>
      <c r="Y39" s="670" t="s">
        <v>556</v>
      </c>
      <c r="Z39" s="671" t="s">
        <v>557</v>
      </c>
      <c r="AA39" s="671" t="s">
        <v>558</v>
      </c>
      <c r="AB39" s="671" t="s">
        <v>559</v>
      </c>
      <c r="AC39" s="671" t="s">
        <v>560</v>
      </c>
      <c r="AD39" s="671" t="s">
        <v>561</v>
      </c>
      <c r="AE39" s="672" t="s">
        <v>562</v>
      </c>
      <c r="AF39" s="745" t="s">
        <v>563</v>
      </c>
      <c r="AG39" s="746" t="s">
        <v>564</v>
      </c>
      <c r="AH39" s="746" t="s">
        <v>565</v>
      </c>
      <c r="AI39" s="746" t="s">
        <v>566</v>
      </c>
      <c r="AJ39" s="746" t="s">
        <v>567</v>
      </c>
      <c r="AK39" s="746" t="s">
        <v>568</v>
      </c>
      <c r="AL39" s="747" t="s">
        <v>569</v>
      </c>
    </row>
    <row r="40" spans="2:38" ht="15.5" x14ac:dyDescent="0.45">
      <c r="B40" s="1186">
        <v>2</v>
      </c>
      <c r="C40" s="1187" t="s">
        <v>487</v>
      </c>
      <c r="D40" s="582"/>
      <c r="E40" s="943">
        <v>1</v>
      </c>
      <c r="F40" s="583" t="s">
        <v>30</v>
      </c>
      <c r="G40" s="561" t="s">
        <v>488</v>
      </c>
      <c r="H40" s="585"/>
      <c r="I40" s="997"/>
      <c r="J40" s="828"/>
      <c r="K40" s="828"/>
      <c r="L40" s="828"/>
      <c r="M40" s="828"/>
      <c r="N40" s="828"/>
      <c r="O40" s="828"/>
      <c r="P40" s="828"/>
      <c r="Q40" s="828"/>
      <c r="R40" s="828"/>
      <c r="S40" s="828"/>
      <c r="T40" s="828"/>
      <c r="U40" s="828"/>
      <c r="V40" s="828"/>
      <c r="W40" s="828"/>
      <c r="X40" s="828"/>
      <c r="Y40" s="828"/>
      <c r="Z40" s="828"/>
      <c r="AA40" s="828"/>
      <c r="AB40" s="828"/>
      <c r="AC40" s="828"/>
      <c r="AD40" s="828"/>
      <c r="AE40" s="828"/>
      <c r="AF40" s="828"/>
      <c r="AG40" s="828"/>
      <c r="AH40" s="828"/>
      <c r="AI40" s="828"/>
      <c r="AJ40" s="828"/>
      <c r="AK40" s="828"/>
      <c r="AL40" s="828"/>
    </row>
    <row r="41" spans="2:38" ht="15.5" x14ac:dyDescent="0.45">
      <c r="B41" s="1179"/>
      <c r="C41" s="1070"/>
      <c r="D41" s="582"/>
      <c r="E41" s="583"/>
      <c r="F41" s="584"/>
      <c r="G41" s="561" t="s">
        <v>263</v>
      </c>
      <c r="H41" s="585"/>
      <c r="I41" s="997"/>
      <c r="J41" s="789"/>
      <c r="K41" s="789"/>
      <c r="L41" s="789"/>
      <c r="M41" s="789"/>
      <c r="N41" s="789"/>
      <c r="O41" s="789"/>
      <c r="P41" s="789"/>
      <c r="Q41" s="789"/>
      <c r="R41" s="789"/>
      <c r="S41" s="789"/>
      <c r="T41" s="789"/>
      <c r="U41" s="789"/>
      <c r="V41" s="789"/>
      <c r="W41" s="789"/>
      <c r="X41" s="789"/>
      <c r="Y41" s="789"/>
      <c r="Z41" s="789"/>
      <c r="AA41" s="789"/>
      <c r="AB41" s="789"/>
      <c r="AC41" s="789"/>
      <c r="AD41" s="789"/>
      <c r="AE41" s="789"/>
      <c r="AF41" s="789"/>
      <c r="AG41" s="789"/>
      <c r="AH41" s="789"/>
      <c r="AI41" s="789"/>
      <c r="AJ41" s="789"/>
      <c r="AK41" s="789"/>
      <c r="AL41" s="790"/>
    </row>
    <row r="42" spans="2:38" x14ac:dyDescent="0.45">
      <c r="B42" s="784"/>
      <c r="C42" s="229"/>
      <c r="D42" s="230"/>
      <c r="E42" s="284"/>
      <c r="F42" s="285" t="s">
        <v>4</v>
      </c>
      <c r="G42" s="353" t="s">
        <v>120</v>
      </c>
      <c r="H42" s="209"/>
      <c r="I42" s="966"/>
      <c r="J42" s="792">
        <f>RAP!E83</f>
        <v>113.65</v>
      </c>
      <c r="K42" s="601">
        <v>4</v>
      </c>
      <c r="L42" s="319"/>
      <c r="M42" s="319"/>
      <c r="N42" s="319"/>
      <c r="O42" s="598"/>
      <c r="P42" s="598"/>
      <c r="Q42" s="605"/>
      <c r="R42" s="485"/>
      <c r="S42" s="485"/>
      <c r="T42" s="485"/>
      <c r="U42" s="752">
        <f>SUM(R42:R57)+(SUM(S42:S57)+SUM(T42:T57))</f>
        <v>2921000</v>
      </c>
      <c r="V42" s="754">
        <f>RAP!H83</f>
        <v>2987548.8</v>
      </c>
      <c r="W42" s="752">
        <f>V42-U42</f>
        <v>66548.799999999814</v>
      </c>
      <c r="X42" s="760">
        <f>W42/V42*100</f>
        <v>2.2275385091617519</v>
      </c>
      <c r="Y42" s="755">
        <f>SUM(R42:R57)/J42</f>
        <v>9502.8596568411795</v>
      </c>
      <c r="Z42" s="757">
        <v>8000</v>
      </c>
      <c r="AA42" s="758">
        <f>J42*Z42</f>
        <v>909200</v>
      </c>
      <c r="AB42" s="758">
        <f>SUM(S42:S57)+SUM(T42:T57)</f>
        <v>1841000</v>
      </c>
      <c r="AC42" s="752">
        <f>AA42+AB42</f>
        <v>2750200</v>
      </c>
      <c r="AD42" s="752">
        <f>V42-AC42</f>
        <v>237348.79999999981</v>
      </c>
      <c r="AE42" s="760">
        <f>AD42/V42*100</f>
        <v>7.9445999342337048</v>
      </c>
      <c r="AF42" s="755">
        <f>(SUM(R42:R57)+SUM(S42:S57))/J42</f>
        <v>25701.715794104704</v>
      </c>
      <c r="AG42" s="757">
        <v>25000</v>
      </c>
      <c r="AH42" s="758">
        <f>AG42*J42</f>
        <v>2841250</v>
      </c>
      <c r="AI42" s="758">
        <f>SUM(T42:T57)</f>
        <v>0</v>
      </c>
      <c r="AJ42" s="752">
        <f>AH42+AI42</f>
        <v>2841250</v>
      </c>
      <c r="AK42" s="752">
        <f>V42-AJ42</f>
        <v>146298.79999999981</v>
      </c>
      <c r="AL42" s="760">
        <f>AK42/V42*100</f>
        <v>4.89695097198077</v>
      </c>
    </row>
    <row r="43" spans="2:38" x14ac:dyDescent="0.45">
      <c r="B43" s="784"/>
      <c r="C43" s="229"/>
      <c r="D43" s="211" t="s">
        <v>107</v>
      </c>
      <c r="E43" s="397">
        <v>0.02</v>
      </c>
      <c r="F43" s="267" t="s">
        <v>108</v>
      </c>
      <c r="G43" s="339" t="s">
        <v>51</v>
      </c>
      <c r="H43" s="209"/>
      <c r="I43" s="966"/>
      <c r="J43" s="475"/>
      <c r="K43" s="602"/>
      <c r="L43" s="433">
        <f>E43*J42/K42</f>
        <v>0.56825000000000003</v>
      </c>
      <c r="M43" s="433"/>
      <c r="N43" s="433"/>
      <c r="O43" s="597">
        <v>0</v>
      </c>
      <c r="P43" s="596" t="str">
        <f>F43</f>
        <v>OH</v>
      </c>
      <c r="Q43" s="608">
        <f>Q19</f>
        <v>75000</v>
      </c>
      <c r="R43" s="453">
        <f>O43*Q43*K42</f>
        <v>0</v>
      </c>
      <c r="S43" s="453"/>
      <c r="T43" s="453"/>
      <c r="U43" s="753"/>
      <c r="V43" s="753"/>
      <c r="W43" s="753"/>
      <c r="X43" s="761"/>
      <c r="Y43" s="756"/>
      <c r="Z43" s="759"/>
      <c r="AA43" s="759"/>
      <c r="AB43" s="759"/>
      <c r="AC43" s="753"/>
      <c r="AD43" s="753"/>
      <c r="AE43" s="761"/>
      <c r="AF43" s="756"/>
      <c r="AG43" s="759"/>
      <c r="AH43" s="759"/>
      <c r="AI43" s="759"/>
      <c r="AJ43" s="753"/>
      <c r="AK43" s="753"/>
      <c r="AL43" s="761"/>
    </row>
    <row r="44" spans="2:38" x14ac:dyDescent="0.45">
      <c r="B44" s="784"/>
      <c r="C44" s="229"/>
      <c r="D44" s="211" t="s">
        <v>121</v>
      </c>
      <c r="E44" s="399">
        <v>6.3E-2</v>
      </c>
      <c r="F44" s="267" t="s">
        <v>108</v>
      </c>
      <c r="G44" s="339" t="s">
        <v>59</v>
      </c>
      <c r="H44" s="209"/>
      <c r="I44" s="966"/>
      <c r="J44" s="475"/>
      <c r="K44" s="602"/>
      <c r="L44" s="433">
        <f>E44*J42/K42</f>
        <v>1.7899875000000001</v>
      </c>
      <c r="M44" s="433"/>
      <c r="N44" s="433"/>
      <c r="O44" s="597">
        <v>2</v>
      </c>
      <c r="P44" s="596" t="str">
        <f>F44</f>
        <v>OH</v>
      </c>
      <c r="Q44" s="608">
        <f t="shared" ref="Q44:Q46" si="1">Q20</f>
        <v>85000</v>
      </c>
      <c r="R44" s="453">
        <f>O44*Q44*K42</f>
        <v>680000</v>
      </c>
      <c r="S44" s="453"/>
      <c r="T44" s="453"/>
      <c r="U44" s="753"/>
      <c r="V44" s="753"/>
      <c r="W44" s="753"/>
      <c r="X44" s="761"/>
      <c r="Y44" s="756"/>
      <c r="Z44" s="759"/>
      <c r="AA44" s="759"/>
      <c r="AB44" s="759"/>
      <c r="AC44" s="753"/>
      <c r="AD44" s="753"/>
      <c r="AE44" s="761"/>
      <c r="AF44" s="756"/>
      <c r="AG44" s="759"/>
      <c r="AH44" s="759"/>
      <c r="AI44" s="759"/>
      <c r="AJ44" s="753"/>
      <c r="AK44" s="753"/>
      <c r="AL44" s="761"/>
    </row>
    <row r="45" spans="2:38" x14ac:dyDescent="0.45">
      <c r="B45" s="784"/>
      <c r="C45" s="229"/>
      <c r="D45" s="211" t="s">
        <v>122</v>
      </c>
      <c r="E45" s="427">
        <v>6.3E-3</v>
      </c>
      <c r="F45" s="267" t="s">
        <v>108</v>
      </c>
      <c r="G45" s="339" t="s">
        <v>123</v>
      </c>
      <c r="H45" s="209"/>
      <c r="I45" s="966"/>
      <c r="J45" s="475"/>
      <c r="K45" s="602"/>
      <c r="L45" s="433">
        <f>E45*J42/K42</f>
        <v>0.17899875000000001</v>
      </c>
      <c r="M45" s="433"/>
      <c r="N45" s="433"/>
      <c r="O45" s="597">
        <v>0</v>
      </c>
      <c r="P45" s="596" t="str">
        <f>F45</f>
        <v>OH</v>
      </c>
      <c r="Q45" s="608">
        <f t="shared" si="1"/>
        <v>90000</v>
      </c>
      <c r="R45" s="453">
        <f>O45*Q45*K42</f>
        <v>0</v>
      </c>
      <c r="S45" s="453"/>
      <c r="T45" s="453"/>
      <c r="U45" s="753"/>
      <c r="V45" s="753"/>
      <c r="W45" s="753"/>
      <c r="X45" s="761"/>
      <c r="Y45" s="756"/>
      <c r="Z45" s="759"/>
      <c r="AA45" s="759"/>
      <c r="AB45" s="759"/>
      <c r="AC45" s="753"/>
      <c r="AD45" s="753"/>
      <c r="AE45" s="761"/>
      <c r="AF45" s="756"/>
      <c r="AG45" s="759"/>
      <c r="AH45" s="759"/>
      <c r="AI45" s="759"/>
      <c r="AJ45" s="753"/>
      <c r="AK45" s="753"/>
      <c r="AL45" s="761"/>
    </row>
    <row r="46" spans="2:38" ht="15.5" x14ac:dyDescent="0.45">
      <c r="B46" s="909"/>
      <c r="C46" s="229"/>
      <c r="D46" s="253" t="s">
        <v>109</v>
      </c>
      <c r="E46" s="428">
        <v>3.0000000000000001E-3</v>
      </c>
      <c r="F46" s="275" t="s">
        <v>108</v>
      </c>
      <c r="G46" s="351" t="s">
        <v>52</v>
      </c>
      <c r="H46" s="229"/>
      <c r="I46" s="967"/>
      <c r="J46" s="475"/>
      <c r="K46" s="602"/>
      <c r="L46" s="433">
        <f>E46*J42/K42</f>
        <v>8.5237500000000008E-2</v>
      </c>
      <c r="M46" s="433"/>
      <c r="N46" s="433"/>
      <c r="O46" s="597">
        <v>1</v>
      </c>
      <c r="P46" s="596" t="str">
        <f>F46</f>
        <v>OH</v>
      </c>
      <c r="Q46" s="608">
        <f t="shared" si="1"/>
        <v>100000</v>
      </c>
      <c r="R46" s="453">
        <f>O46*Q46*K42</f>
        <v>400000</v>
      </c>
      <c r="S46" s="453"/>
      <c r="T46" s="453"/>
      <c r="U46" s="753"/>
      <c r="V46" s="753"/>
      <c r="W46" s="753"/>
      <c r="X46" s="761"/>
      <c r="Y46" s="756"/>
      <c r="Z46" s="759"/>
      <c r="AA46" s="759"/>
      <c r="AB46" s="759"/>
      <c r="AC46" s="753"/>
      <c r="AD46" s="753"/>
      <c r="AE46" s="761"/>
      <c r="AF46" s="756"/>
      <c r="AG46" s="759"/>
      <c r="AH46" s="759"/>
      <c r="AI46" s="759"/>
      <c r="AJ46" s="753"/>
      <c r="AK46" s="753"/>
      <c r="AL46" s="761"/>
    </row>
    <row r="47" spans="2:38" ht="15.5" x14ac:dyDescent="0.45">
      <c r="B47" s="909"/>
      <c r="C47" s="229"/>
      <c r="D47" s="211"/>
      <c r="E47" s="352"/>
      <c r="F47" s="285" t="s">
        <v>5</v>
      </c>
      <c r="G47" s="353" t="s">
        <v>124</v>
      </c>
      <c r="H47" s="209"/>
      <c r="I47" s="966"/>
      <c r="J47" s="475"/>
      <c r="K47" s="602"/>
      <c r="L47" s="433"/>
      <c r="M47" s="433"/>
      <c r="N47" s="433"/>
      <c r="O47" s="597"/>
      <c r="P47" s="596"/>
      <c r="Q47" s="608"/>
      <c r="R47" s="453"/>
      <c r="S47" s="453"/>
      <c r="T47" s="453"/>
      <c r="U47" s="753"/>
      <c r="V47" s="753"/>
      <c r="W47" s="753"/>
      <c r="X47" s="761"/>
      <c r="Y47" s="756"/>
      <c r="Z47" s="759"/>
      <c r="AA47" s="759"/>
      <c r="AB47" s="759"/>
      <c r="AC47" s="753"/>
      <c r="AD47" s="753"/>
      <c r="AE47" s="761"/>
      <c r="AF47" s="756"/>
      <c r="AG47" s="759"/>
      <c r="AH47" s="759"/>
      <c r="AI47" s="759"/>
      <c r="AJ47" s="753"/>
      <c r="AK47" s="753"/>
      <c r="AL47" s="761"/>
    </row>
    <row r="48" spans="2:38" ht="15.5" x14ac:dyDescent="0.45">
      <c r="B48" s="909"/>
      <c r="C48" s="229"/>
      <c r="D48" s="211"/>
      <c r="E48" s="408">
        <v>0.1</v>
      </c>
      <c r="F48" s="267" t="s">
        <v>39</v>
      </c>
      <c r="G48" s="339" t="s">
        <v>167</v>
      </c>
      <c r="H48" s="209"/>
      <c r="I48" s="966"/>
      <c r="J48" s="475"/>
      <c r="K48" s="602"/>
      <c r="L48" s="433"/>
      <c r="M48" s="433">
        <f>E48*J42</f>
        <v>11.365000000000002</v>
      </c>
      <c r="N48" s="433"/>
      <c r="O48" s="597">
        <v>11</v>
      </c>
      <c r="P48" s="596" t="str">
        <f>F48</f>
        <v>Kg</v>
      </c>
      <c r="Q48" s="608">
        <f>'Harga Bahan RAP'!G87</f>
        <v>26000</v>
      </c>
      <c r="R48" s="453"/>
      <c r="S48" s="453">
        <f>O48*Q48</f>
        <v>286000</v>
      </c>
      <c r="T48" s="453"/>
      <c r="U48" s="753"/>
      <c r="V48" s="753"/>
      <c r="W48" s="753"/>
      <c r="X48" s="761"/>
      <c r="Y48" s="756"/>
      <c r="Z48" s="759"/>
      <c r="AA48" s="759"/>
      <c r="AB48" s="759"/>
      <c r="AC48" s="753"/>
      <c r="AD48" s="753"/>
      <c r="AE48" s="761"/>
      <c r="AF48" s="756"/>
      <c r="AG48" s="759"/>
      <c r="AH48" s="759"/>
      <c r="AI48" s="759"/>
      <c r="AJ48" s="753"/>
      <c r="AK48" s="753"/>
      <c r="AL48" s="761"/>
    </row>
    <row r="49" spans="2:38" ht="15.5" x14ac:dyDescent="0.45">
      <c r="B49" s="909"/>
      <c r="C49" s="229"/>
      <c r="D49" s="837"/>
      <c r="E49" s="945">
        <f>0.1/25</f>
        <v>4.0000000000000001E-3</v>
      </c>
      <c r="F49" s="819" t="s">
        <v>709</v>
      </c>
      <c r="G49" s="842" t="s">
        <v>168</v>
      </c>
      <c r="H49" s="821"/>
      <c r="I49" s="977"/>
      <c r="J49" s="475"/>
      <c r="K49" s="602"/>
      <c r="L49" s="433"/>
      <c r="M49" s="433">
        <f>E49*J42</f>
        <v>0.45460000000000006</v>
      </c>
      <c r="N49" s="433"/>
      <c r="O49" s="597">
        <v>1</v>
      </c>
      <c r="P49" s="596" t="str">
        <f>F49</f>
        <v>Pail</v>
      </c>
      <c r="Q49" s="608">
        <f>'Harga Bahan RAP'!G90</f>
        <v>680000</v>
      </c>
      <c r="R49" s="433"/>
      <c r="S49" s="453">
        <f t="shared" ref="S49:S52" si="2">O49*Q49</f>
        <v>680000</v>
      </c>
      <c r="T49" s="433"/>
      <c r="U49" s="753"/>
      <c r="V49" s="753"/>
      <c r="W49" s="753"/>
      <c r="X49" s="761"/>
      <c r="Y49" s="756"/>
      <c r="Z49" s="759"/>
      <c r="AA49" s="759"/>
      <c r="AB49" s="759"/>
      <c r="AC49" s="753"/>
      <c r="AD49" s="753"/>
      <c r="AE49" s="761"/>
      <c r="AF49" s="756"/>
      <c r="AG49" s="759"/>
      <c r="AH49" s="759"/>
      <c r="AI49" s="759"/>
      <c r="AJ49" s="753"/>
      <c r="AK49" s="753"/>
      <c r="AL49" s="761"/>
    </row>
    <row r="50" spans="2:38" ht="15.5" x14ac:dyDescent="0.45">
      <c r="B50" s="909"/>
      <c r="C50" s="229"/>
      <c r="D50" s="895"/>
      <c r="E50" s="963">
        <f>0.26/25</f>
        <v>1.04E-2</v>
      </c>
      <c r="F50" s="889" t="s">
        <v>709</v>
      </c>
      <c r="G50" s="964" t="s">
        <v>291</v>
      </c>
      <c r="H50" s="891"/>
      <c r="I50" s="988"/>
      <c r="J50" s="475"/>
      <c r="K50" s="602"/>
      <c r="L50" s="433"/>
      <c r="M50" s="433">
        <f>E50*J42</f>
        <v>1.1819599999999999</v>
      </c>
      <c r="N50" s="433"/>
      <c r="O50" s="597">
        <v>1</v>
      </c>
      <c r="P50" s="596" t="str">
        <f>F50</f>
        <v>Pail</v>
      </c>
      <c r="Q50" s="608">
        <f>'Harga Bahan RAP'!G94</f>
        <v>875000</v>
      </c>
      <c r="R50" s="433"/>
      <c r="S50" s="453">
        <f t="shared" si="2"/>
        <v>875000</v>
      </c>
      <c r="T50" s="433"/>
      <c r="U50" s="753"/>
      <c r="V50" s="753"/>
      <c r="W50" s="753"/>
      <c r="X50" s="761"/>
      <c r="Y50" s="756"/>
      <c r="Z50" s="759"/>
      <c r="AA50" s="759"/>
      <c r="AB50" s="759"/>
      <c r="AC50" s="753"/>
      <c r="AD50" s="753"/>
      <c r="AE50" s="761"/>
      <c r="AF50" s="756"/>
      <c r="AG50" s="759"/>
      <c r="AH50" s="759"/>
      <c r="AI50" s="759"/>
      <c r="AJ50" s="753"/>
      <c r="AK50" s="753"/>
      <c r="AL50" s="761"/>
    </row>
    <row r="51" spans="2:38" ht="15.5" x14ac:dyDescent="0.45">
      <c r="B51" s="909"/>
      <c r="C51" s="229"/>
      <c r="D51" s="211"/>
      <c r="E51" s="397"/>
      <c r="F51" s="211"/>
      <c r="G51" s="209"/>
      <c r="H51" s="209"/>
      <c r="I51" s="966"/>
      <c r="J51" s="475"/>
      <c r="K51" s="602"/>
      <c r="L51" s="433"/>
      <c r="M51" s="433">
        <f>E51*J42</f>
        <v>0</v>
      </c>
      <c r="N51" s="433"/>
      <c r="O51" s="597">
        <v>0</v>
      </c>
      <c r="P51" s="596">
        <f>F51</f>
        <v>0</v>
      </c>
      <c r="Q51" s="608">
        <f>'Harga Bahan RAP'!G212</f>
        <v>0</v>
      </c>
      <c r="R51" s="433"/>
      <c r="S51" s="453">
        <f t="shared" si="2"/>
        <v>0</v>
      </c>
      <c r="T51" s="433"/>
      <c r="U51" s="753"/>
      <c r="V51" s="753"/>
      <c r="W51" s="753"/>
      <c r="X51" s="761"/>
      <c r="Y51" s="756"/>
      <c r="Z51" s="759"/>
      <c r="AA51" s="759"/>
      <c r="AB51" s="759"/>
      <c r="AC51" s="753"/>
      <c r="AD51" s="753"/>
      <c r="AE51" s="761"/>
      <c r="AF51" s="756"/>
      <c r="AG51" s="759"/>
      <c r="AH51" s="759"/>
      <c r="AI51" s="759"/>
      <c r="AJ51" s="753"/>
      <c r="AK51" s="753"/>
      <c r="AL51" s="761"/>
    </row>
    <row r="52" spans="2:38" ht="15.5" x14ac:dyDescent="0.45">
      <c r="B52" s="909"/>
      <c r="C52" s="229"/>
      <c r="D52" s="269"/>
      <c r="E52" s="397"/>
      <c r="F52" s="269"/>
      <c r="G52" s="226"/>
      <c r="H52" s="226"/>
      <c r="I52" s="974"/>
      <c r="J52" s="475"/>
      <c r="K52" s="602"/>
      <c r="L52" s="433"/>
      <c r="M52" s="433">
        <f>E52*J42</f>
        <v>0</v>
      </c>
      <c r="N52" s="433"/>
      <c r="O52" s="597">
        <v>0</v>
      </c>
      <c r="P52" s="596">
        <f>F52</f>
        <v>0</v>
      </c>
      <c r="Q52" s="608"/>
      <c r="R52" s="433"/>
      <c r="S52" s="453">
        <f t="shared" si="2"/>
        <v>0</v>
      </c>
      <c r="T52" s="433"/>
      <c r="U52" s="753"/>
      <c r="V52" s="753"/>
      <c r="W52" s="753"/>
      <c r="X52" s="761"/>
      <c r="Y52" s="756"/>
      <c r="Z52" s="759"/>
      <c r="AA52" s="759"/>
      <c r="AB52" s="759"/>
      <c r="AC52" s="753"/>
      <c r="AD52" s="753"/>
      <c r="AE52" s="761"/>
      <c r="AF52" s="756"/>
      <c r="AG52" s="759"/>
      <c r="AH52" s="759"/>
      <c r="AI52" s="759"/>
      <c r="AJ52" s="753"/>
      <c r="AK52" s="753"/>
      <c r="AL52" s="761"/>
    </row>
    <row r="53" spans="2:38" ht="15.5" x14ac:dyDescent="0.45">
      <c r="B53" s="909"/>
      <c r="C53" s="229"/>
      <c r="D53" s="211"/>
      <c r="E53" s="267"/>
      <c r="F53" s="207" t="s">
        <v>6</v>
      </c>
      <c r="G53" s="208" t="s">
        <v>111</v>
      </c>
      <c r="H53" s="209"/>
      <c r="I53" s="966"/>
      <c r="J53" s="475"/>
      <c r="K53" s="602"/>
      <c r="L53" s="433"/>
      <c r="M53" s="433"/>
      <c r="N53" s="433"/>
      <c r="O53" s="597"/>
      <c r="P53" s="596"/>
      <c r="Q53" s="608"/>
      <c r="R53" s="433"/>
      <c r="S53" s="433"/>
      <c r="T53" s="433"/>
      <c r="U53" s="433"/>
      <c r="V53" s="433"/>
      <c r="W53" s="433"/>
      <c r="X53" s="659"/>
      <c r="Y53" s="661"/>
      <c r="Z53" s="433"/>
      <c r="AA53" s="433"/>
      <c r="AB53" s="433"/>
      <c r="AC53" s="433"/>
      <c r="AD53" s="433"/>
      <c r="AE53" s="644"/>
      <c r="AF53" s="661"/>
      <c r="AG53" s="433"/>
      <c r="AH53" s="433"/>
      <c r="AI53" s="433"/>
      <c r="AJ53" s="433"/>
      <c r="AK53" s="433"/>
      <c r="AL53" s="644"/>
    </row>
    <row r="54" spans="2:38" ht="15.5" x14ac:dyDescent="0.45">
      <c r="B54" s="909"/>
      <c r="C54" s="229"/>
      <c r="D54" s="211"/>
      <c r="E54" s="267"/>
      <c r="F54" s="207"/>
      <c r="G54" s="208"/>
      <c r="H54" s="209"/>
      <c r="I54" s="966"/>
      <c r="J54" s="475"/>
      <c r="K54" s="602"/>
      <c r="L54" s="433"/>
      <c r="M54" s="433"/>
      <c r="N54" s="433">
        <f>E54*J42</f>
        <v>0</v>
      </c>
      <c r="O54" s="597">
        <v>0</v>
      </c>
      <c r="P54" s="596">
        <v>0</v>
      </c>
      <c r="Q54" s="608"/>
      <c r="R54" s="433"/>
      <c r="S54" s="433"/>
      <c r="T54" s="453">
        <f>O54*Q54</f>
        <v>0</v>
      </c>
      <c r="U54" s="433"/>
      <c r="V54" s="433"/>
      <c r="W54" s="433"/>
      <c r="X54" s="659"/>
      <c r="Y54" s="661"/>
      <c r="Z54" s="433"/>
      <c r="AA54" s="433"/>
      <c r="AB54" s="433"/>
      <c r="AC54" s="433"/>
      <c r="AD54" s="433"/>
      <c r="AE54" s="644"/>
      <c r="AF54" s="661"/>
      <c r="AG54" s="433"/>
      <c r="AH54" s="433"/>
      <c r="AI54" s="433"/>
      <c r="AJ54" s="433"/>
      <c r="AK54" s="433"/>
      <c r="AL54" s="644"/>
    </row>
    <row r="55" spans="2:38" ht="15.5" x14ac:dyDescent="0.45">
      <c r="B55" s="909"/>
      <c r="C55" s="229"/>
      <c r="D55" s="211"/>
      <c r="E55" s="267"/>
      <c r="F55" s="207" t="s">
        <v>112</v>
      </c>
      <c r="G55" s="208" t="s">
        <v>113</v>
      </c>
      <c r="H55" s="209"/>
      <c r="I55" s="966"/>
      <c r="J55" s="475"/>
      <c r="K55" s="602"/>
      <c r="L55" s="433"/>
      <c r="M55" s="433"/>
      <c r="N55" s="433"/>
      <c r="O55" s="433"/>
      <c r="P55" s="433"/>
      <c r="Q55" s="595"/>
      <c r="R55" s="433"/>
      <c r="S55" s="433"/>
      <c r="T55" s="433"/>
      <c r="U55" s="433"/>
      <c r="V55" s="433"/>
      <c r="W55" s="433"/>
      <c r="X55" s="659"/>
      <c r="Y55" s="661"/>
      <c r="Z55" s="433"/>
      <c r="AA55" s="433"/>
      <c r="AB55" s="433"/>
      <c r="AC55" s="433"/>
      <c r="AD55" s="433"/>
      <c r="AE55" s="644"/>
      <c r="AF55" s="661"/>
      <c r="AG55" s="433"/>
      <c r="AH55" s="433"/>
      <c r="AI55" s="433"/>
      <c r="AJ55" s="433"/>
      <c r="AK55" s="433"/>
      <c r="AL55" s="644"/>
    </row>
    <row r="56" spans="2:38" ht="15.5" x14ac:dyDescent="0.45">
      <c r="B56" s="909"/>
      <c r="C56" s="229"/>
      <c r="D56" s="253"/>
      <c r="E56" s="275"/>
      <c r="F56" s="239" t="s">
        <v>114</v>
      </c>
      <c r="G56" s="257" t="s">
        <v>166</v>
      </c>
      <c r="H56" s="229"/>
      <c r="I56" s="980">
        <f>+I32</f>
        <v>0.15</v>
      </c>
      <c r="J56" s="475"/>
      <c r="K56" s="602"/>
      <c r="L56" s="433"/>
      <c r="M56" s="433"/>
      <c r="N56" s="433"/>
      <c r="O56" s="433"/>
      <c r="P56" s="433"/>
      <c r="Q56" s="595"/>
      <c r="R56" s="433"/>
      <c r="S56" s="433"/>
      <c r="T56" s="433"/>
      <c r="U56" s="433"/>
      <c r="V56" s="433"/>
      <c r="W56" s="433"/>
      <c r="X56" s="659"/>
      <c r="Y56" s="661"/>
      <c r="Z56" s="433"/>
      <c r="AA56" s="433"/>
      <c r="AB56" s="433"/>
      <c r="AC56" s="433"/>
      <c r="AD56" s="433"/>
      <c r="AE56" s="644"/>
      <c r="AF56" s="661"/>
      <c r="AG56" s="433"/>
      <c r="AH56" s="433"/>
      <c r="AI56" s="433"/>
      <c r="AJ56" s="433"/>
      <c r="AK56" s="433"/>
      <c r="AL56" s="644"/>
    </row>
    <row r="57" spans="2:38" ht="16" thickBot="1" x14ac:dyDescent="0.5">
      <c r="B57" s="910"/>
      <c r="C57" s="944"/>
      <c r="D57" s="852"/>
      <c r="E57" s="911"/>
      <c r="F57" s="834" t="s">
        <v>115</v>
      </c>
      <c r="G57" s="816" t="s">
        <v>127</v>
      </c>
      <c r="H57" s="835"/>
      <c r="I57" s="981"/>
      <c r="J57" s="793"/>
      <c r="K57" s="763"/>
      <c r="L57" s="655"/>
      <c r="M57" s="655"/>
      <c r="N57" s="655"/>
      <c r="O57" s="655"/>
      <c r="P57" s="655"/>
      <c r="Q57" s="654"/>
      <c r="R57" s="655"/>
      <c r="S57" s="655"/>
      <c r="T57" s="655"/>
      <c r="U57" s="655"/>
      <c r="V57" s="655"/>
      <c r="W57" s="655"/>
      <c r="X57" s="660"/>
      <c r="Y57" s="662"/>
      <c r="Z57" s="655"/>
      <c r="AA57" s="655"/>
      <c r="AB57" s="655"/>
      <c r="AC57" s="655"/>
      <c r="AD57" s="655"/>
      <c r="AE57" s="656"/>
      <c r="AF57" s="662"/>
      <c r="AG57" s="655"/>
      <c r="AH57" s="655"/>
      <c r="AI57" s="655"/>
      <c r="AJ57" s="655"/>
      <c r="AK57" s="655"/>
      <c r="AL57" s="656"/>
    </row>
    <row r="58" spans="2:38" x14ac:dyDescent="0.45">
      <c r="D58" s="112"/>
      <c r="E58" s="195"/>
      <c r="G58" s="111"/>
      <c r="H58" s="111"/>
      <c r="I58" s="111"/>
      <c r="Z58" s="657"/>
      <c r="AA58" s="657"/>
      <c r="AB58" s="657"/>
      <c r="AC58" s="657"/>
      <c r="AD58" s="657"/>
      <c r="AE58" s="657"/>
      <c r="AG58" s="657"/>
      <c r="AH58" s="657"/>
      <c r="AI58" s="657"/>
      <c r="AJ58" s="657"/>
      <c r="AK58" s="657"/>
      <c r="AL58" s="657"/>
    </row>
    <row r="59" spans="2:38" ht="17" thickBot="1" x14ac:dyDescent="0.5">
      <c r="B59" s="749" t="s">
        <v>719</v>
      </c>
      <c r="C59" s="750" t="str">
        <f>RAP!B84</f>
        <v>Cat Plafond</v>
      </c>
      <c r="D59" s="241"/>
      <c r="E59" s="241"/>
      <c r="F59" s="276"/>
      <c r="G59" s="240"/>
      <c r="H59" s="241"/>
      <c r="I59" s="241"/>
      <c r="J59" s="604"/>
      <c r="K59" s="603"/>
      <c r="L59" s="604"/>
      <c r="M59" s="604"/>
      <c r="N59" s="604"/>
      <c r="O59" s="604"/>
      <c r="P59" s="604"/>
      <c r="Q59" s="604"/>
      <c r="R59" s="609"/>
      <c r="S59" s="609"/>
      <c r="T59" s="609"/>
      <c r="U59" s="609"/>
      <c r="V59" s="609"/>
      <c r="W59" s="609"/>
      <c r="X59" s="609"/>
      <c r="Y59" s="609"/>
      <c r="Z59" s="609"/>
      <c r="AA59" s="609"/>
      <c r="AB59" s="609"/>
      <c r="AC59" s="609"/>
      <c r="AD59" s="609"/>
      <c r="AE59" s="609"/>
      <c r="AF59" s="609"/>
      <c r="AG59" s="609"/>
      <c r="AH59" s="609"/>
      <c r="AI59" s="609"/>
      <c r="AJ59" s="609"/>
      <c r="AK59" s="609"/>
      <c r="AL59" s="609"/>
    </row>
    <row r="60" spans="2:38" ht="19.5" customHeight="1" x14ac:dyDescent="0.45">
      <c r="B60" s="1168" t="s">
        <v>99</v>
      </c>
      <c r="C60" s="1171" t="s">
        <v>100</v>
      </c>
      <c r="D60" s="1171" t="s">
        <v>89</v>
      </c>
      <c r="E60" s="1171" t="s">
        <v>101</v>
      </c>
      <c r="F60" s="1171" t="s">
        <v>102</v>
      </c>
      <c r="G60" s="1109" t="s">
        <v>103</v>
      </c>
      <c r="H60" s="1110"/>
      <c r="I60" s="1175"/>
      <c r="J60" s="1152" t="s">
        <v>539</v>
      </c>
      <c r="K60" s="1152"/>
      <c r="L60" s="1152"/>
      <c r="M60" s="1152"/>
      <c r="N60" s="1152"/>
      <c r="O60" s="1152"/>
      <c r="P60" s="1152"/>
      <c r="Q60" s="1152"/>
      <c r="R60" s="1152"/>
      <c r="S60" s="1152"/>
      <c r="T60" s="1152"/>
      <c r="U60" s="1152"/>
      <c r="V60" s="1152"/>
      <c r="W60" s="1152"/>
      <c r="X60" s="1152"/>
      <c r="Y60" s="1153" t="s">
        <v>540</v>
      </c>
      <c r="Z60" s="1154"/>
      <c r="AA60" s="1154"/>
      <c r="AB60" s="1154"/>
      <c r="AC60" s="1154"/>
      <c r="AD60" s="1154"/>
      <c r="AE60" s="1155"/>
      <c r="AF60" s="1156" t="s">
        <v>541</v>
      </c>
      <c r="AG60" s="1157"/>
      <c r="AH60" s="1157"/>
      <c r="AI60" s="1157"/>
      <c r="AJ60" s="1157"/>
      <c r="AK60" s="1157"/>
      <c r="AL60" s="1158"/>
    </row>
    <row r="61" spans="2:38" ht="45" x14ac:dyDescent="0.45">
      <c r="B61" s="1169"/>
      <c r="C61" s="1089"/>
      <c r="D61" s="1089"/>
      <c r="E61" s="1089"/>
      <c r="F61" s="1089"/>
      <c r="G61" s="1026"/>
      <c r="H61" s="1027"/>
      <c r="I61" s="1176"/>
      <c r="J61" s="1185" t="s">
        <v>15</v>
      </c>
      <c r="K61" s="673" t="s">
        <v>493</v>
      </c>
      <c r="L61" s="1161" t="s">
        <v>491</v>
      </c>
      <c r="M61" s="1162"/>
      <c r="N61" s="1162"/>
      <c r="O61" s="1162"/>
      <c r="P61" s="1163"/>
      <c r="Q61" s="674" t="s">
        <v>533</v>
      </c>
      <c r="R61" s="1161" t="s">
        <v>501</v>
      </c>
      <c r="S61" s="1162"/>
      <c r="T61" s="1163"/>
      <c r="U61" s="674" t="s">
        <v>530</v>
      </c>
      <c r="V61" s="674" t="s">
        <v>531</v>
      </c>
      <c r="W61" s="674" t="s">
        <v>578</v>
      </c>
      <c r="X61" s="681" t="s">
        <v>579</v>
      </c>
      <c r="Y61" s="1164" t="s">
        <v>534</v>
      </c>
      <c r="Z61" s="1165"/>
      <c r="AA61" s="663" t="s">
        <v>537</v>
      </c>
      <c r="AB61" s="664" t="s">
        <v>538</v>
      </c>
      <c r="AC61" s="665" t="s">
        <v>530</v>
      </c>
      <c r="AD61" s="665" t="s">
        <v>578</v>
      </c>
      <c r="AE61" s="682" t="s">
        <v>579</v>
      </c>
      <c r="AF61" s="1166" t="s">
        <v>542</v>
      </c>
      <c r="AG61" s="1167"/>
      <c r="AH61" s="737" t="s">
        <v>543</v>
      </c>
      <c r="AI61" s="738" t="s">
        <v>544</v>
      </c>
      <c r="AJ61" s="739" t="s">
        <v>530</v>
      </c>
      <c r="AK61" s="739" t="s">
        <v>578</v>
      </c>
      <c r="AL61" s="740" t="s">
        <v>579</v>
      </c>
    </row>
    <row r="62" spans="2:38" ht="30" x14ac:dyDescent="0.45">
      <c r="B62" s="1170"/>
      <c r="C62" s="1090"/>
      <c r="D62" s="1090"/>
      <c r="E62" s="1090"/>
      <c r="F62" s="1090"/>
      <c r="G62" s="1085"/>
      <c r="H62" s="1086"/>
      <c r="I62" s="1177"/>
      <c r="J62" s="1174"/>
      <c r="K62" s="675" t="s">
        <v>495</v>
      </c>
      <c r="L62" s="676" t="s">
        <v>524</v>
      </c>
      <c r="M62" s="676" t="s">
        <v>525</v>
      </c>
      <c r="N62" s="676" t="s">
        <v>526</v>
      </c>
      <c r="O62" s="675" t="s">
        <v>517</v>
      </c>
      <c r="P62" s="675" t="s">
        <v>290</v>
      </c>
      <c r="Q62" s="675" t="s">
        <v>532</v>
      </c>
      <c r="R62" s="676" t="s">
        <v>527</v>
      </c>
      <c r="S62" s="676" t="s">
        <v>528</v>
      </c>
      <c r="T62" s="677" t="s">
        <v>529</v>
      </c>
      <c r="U62" s="675" t="s">
        <v>502</v>
      </c>
      <c r="V62" s="675" t="s">
        <v>502</v>
      </c>
      <c r="W62" s="675" t="s">
        <v>502</v>
      </c>
      <c r="X62" s="678" t="s">
        <v>504</v>
      </c>
      <c r="Y62" s="666" t="s">
        <v>535</v>
      </c>
      <c r="Z62" s="667" t="s">
        <v>536</v>
      </c>
      <c r="AA62" s="668" t="s">
        <v>532</v>
      </c>
      <c r="AB62" s="668" t="s">
        <v>532</v>
      </c>
      <c r="AC62" s="668" t="s">
        <v>532</v>
      </c>
      <c r="AD62" s="668" t="s">
        <v>532</v>
      </c>
      <c r="AE62" s="669" t="s">
        <v>532</v>
      </c>
      <c r="AF62" s="741" t="s">
        <v>535</v>
      </c>
      <c r="AG62" s="742" t="s">
        <v>536</v>
      </c>
      <c r="AH62" s="743" t="s">
        <v>532</v>
      </c>
      <c r="AI62" s="743" t="s">
        <v>532</v>
      </c>
      <c r="AJ62" s="743" t="s">
        <v>532</v>
      </c>
      <c r="AK62" s="743" t="s">
        <v>532</v>
      </c>
      <c r="AL62" s="744" t="s">
        <v>532</v>
      </c>
    </row>
    <row r="63" spans="2:38" ht="30" x14ac:dyDescent="0.45">
      <c r="B63" s="639" t="s">
        <v>4</v>
      </c>
      <c r="C63" s="600" t="s">
        <v>5</v>
      </c>
      <c r="D63" s="570" t="s">
        <v>6</v>
      </c>
      <c r="E63" s="570" t="s">
        <v>112</v>
      </c>
      <c r="F63" s="570" t="s">
        <v>114</v>
      </c>
      <c r="G63" s="1014" t="s">
        <v>115</v>
      </c>
      <c r="H63" s="1014"/>
      <c r="I63" s="1172"/>
      <c r="J63" s="791" t="s">
        <v>21</v>
      </c>
      <c r="K63" s="675" t="s">
        <v>496</v>
      </c>
      <c r="L63" s="675" t="s">
        <v>497</v>
      </c>
      <c r="M63" s="675" t="s">
        <v>498</v>
      </c>
      <c r="N63" s="675" t="s">
        <v>499</v>
      </c>
      <c r="O63" s="676" t="s">
        <v>552</v>
      </c>
      <c r="P63" s="675" t="s">
        <v>512</v>
      </c>
      <c r="Q63" s="675" t="s">
        <v>503</v>
      </c>
      <c r="R63" s="675" t="s">
        <v>553</v>
      </c>
      <c r="S63" s="675" t="s">
        <v>513</v>
      </c>
      <c r="T63" s="675" t="s">
        <v>514</v>
      </c>
      <c r="U63" s="675" t="s">
        <v>554</v>
      </c>
      <c r="V63" s="675" t="s">
        <v>515</v>
      </c>
      <c r="W63" s="675" t="s">
        <v>555</v>
      </c>
      <c r="X63" s="678" t="s">
        <v>516</v>
      </c>
      <c r="Y63" s="670" t="s">
        <v>556</v>
      </c>
      <c r="Z63" s="671" t="s">
        <v>557</v>
      </c>
      <c r="AA63" s="671" t="s">
        <v>558</v>
      </c>
      <c r="AB63" s="671" t="s">
        <v>559</v>
      </c>
      <c r="AC63" s="671" t="s">
        <v>560</v>
      </c>
      <c r="AD63" s="671" t="s">
        <v>561</v>
      </c>
      <c r="AE63" s="672" t="s">
        <v>562</v>
      </c>
      <c r="AF63" s="745" t="s">
        <v>563</v>
      </c>
      <c r="AG63" s="746" t="s">
        <v>564</v>
      </c>
      <c r="AH63" s="746" t="s">
        <v>565</v>
      </c>
      <c r="AI63" s="746" t="s">
        <v>566</v>
      </c>
      <c r="AJ63" s="746" t="s">
        <v>567</v>
      </c>
      <c r="AK63" s="746" t="s">
        <v>568</v>
      </c>
      <c r="AL63" s="747" t="s">
        <v>569</v>
      </c>
    </row>
    <row r="64" spans="2:38" ht="15.5" x14ac:dyDescent="0.45">
      <c r="B64" s="1186">
        <v>3</v>
      </c>
      <c r="C64" s="1187" t="s">
        <v>41</v>
      </c>
      <c r="D64" s="582"/>
      <c r="E64" s="943">
        <v>1</v>
      </c>
      <c r="F64" s="583" t="s">
        <v>30</v>
      </c>
      <c r="G64" s="561" t="s">
        <v>264</v>
      </c>
      <c r="H64" s="585"/>
      <c r="I64" s="997"/>
      <c r="J64" s="828"/>
      <c r="K64" s="828"/>
      <c r="L64" s="828"/>
      <c r="M64" s="828"/>
      <c r="N64" s="828"/>
      <c r="O64" s="828"/>
      <c r="P64" s="828"/>
      <c r="Q64" s="828"/>
      <c r="R64" s="828"/>
      <c r="S64" s="828"/>
      <c r="T64" s="828"/>
      <c r="U64" s="828"/>
      <c r="V64" s="828"/>
      <c r="W64" s="828"/>
      <c r="X64" s="828"/>
      <c r="Y64" s="828"/>
      <c r="Z64" s="828"/>
      <c r="AA64" s="828"/>
      <c r="AB64" s="828"/>
      <c r="AC64" s="828"/>
      <c r="AD64" s="828"/>
      <c r="AE64" s="828"/>
      <c r="AF64" s="828"/>
      <c r="AG64" s="828"/>
      <c r="AH64" s="828"/>
      <c r="AI64" s="828"/>
      <c r="AJ64" s="828"/>
      <c r="AK64" s="828"/>
      <c r="AL64" s="828"/>
    </row>
    <row r="65" spans="2:38" ht="15.5" x14ac:dyDescent="0.45">
      <c r="B65" s="1179"/>
      <c r="C65" s="1070"/>
      <c r="D65" s="582"/>
      <c r="E65" s="583"/>
      <c r="F65" s="584"/>
      <c r="G65" s="561" t="s">
        <v>263</v>
      </c>
      <c r="H65" s="585"/>
      <c r="I65" s="997"/>
      <c r="J65" s="789"/>
      <c r="K65" s="789"/>
      <c r="L65" s="789"/>
      <c r="M65" s="789"/>
      <c r="N65" s="789"/>
      <c r="O65" s="789"/>
      <c r="P65" s="789"/>
      <c r="Q65" s="789"/>
      <c r="R65" s="789"/>
      <c r="S65" s="789"/>
      <c r="T65" s="789"/>
      <c r="U65" s="789"/>
      <c r="V65" s="789"/>
      <c r="W65" s="789"/>
      <c r="X65" s="789"/>
      <c r="Y65" s="789"/>
      <c r="Z65" s="789"/>
      <c r="AA65" s="789"/>
      <c r="AB65" s="789"/>
      <c r="AC65" s="789"/>
      <c r="AD65" s="789"/>
      <c r="AE65" s="789"/>
      <c r="AF65" s="789"/>
      <c r="AG65" s="789"/>
      <c r="AH65" s="789"/>
      <c r="AI65" s="789"/>
      <c r="AJ65" s="789"/>
      <c r="AK65" s="789"/>
      <c r="AL65" s="790"/>
    </row>
    <row r="66" spans="2:38" x14ac:dyDescent="0.45">
      <c r="B66" s="784"/>
      <c r="C66" s="229"/>
      <c r="D66" s="230"/>
      <c r="E66" s="284"/>
      <c r="F66" s="285" t="s">
        <v>4</v>
      </c>
      <c r="G66" s="353" t="s">
        <v>120</v>
      </c>
      <c r="H66" s="209"/>
      <c r="I66" s="966"/>
      <c r="J66" s="792">
        <f>RAP!E84</f>
        <v>428.48</v>
      </c>
      <c r="K66" s="601">
        <v>5</v>
      </c>
      <c r="L66" s="319"/>
      <c r="M66" s="319"/>
      <c r="N66" s="319"/>
      <c r="O66" s="598"/>
      <c r="P66" s="598"/>
      <c r="Q66" s="605"/>
      <c r="R66" s="485"/>
      <c r="S66" s="485"/>
      <c r="T66" s="485"/>
      <c r="U66" s="752">
        <f>SUM(R66:R81)+(SUM(S66:S81)+SUM(T66:T81))</f>
        <v>8942000</v>
      </c>
      <c r="V66" s="754">
        <f>RAP!H84</f>
        <v>9558649.6699999999</v>
      </c>
      <c r="W66" s="752">
        <f>V66-U66</f>
        <v>616649.66999999993</v>
      </c>
      <c r="X66" s="760">
        <f>W66/V66*100</f>
        <v>6.4512215772000348</v>
      </c>
      <c r="Y66" s="755">
        <f>SUM(R66:R81)/J66</f>
        <v>8868.5586258401781</v>
      </c>
      <c r="Z66" s="757">
        <v>8000</v>
      </c>
      <c r="AA66" s="758">
        <f>J66*Z66</f>
        <v>3427840</v>
      </c>
      <c r="AB66" s="758">
        <f>SUM(S66:S81)+SUM(T66:T81)</f>
        <v>5142000</v>
      </c>
      <c r="AC66" s="752">
        <f>AA66+AB66</f>
        <v>8569840</v>
      </c>
      <c r="AD66" s="752">
        <f>V66-AC66</f>
        <v>988809.66999999993</v>
      </c>
      <c r="AE66" s="760">
        <f>AD66/V66*100</f>
        <v>10.34465854631536</v>
      </c>
      <c r="AF66" s="755">
        <f>(SUM(R66:R81)+SUM(S66:S81))/J66</f>
        <v>20869.118745332336</v>
      </c>
      <c r="AG66" s="757">
        <v>20000</v>
      </c>
      <c r="AH66" s="758">
        <f>AG66*J66</f>
        <v>8569600</v>
      </c>
      <c r="AI66" s="758">
        <f>SUM(T66:T81)</f>
        <v>0</v>
      </c>
      <c r="AJ66" s="752">
        <f>AH66+AI66</f>
        <v>8569600</v>
      </c>
      <c r="AK66" s="752">
        <f>V66-AJ66</f>
        <v>989049.66999999993</v>
      </c>
      <c r="AL66" s="760">
        <f>AK66/V66*100</f>
        <v>10.347169361213759</v>
      </c>
    </row>
    <row r="67" spans="2:38" x14ac:dyDescent="0.45">
      <c r="B67" s="784"/>
      <c r="C67" s="229"/>
      <c r="D67" s="211" t="s">
        <v>107</v>
      </c>
      <c r="E67" s="397">
        <v>0.02</v>
      </c>
      <c r="F67" s="267" t="s">
        <v>108</v>
      </c>
      <c r="G67" s="339" t="s">
        <v>51</v>
      </c>
      <c r="H67" s="209"/>
      <c r="I67" s="966"/>
      <c r="J67" s="475"/>
      <c r="K67" s="602"/>
      <c r="L67" s="433">
        <f>E67*J66/K66</f>
        <v>1.7139200000000003</v>
      </c>
      <c r="M67" s="433"/>
      <c r="N67" s="433"/>
      <c r="O67" s="597">
        <v>2</v>
      </c>
      <c r="P67" s="596" t="str">
        <f>F67</f>
        <v>OH</v>
      </c>
      <c r="Q67" s="608">
        <f>Q43</f>
        <v>75000</v>
      </c>
      <c r="R67" s="453">
        <f>O67*Q67*K66</f>
        <v>750000</v>
      </c>
      <c r="S67" s="453"/>
      <c r="T67" s="453"/>
      <c r="U67" s="753"/>
      <c r="V67" s="753"/>
      <c r="W67" s="753"/>
      <c r="X67" s="761"/>
      <c r="Y67" s="756"/>
      <c r="Z67" s="759"/>
      <c r="AA67" s="759"/>
      <c r="AB67" s="759"/>
      <c r="AC67" s="753"/>
      <c r="AD67" s="753"/>
      <c r="AE67" s="761"/>
      <c r="AF67" s="756"/>
      <c r="AG67" s="759"/>
      <c r="AH67" s="759"/>
      <c r="AI67" s="759"/>
      <c r="AJ67" s="753"/>
      <c r="AK67" s="753"/>
      <c r="AL67" s="761"/>
    </row>
    <row r="68" spans="2:38" x14ac:dyDescent="0.45">
      <c r="B68" s="784"/>
      <c r="C68" s="229"/>
      <c r="D68" s="211" t="s">
        <v>121</v>
      </c>
      <c r="E68" s="399">
        <v>6.3E-2</v>
      </c>
      <c r="F68" s="267" t="s">
        <v>108</v>
      </c>
      <c r="G68" s="339" t="s">
        <v>59</v>
      </c>
      <c r="H68" s="209"/>
      <c r="I68" s="966"/>
      <c r="J68" s="475"/>
      <c r="K68" s="602"/>
      <c r="L68" s="433">
        <f>E68*J66/K66</f>
        <v>5.3988480000000001</v>
      </c>
      <c r="M68" s="433"/>
      <c r="N68" s="433"/>
      <c r="O68" s="597">
        <v>6</v>
      </c>
      <c r="P68" s="596" t="str">
        <f>F68</f>
        <v>OH</v>
      </c>
      <c r="Q68" s="608">
        <f t="shared" ref="Q68:Q70" si="3">Q44</f>
        <v>85000</v>
      </c>
      <c r="R68" s="453">
        <f>O68*Q68*K66</f>
        <v>2550000</v>
      </c>
      <c r="S68" s="453"/>
      <c r="T68" s="453"/>
      <c r="U68" s="753"/>
      <c r="V68" s="753"/>
      <c r="W68" s="753"/>
      <c r="X68" s="761"/>
      <c r="Y68" s="756"/>
      <c r="Z68" s="759"/>
      <c r="AA68" s="759"/>
      <c r="AB68" s="759"/>
      <c r="AC68" s="753"/>
      <c r="AD68" s="753"/>
      <c r="AE68" s="761"/>
      <c r="AF68" s="756"/>
      <c r="AG68" s="759"/>
      <c r="AH68" s="759"/>
      <c r="AI68" s="759"/>
      <c r="AJ68" s="753"/>
      <c r="AK68" s="753"/>
      <c r="AL68" s="761"/>
    </row>
    <row r="69" spans="2:38" x14ac:dyDescent="0.45">
      <c r="B69" s="784"/>
      <c r="C69" s="229"/>
      <c r="D69" s="211" t="s">
        <v>122</v>
      </c>
      <c r="E69" s="427">
        <v>6.3E-3</v>
      </c>
      <c r="F69" s="267" t="s">
        <v>108</v>
      </c>
      <c r="G69" s="339" t="s">
        <v>123</v>
      </c>
      <c r="H69" s="209"/>
      <c r="I69" s="966"/>
      <c r="J69" s="475"/>
      <c r="K69" s="602"/>
      <c r="L69" s="433">
        <f>E69*J66/K66</f>
        <v>0.53988480000000005</v>
      </c>
      <c r="M69" s="433"/>
      <c r="N69" s="433"/>
      <c r="O69" s="597">
        <v>0</v>
      </c>
      <c r="P69" s="596" t="str">
        <f>F69</f>
        <v>OH</v>
      </c>
      <c r="Q69" s="608">
        <f t="shared" si="3"/>
        <v>90000</v>
      </c>
      <c r="R69" s="453">
        <f>O69*Q69*K66</f>
        <v>0</v>
      </c>
      <c r="S69" s="453"/>
      <c r="T69" s="453"/>
      <c r="U69" s="753"/>
      <c r="V69" s="753"/>
      <c r="W69" s="753"/>
      <c r="X69" s="761"/>
      <c r="Y69" s="756"/>
      <c r="Z69" s="759"/>
      <c r="AA69" s="759"/>
      <c r="AB69" s="759"/>
      <c r="AC69" s="753"/>
      <c r="AD69" s="753"/>
      <c r="AE69" s="761"/>
      <c r="AF69" s="756"/>
      <c r="AG69" s="759"/>
      <c r="AH69" s="759"/>
      <c r="AI69" s="759"/>
      <c r="AJ69" s="753"/>
      <c r="AK69" s="753"/>
      <c r="AL69" s="761"/>
    </row>
    <row r="70" spans="2:38" ht="15.5" x14ac:dyDescent="0.45">
      <c r="B70" s="909"/>
      <c r="C70" s="229"/>
      <c r="D70" s="253" t="s">
        <v>109</v>
      </c>
      <c r="E70" s="428">
        <v>3.0000000000000001E-3</v>
      </c>
      <c r="F70" s="275" t="s">
        <v>108</v>
      </c>
      <c r="G70" s="351" t="s">
        <v>52</v>
      </c>
      <c r="H70" s="229"/>
      <c r="I70" s="967"/>
      <c r="J70" s="475"/>
      <c r="K70" s="602"/>
      <c r="L70" s="433">
        <f>E70*J66/K66</f>
        <v>0.25708800000000004</v>
      </c>
      <c r="M70" s="433"/>
      <c r="N70" s="433"/>
      <c r="O70" s="597">
        <v>1</v>
      </c>
      <c r="P70" s="596" t="str">
        <f>F70</f>
        <v>OH</v>
      </c>
      <c r="Q70" s="608">
        <f t="shared" si="3"/>
        <v>100000</v>
      </c>
      <c r="R70" s="453">
        <f>O70*Q70*K66</f>
        <v>500000</v>
      </c>
      <c r="S70" s="453"/>
      <c r="T70" s="453"/>
      <c r="U70" s="753"/>
      <c r="V70" s="753"/>
      <c r="W70" s="753"/>
      <c r="X70" s="761"/>
      <c r="Y70" s="756"/>
      <c r="Z70" s="759"/>
      <c r="AA70" s="759"/>
      <c r="AB70" s="759"/>
      <c r="AC70" s="753"/>
      <c r="AD70" s="753"/>
      <c r="AE70" s="761"/>
      <c r="AF70" s="756"/>
      <c r="AG70" s="759"/>
      <c r="AH70" s="759"/>
      <c r="AI70" s="759"/>
      <c r="AJ70" s="753"/>
      <c r="AK70" s="753"/>
      <c r="AL70" s="761"/>
    </row>
    <row r="71" spans="2:38" ht="15.5" x14ac:dyDescent="0.45">
      <c r="B71" s="909"/>
      <c r="C71" s="229"/>
      <c r="D71" s="211"/>
      <c r="E71" s="352"/>
      <c r="F71" s="285" t="s">
        <v>5</v>
      </c>
      <c r="G71" s="353" t="s">
        <v>124</v>
      </c>
      <c r="H71" s="209"/>
      <c r="I71" s="966"/>
      <c r="J71" s="475"/>
      <c r="K71" s="602"/>
      <c r="L71" s="433"/>
      <c r="M71" s="433"/>
      <c r="N71" s="433"/>
      <c r="O71" s="597"/>
      <c r="P71" s="596"/>
      <c r="Q71" s="608"/>
      <c r="R71" s="453"/>
      <c r="S71" s="453"/>
      <c r="T71" s="453"/>
      <c r="U71" s="753"/>
      <c r="V71" s="753"/>
      <c r="W71" s="753"/>
      <c r="X71" s="761"/>
      <c r="Y71" s="756"/>
      <c r="Z71" s="759"/>
      <c r="AA71" s="759"/>
      <c r="AB71" s="759"/>
      <c r="AC71" s="753"/>
      <c r="AD71" s="753"/>
      <c r="AE71" s="761"/>
      <c r="AF71" s="756"/>
      <c r="AG71" s="759"/>
      <c r="AH71" s="759"/>
      <c r="AI71" s="759"/>
      <c r="AJ71" s="753"/>
      <c r="AK71" s="753"/>
      <c r="AL71" s="761"/>
    </row>
    <row r="72" spans="2:38" ht="15.5" x14ac:dyDescent="0.45">
      <c r="B72" s="909"/>
      <c r="C72" s="229"/>
      <c r="D72" s="211"/>
      <c r="E72" s="408">
        <v>0.1</v>
      </c>
      <c r="F72" s="267" t="s">
        <v>39</v>
      </c>
      <c r="G72" s="339" t="s">
        <v>167</v>
      </c>
      <c r="H72" s="209"/>
      <c r="I72" s="966"/>
      <c r="J72" s="475"/>
      <c r="K72" s="602"/>
      <c r="L72" s="433"/>
      <c r="M72" s="433">
        <f>E72*J66</f>
        <v>42.848000000000006</v>
      </c>
      <c r="N72" s="433"/>
      <c r="O72" s="597">
        <v>42</v>
      </c>
      <c r="P72" s="596" t="str">
        <f>F72</f>
        <v>Kg</v>
      </c>
      <c r="Q72" s="608">
        <f>'Harga Bahan RAP'!G87</f>
        <v>26000</v>
      </c>
      <c r="R72" s="453"/>
      <c r="S72" s="453">
        <f>O72*Q72</f>
        <v>1092000</v>
      </c>
      <c r="T72" s="453"/>
      <c r="U72" s="753"/>
      <c r="V72" s="753"/>
      <c r="W72" s="753"/>
      <c r="X72" s="761"/>
      <c r="Y72" s="756"/>
      <c r="Z72" s="759"/>
      <c r="AA72" s="759"/>
      <c r="AB72" s="759"/>
      <c r="AC72" s="753"/>
      <c r="AD72" s="753"/>
      <c r="AE72" s="761"/>
      <c r="AF72" s="756"/>
      <c r="AG72" s="759"/>
      <c r="AH72" s="759"/>
      <c r="AI72" s="759"/>
      <c r="AJ72" s="753"/>
      <c r="AK72" s="753"/>
      <c r="AL72" s="761"/>
    </row>
    <row r="73" spans="2:38" ht="15.5" x14ac:dyDescent="0.45">
      <c r="B73" s="909"/>
      <c r="C73" s="229"/>
      <c r="D73" s="211"/>
      <c r="E73" s="945">
        <f>0.1/25</f>
        <v>4.0000000000000001E-3</v>
      </c>
      <c r="F73" s="819" t="s">
        <v>709</v>
      </c>
      <c r="G73" s="842" t="s">
        <v>168</v>
      </c>
      <c r="H73" s="821"/>
      <c r="I73" s="977"/>
      <c r="J73" s="475"/>
      <c r="K73" s="602"/>
      <c r="L73" s="433"/>
      <c r="M73" s="433">
        <f>E73*J66</f>
        <v>1.7139200000000001</v>
      </c>
      <c r="N73" s="433"/>
      <c r="O73" s="597">
        <v>2</v>
      </c>
      <c r="P73" s="596" t="str">
        <f>F73</f>
        <v>Pail</v>
      </c>
      <c r="Q73" s="608">
        <f>'Harga Bahan RAP'!G88</f>
        <v>525000</v>
      </c>
      <c r="R73" s="433"/>
      <c r="S73" s="453">
        <f t="shared" ref="S73:S76" si="4">O73*Q73</f>
        <v>1050000</v>
      </c>
      <c r="T73" s="433"/>
      <c r="U73" s="753"/>
      <c r="V73" s="753"/>
      <c r="W73" s="753"/>
      <c r="X73" s="761"/>
      <c r="Y73" s="756"/>
      <c r="Z73" s="759"/>
      <c r="AA73" s="759"/>
      <c r="AB73" s="759"/>
      <c r="AC73" s="753"/>
      <c r="AD73" s="753"/>
      <c r="AE73" s="761"/>
      <c r="AF73" s="756"/>
      <c r="AG73" s="759"/>
      <c r="AH73" s="759"/>
      <c r="AI73" s="759"/>
      <c r="AJ73" s="753"/>
      <c r="AK73" s="753"/>
      <c r="AL73" s="761"/>
    </row>
    <row r="74" spans="2:38" ht="15.5" x14ac:dyDescent="0.45">
      <c r="B74" s="909"/>
      <c r="C74" s="229"/>
      <c r="D74" s="269"/>
      <c r="E74" s="946">
        <f>0.26/25</f>
        <v>1.04E-2</v>
      </c>
      <c r="F74" s="889" t="s">
        <v>709</v>
      </c>
      <c r="G74" s="933" t="s">
        <v>291</v>
      </c>
      <c r="H74" s="934"/>
      <c r="I74" s="998"/>
      <c r="J74" s="475"/>
      <c r="K74" s="602"/>
      <c r="L74" s="433"/>
      <c r="M74" s="433">
        <f>E74*J66</f>
        <v>4.4561919999999997</v>
      </c>
      <c r="N74" s="433"/>
      <c r="O74" s="597">
        <v>5</v>
      </c>
      <c r="P74" s="596" t="str">
        <f>F74</f>
        <v>Pail</v>
      </c>
      <c r="Q74" s="608">
        <f>'Harga Bahan RAP'!G92</f>
        <v>600000</v>
      </c>
      <c r="R74" s="433"/>
      <c r="S74" s="453">
        <f t="shared" si="4"/>
        <v>3000000</v>
      </c>
      <c r="T74" s="433"/>
      <c r="U74" s="753"/>
      <c r="V74" s="753"/>
      <c r="W74" s="753"/>
      <c r="X74" s="761"/>
      <c r="Y74" s="756"/>
      <c r="Z74" s="759"/>
      <c r="AA74" s="759"/>
      <c r="AB74" s="759"/>
      <c r="AC74" s="753"/>
      <c r="AD74" s="753"/>
      <c r="AE74" s="761"/>
      <c r="AF74" s="756"/>
      <c r="AG74" s="759"/>
      <c r="AH74" s="759"/>
      <c r="AI74" s="759"/>
      <c r="AJ74" s="753"/>
      <c r="AK74" s="753"/>
      <c r="AL74" s="761"/>
    </row>
    <row r="75" spans="2:38" ht="15.5" x14ac:dyDescent="0.45">
      <c r="B75" s="909"/>
      <c r="C75" s="229"/>
      <c r="D75" s="269"/>
      <c r="E75" s="923"/>
      <c r="F75" s="211"/>
      <c r="G75" s="226"/>
      <c r="H75" s="226"/>
      <c r="I75" s="974"/>
      <c r="J75" s="475"/>
      <c r="K75" s="602"/>
      <c r="L75" s="433"/>
      <c r="M75" s="433">
        <f>E75*J66</f>
        <v>0</v>
      </c>
      <c r="N75" s="433"/>
      <c r="O75" s="597">
        <v>0</v>
      </c>
      <c r="P75" s="596">
        <f>F75</f>
        <v>0</v>
      </c>
      <c r="Q75" s="608">
        <f>'Harga Bahan RAP'!G237</f>
        <v>0</v>
      </c>
      <c r="R75" s="433"/>
      <c r="S75" s="453">
        <f t="shared" si="4"/>
        <v>0</v>
      </c>
      <c r="T75" s="433"/>
      <c r="U75" s="753"/>
      <c r="V75" s="753"/>
      <c r="W75" s="753"/>
      <c r="X75" s="761"/>
      <c r="Y75" s="756"/>
      <c r="Z75" s="759"/>
      <c r="AA75" s="759"/>
      <c r="AB75" s="759"/>
      <c r="AC75" s="753"/>
      <c r="AD75" s="753"/>
      <c r="AE75" s="761"/>
      <c r="AF75" s="756"/>
      <c r="AG75" s="759"/>
      <c r="AH75" s="759"/>
      <c r="AI75" s="759"/>
      <c r="AJ75" s="753"/>
      <c r="AK75" s="753"/>
      <c r="AL75" s="761"/>
    </row>
    <row r="76" spans="2:38" ht="15.5" x14ac:dyDescent="0.45">
      <c r="B76" s="909"/>
      <c r="C76" s="229"/>
      <c r="D76" s="269"/>
      <c r="E76" s="923"/>
      <c r="F76" s="211"/>
      <c r="G76" s="226"/>
      <c r="H76" s="226"/>
      <c r="I76" s="974"/>
      <c r="J76" s="475"/>
      <c r="K76" s="602"/>
      <c r="L76" s="433"/>
      <c r="M76" s="433">
        <f>E76*J66</f>
        <v>0</v>
      </c>
      <c r="N76" s="433"/>
      <c r="O76" s="597">
        <v>0</v>
      </c>
      <c r="P76" s="596">
        <f>F76</f>
        <v>0</v>
      </c>
      <c r="Q76" s="608"/>
      <c r="R76" s="433"/>
      <c r="S76" s="453">
        <f t="shared" si="4"/>
        <v>0</v>
      </c>
      <c r="T76" s="433"/>
      <c r="U76" s="753"/>
      <c r="V76" s="753"/>
      <c r="W76" s="753"/>
      <c r="X76" s="761"/>
      <c r="Y76" s="756"/>
      <c r="Z76" s="759"/>
      <c r="AA76" s="759"/>
      <c r="AB76" s="759"/>
      <c r="AC76" s="753"/>
      <c r="AD76" s="753"/>
      <c r="AE76" s="761"/>
      <c r="AF76" s="756"/>
      <c r="AG76" s="759"/>
      <c r="AH76" s="759"/>
      <c r="AI76" s="759"/>
      <c r="AJ76" s="753"/>
      <c r="AK76" s="753"/>
      <c r="AL76" s="761"/>
    </row>
    <row r="77" spans="2:38" ht="15.5" x14ac:dyDescent="0.45">
      <c r="B77" s="909"/>
      <c r="C77" s="229"/>
      <c r="D77" s="211"/>
      <c r="E77" s="267"/>
      <c r="F77" s="207" t="s">
        <v>6</v>
      </c>
      <c r="G77" s="208" t="s">
        <v>111</v>
      </c>
      <c r="H77" s="209"/>
      <c r="I77" s="966"/>
      <c r="J77" s="475"/>
      <c r="K77" s="602"/>
      <c r="L77" s="433"/>
      <c r="M77" s="433"/>
      <c r="N77" s="433"/>
      <c r="O77" s="597"/>
      <c r="P77" s="596"/>
      <c r="Q77" s="608"/>
      <c r="R77" s="433"/>
      <c r="S77" s="433"/>
      <c r="T77" s="433"/>
      <c r="U77" s="433"/>
      <c r="V77" s="433"/>
      <c r="W77" s="433"/>
      <c r="X77" s="659"/>
      <c r="Y77" s="661"/>
      <c r="Z77" s="433"/>
      <c r="AA77" s="433"/>
      <c r="AB77" s="433"/>
      <c r="AC77" s="433"/>
      <c r="AD77" s="433"/>
      <c r="AE77" s="644"/>
      <c r="AF77" s="661"/>
      <c r="AG77" s="433"/>
      <c r="AH77" s="433"/>
      <c r="AI77" s="433"/>
      <c r="AJ77" s="433"/>
      <c r="AK77" s="433"/>
      <c r="AL77" s="644"/>
    </row>
    <row r="78" spans="2:38" ht="15.5" x14ac:dyDescent="0.45">
      <c r="B78" s="909"/>
      <c r="C78" s="229"/>
      <c r="D78" s="211"/>
      <c r="E78" s="267"/>
      <c r="F78" s="207"/>
      <c r="G78" s="208"/>
      <c r="H78" s="209"/>
      <c r="I78" s="966"/>
      <c r="J78" s="475"/>
      <c r="K78" s="602"/>
      <c r="L78" s="433"/>
      <c r="M78" s="433"/>
      <c r="N78" s="433">
        <f>E78*J66</f>
        <v>0</v>
      </c>
      <c r="O78" s="597">
        <v>0</v>
      </c>
      <c r="P78" s="596">
        <v>0</v>
      </c>
      <c r="Q78" s="608"/>
      <c r="R78" s="433"/>
      <c r="S78" s="433"/>
      <c r="T78" s="453">
        <f>O78*Q78</f>
        <v>0</v>
      </c>
      <c r="U78" s="433"/>
      <c r="V78" s="433"/>
      <c r="W78" s="433"/>
      <c r="X78" s="659"/>
      <c r="Y78" s="661"/>
      <c r="Z78" s="433"/>
      <c r="AA78" s="433"/>
      <c r="AB78" s="433"/>
      <c r="AC78" s="433"/>
      <c r="AD78" s="433"/>
      <c r="AE78" s="644"/>
      <c r="AF78" s="661"/>
      <c r="AG78" s="433"/>
      <c r="AH78" s="433"/>
      <c r="AI78" s="433"/>
      <c r="AJ78" s="433"/>
      <c r="AK78" s="433"/>
      <c r="AL78" s="644"/>
    </row>
    <row r="79" spans="2:38" ht="15.5" x14ac:dyDescent="0.45">
      <c r="B79" s="909"/>
      <c r="C79" s="229"/>
      <c r="D79" s="211"/>
      <c r="E79" s="267"/>
      <c r="F79" s="207" t="s">
        <v>112</v>
      </c>
      <c r="G79" s="208" t="s">
        <v>113</v>
      </c>
      <c r="H79" s="209"/>
      <c r="I79" s="966"/>
      <c r="J79" s="475"/>
      <c r="K79" s="602"/>
      <c r="L79" s="433"/>
      <c r="M79" s="433"/>
      <c r="N79" s="433"/>
      <c r="O79" s="433"/>
      <c r="P79" s="433"/>
      <c r="Q79" s="595"/>
      <c r="R79" s="433"/>
      <c r="S79" s="433"/>
      <c r="T79" s="433"/>
      <c r="U79" s="433"/>
      <c r="V79" s="433"/>
      <c r="W79" s="433"/>
      <c r="X79" s="659"/>
      <c r="Y79" s="661"/>
      <c r="Z79" s="433"/>
      <c r="AA79" s="433"/>
      <c r="AB79" s="433"/>
      <c r="AC79" s="433"/>
      <c r="AD79" s="433"/>
      <c r="AE79" s="644"/>
      <c r="AF79" s="661"/>
      <c r="AG79" s="433"/>
      <c r="AH79" s="433"/>
      <c r="AI79" s="433"/>
      <c r="AJ79" s="433"/>
      <c r="AK79" s="433"/>
      <c r="AL79" s="644"/>
    </row>
    <row r="80" spans="2:38" ht="15.5" x14ac:dyDescent="0.45">
      <c r="B80" s="909"/>
      <c r="C80" s="229"/>
      <c r="D80" s="253"/>
      <c r="E80" s="275"/>
      <c r="F80" s="239" t="s">
        <v>114</v>
      </c>
      <c r="G80" s="257" t="s">
        <v>166</v>
      </c>
      <c r="H80" s="229"/>
      <c r="I80" s="980">
        <v>0.15</v>
      </c>
      <c r="J80" s="475"/>
      <c r="K80" s="602"/>
      <c r="L80" s="433"/>
      <c r="M80" s="433"/>
      <c r="N80" s="433"/>
      <c r="O80" s="433"/>
      <c r="P80" s="433"/>
      <c r="Q80" s="595"/>
      <c r="R80" s="433"/>
      <c r="S80" s="433"/>
      <c r="T80" s="433"/>
      <c r="U80" s="433"/>
      <c r="V80" s="433"/>
      <c r="W80" s="433"/>
      <c r="X80" s="659"/>
      <c r="Y80" s="661"/>
      <c r="Z80" s="433"/>
      <c r="AA80" s="433"/>
      <c r="AB80" s="433"/>
      <c r="AC80" s="433"/>
      <c r="AD80" s="433"/>
      <c r="AE80" s="644"/>
      <c r="AF80" s="661"/>
      <c r="AG80" s="433"/>
      <c r="AH80" s="433"/>
      <c r="AI80" s="433"/>
      <c r="AJ80" s="433"/>
      <c r="AK80" s="433"/>
      <c r="AL80" s="644"/>
    </row>
    <row r="81" spans="2:38" ht="16" thickBot="1" x14ac:dyDescent="0.5">
      <c r="B81" s="910"/>
      <c r="C81" s="944"/>
      <c r="D81" s="852"/>
      <c r="E81" s="911"/>
      <c r="F81" s="834" t="s">
        <v>115</v>
      </c>
      <c r="G81" s="816" t="s">
        <v>127</v>
      </c>
      <c r="H81" s="835"/>
      <c r="I81" s="981"/>
      <c r="J81" s="793"/>
      <c r="K81" s="763"/>
      <c r="L81" s="655"/>
      <c r="M81" s="655"/>
      <c r="N81" s="655"/>
      <c r="O81" s="655"/>
      <c r="P81" s="655"/>
      <c r="Q81" s="654"/>
      <c r="R81" s="655"/>
      <c r="S81" s="655"/>
      <c r="T81" s="655"/>
      <c r="U81" s="655"/>
      <c r="V81" s="655"/>
      <c r="W81" s="655"/>
      <c r="X81" s="660"/>
      <c r="Y81" s="662"/>
      <c r="Z81" s="655"/>
      <c r="AA81" s="655"/>
      <c r="AB81" s="655"/>
      <c r="AC81" s="655"/>
      <c r="AD81" s="655"/>
      <c r="AE81" s="656"/>
      <c r="AF81" s="662"/>
      <c r="AG81" s="655"/>
      <c r="AH81" s="655"/>
      <c r="AI81" s="655"/>
      <c r="AJ81" s="655"/>
      <c r="AK81" s="655"/>
      <c r="AL81" s="656"/>
    </row>
  </sheetData>
  <mergeCells count="51">
    <mergeCell ref="B16:B17"/>
    <mergeCell ref="C16:C17"/>
    <mergeCell ref="G15:I15"/>
    <mergeCell ref="B12:B14"/>
    <mergeCell ref="C12:C14"/>
    <mergeCell ref="D12:D14"/>
    <mergeCell ref="E12:E14"/>
    <mergeCell ref="F12:F14"/>
    <mergeCell ref="G36:I38"/>
    <mergeCell ref="J12:X12"/>
    <mergeCell ref="Y12:AE12"/>
    <mergeCell ref="AF12:AL12"/>
    <mergeCell ref="J13:J14"/>
    <mergeCell ref="L13:P13"/>
    <mergeCell ref="R13:T13"/>
    <mergeCell ref="Y13:Z13"/>
    <mergeCell ref="AF13:AG13"/>
    <mergeCell ref="G12:I14"/>
    <mergeCell ref="J36:X36"/>
    <mergeCell ref="Y36:AE36"/>
    <mergeCell ref="AF36:AL36"/>
    <mergeCell ref="J37:J38"/>
    <mergeCell ref="L37:P37"/>
    <mergeCell ref="R37:T37"/>
    <mergeCell ref="B36:B38"/>
    <mergeCell ref="C36:C38"/>
    <mergeCell ref="D36:D38"/>
    <mergeCell ref="E36:E38"/>
    <mergeCell ref="F36:F38"/>
    <mergeCell ref="Y37:Z37"/>
    <mergeCell ref="AF37:AG37"/>
    <mergeCell ref="G39:I39"/>
    <mergeCell ref="B60:B62"/>
    <mergeCell ref="C60:C62"/>
    <mergeCell ref="D60:D62"/>
    <mergeCell ref="E60:E62"/>
    <mergeCell ref="F60:F62"/>
    <mergeCell ref="G60:I62"/>
    <mergeCell ref="B40:B41"/>
    <mergeCell ref="C40:C41"/>
    <mergeCell ref="AF60:AL60"/>
    <mergeCell ref="J61:J62"/>
    <mergeCell ref="L61:P61"/>
    <mergeCell ref="R61:T61"/>
    <mergeCell ref="Y61:Z61"/>
    <mergeCell ref="AF61:AG61"/>
    <mergeCell ref="G63:I63"/>
    <mergeCell ref="B64:B65"/>
    <mergeCell ref="C64:C65"/>
    <mergeCell ref="J60:X60"/>
    <mergeCell ref="Y60:AE6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FDE7-15A2-43E4-8DA2-6DF7DADBD98F}">
  <sheetPr>
    <tabColor rgb="FFFFFF00"/>
  </sheetPr>
  <dimension ref="A1:Q24"/>
  <sheetViews>
    <sheetView view="pageBreakPreview" topLeftCell="A13" zoomScaleNormal="80" zoomScaleSheetLayoutView="100" workbookViewId="0">
      <selection activeCell="A2" sqref="A2"/>
    </sheetView>
  </sheetViews>
  <sheetFormatPr defaultRowHeight="15.5" x14ac:dyDescent="0.35"/>
  <cols>
    <col min="1" max="1" width="6.1796875" style="38" customWidth="1"/>
    <col min="2" max="2" width="27.7265625" style="38" customWidth="1"/>
    <col min="3" max="3" width="10.453125" style="38" customWidth="1"/>
    <col min="4" max="4" width="12.26953125" style="38" customWidth="1"/>
    <col min="5" max="7" width="15.81640625" style="38" customWidth="1"/>
    <col min="8" max="8" width="28.26953125" style="38" hidden="1" customWidth="1"/>
    <col min="9" max="9" width="2.26953125" hidden="1" customWidth="1"/>
    <col min="10" max="10" width="4.453125" hidden="1" customWidth="1"/>
    <col min="11" max="11" width="36.26953125" hidden="1" customWidth="1"/>
    <col min="12" max="12" width="8" hidden="1" customWidth="1"/>
    <col min="13" max="13" width="8.81640625" hidden="1" customWidth="1"/>
    <col min="14" max="14" width="16.453125" hidden="1" customWidth="1"/>
    <col min="15" max="15" width="5.7265625" hidden="1" customWidth="1"/>
    <col min="16" max="16" width="19.453125" hidden="1" customWidth="1"/>
    <col min="17" max="17" width="18.54296875" hidden="1" customWidth="1"/>
  </cols>
  <sheetData>
    <row r="1" spans="1:17" ht="17.5" x14ac:dyDescent="0.35">
      <c r="A1" s="1045" t="s">
        <v>520</v>
      </c>
      <c r="B1" s="1045"/>
      <c r="C1" s="1045"/>
      <c r="D1" s="1045"/>
      <c r="E1" s="1045"/>
      <c r="F1" s="1045"/>
      <c r="G1" s="1045"/>
      <c r="H1" s="1045"/>
    </row>
    <row r="3" spans="1:17" ht="15.75" customHeight="1" x14ac:dyDescent="0.35">
      <c r="A3" s="1046" t="s">
        <v>432</v>
      </c>
      <c r="B3" s="1047" t="s">
        <v>308</v>
      </c>
      <c r="C3" s="1048"/>
      <c r="D3" s="1046" t="s">
        <v>290</v>
      </c>
      <c r="E3" s="1046" t="s">
        <v>506</v>
      </c>
      <c r="F3" s="1046"/>
      <c r="G3" s="1188" t="s">
        <v>507</v>
      </c>
      <c r="H3" s="1046" t="s">
        <v>53</v>
      </c>
    </row>
    <row r="4" spans="1:17" ht="32.25" customHeight="1" x14ac:dyDescent="0.35">
      <c r="A4" s="1046"/>
      <c r="B4" s="1047"/>
      <c r="C4" s="1048"/>
      <c r="D4" s="1046"/>
      <c r="E4" s="155" t="s">
        <v>341</v>
      </c>
      <c r="F4" s="155" t="s">
        <v>310</v>
      </c>
      <c r="G4" s="1189"/>
      <c r="H4" s="1046"/>
      <c r="K4" s="116" t="s">
        <v>311</v>
      </c>
      <c r="L4" s="116"/>
      <c r="M4" s="116"/>
      <c r="N4" s="116"/>
      <c r="O4" s="116"/>
      <c r="P4" s="116"/>
    </row>
    <row r="5" spans="1:17" ht="19.5" x14ac:dyDescent="0.6">
      <c r="A5" s="109" t="s">
        <v>107</v>
      </c>
      <c r="B5" s="114" t="s">
        <v>312</v>
      </c>
      <c r="C5" s="115"/>
      <c r="D5" s="109" t="s">
        <v>169</v>
      </c>
      <c r="E5" s="149">
        <f>P12</f>
        <v>71540</v>
      </c>
      <c r="F5" s="150">
        <v>75000</v>
      </c>
      <c r="G5" s="610">
        <v>75000</v>
      </c>
      <c r="H5" s="151" t="s">
        <v>313</v>
      </c>
      <c r="K5" s="118" t="s">
        <v>343</v>
      </c>
      <c r="L5" s="119"/>
      <c r="M5" s="119"/>
      <c r="N5" s="119"/>
      <c r="O5" s="120" t="s">
        <v>309</v>
      </c>
      <c r="P5" s="121">
        <v>1788500</v>
      </c>
      <c r="Q5" s="122" t="s">
        <v>4</v>
      </c>
    </row>
    <row r="6" spans="1:17" ht="17" x14ac:dyDescent="0.5">
      <c r="A6" s="109" t="s">
        <v>121</v>
      </c>
      <c r="B6" s="114" t="s">
        <v>56</v>
      </c>
      <c r="C6" s="115"/>
      <c r="D6" s="109" t="s">
        <v>169</v>
      </c>
      <c r="E6" s="152">
        <f>E5*1.2</f>
        <v>85848</v>
      </c>
      <c r="F6" s="150">
        <v>90000</v>
      </c>
      <c r="G6" s="610">
        <v>85000</v>
      </c>
      <c r="H6" s="153" t="s">
        <v>314</v>
      </c>
      <c r="K6" s="123" t="s">
        <v>315</v>
      </c>
      <c r="L6" s="119"/>
      <c r="M6" s="119" t="s">
        <v>316</v>
      </c>
      <c r="N6" s="119" t="s">
        <v>317</v>
      </c>
      <c r="O6" s="120" t="s">
        <v>318</v>
      </c>
      <c r="P6" s="124">
        <v>25</v>
      </c>
      <c r="Q6" s="125" t="s">
        <v>5</v>
      </c>
    </row>
    <row r="7" spans="1:17" ht="17" x14ac:dyDescent="0.5">
      <c r="A7" s="109" t="s">
        <v>121</v>
      </c>
      <c r="B7" s="114" t="s">
        <v>57</v>
      </c>
      <c r="C7" s="115"/>
      <c r="D7" s="109" t="s">
        <v>169</v>
      </c>
      <c r="E7" s="152">
        <f>E6</f>
        <v>85848</v>
      </c>
      <c r="F7" s="150">
        <f>F6</f>
        <v>90000</v>
      </c>
      <c r="G7" s="610">
        <f>G6</f>
        <v>85000</v>
      </c>
      <c r="H7" s="153" t="s">
        <v>314</v>
      </c>
      <c r="K7" s="126" t="s">
        <v>319</v>
      </c>
      <c r="L7" s="127">
        <v>7</v>
      </c>
      <c r="M7" s="1" t="s">
        <v>320</v>
      </c>
      <c r="N7" s="1" t="s">
        <v>321</v>
      </c>
      <c r="O7" s="1"/>
      <c r="P7" s="128"/>
      <c r="Q7" s="129" t="s">
        <v>6</v>
      </c>
    </row>
    <row r="8" spans="1:17" ht="16.5" x14ac:dyDescent="0.45">
      <c r="A8" s="109" t="s">
        <v>121</v>
      </c>
      <c r="B8" s="114" t="s">
        <v>58</v>
      </c>
      <c r="C8" s="115"/>
      <c r="D8" s="109" t="s">
        <v>169</v>
      </c>
      <c r="E8" s="152">
        <f>E7</f>
        <v>85848</v>
      </c>
      <c r="F8" s="150">
        <f t="shared" ref="F8:G10" si="0">F7</f>
        <v>90000</v>
      </c>
      <c r="G8" s="610">
        <f t="shared" si="0"/>
        <v>85000</v>
      </c>
      <c r="H8" s="153" t="s">
        <v>314</v>
      </c>
      <c r="K8" s="130"/>
      <c r="L8" s="131"/>
      <c r="M8" s="131" t="s">
        <v>316</v>
      </c>
      <c r="N8" s="131" t="s">
        <v>322</v>
      </c>
      <c r="O8" s="131"/>
      <c r="P8" s="132"/>
      <c r="Q8" s="129"/>
    </row>
    <row r="9" spans="1:17" ht="17" x14ac:dyDescent="0.5">
      <c r="A9" s="109" t="s">
        <v>121</v>
      </c>
      <c r="B9" s="114" t="s">
        <v>59</v>
      </c>
      <c r="C9" s="115"/>
      <c r="D9" s="109" t="s">
        <v>169</v>
      </c>
      <c r="E9" s="152">
        <f>E8</f>
        <v>85848</v>
      </c>
      <c r="F9" s="150">
        <f t="shared" si="0"/>
        <v>90000</v>
      </c>
      <c r="G9" s="610">
        <f t="shared" si="0"/>
        <v>85000</v>
      </c>
      <c r="H9" s="153" t="s">
        <v>314</v>
      </c>
      <c r="K9" s="126" t="s">
        <v>323</v>
      </c>
      <c r="L9" s="1"/>
      <c r="M9" s="1" t="s">
        <v>316</v>
      </c>
      <c r="N9" s="1" t="s">
        <v>317</v>
      </c>
      <c r="O9" s="133" t="s">
        <v>318</v>
      </c>
      <c r="P9" s="134">
        <v>21</v>
      </c>
      <c r="Q9" s="125" t="s">
        <v>112</v>
      </c>
    </row>
    <row r="10" spans="1:17" ht="16.5" x14ac:dyDescent="0.45">
      <c r="A10" s="109" t="s">
        <v>121</v>
      </c>
      <c r="B10" s="114" t="s">
        <v>55</v>
      </c>
      <c r="C10" s="115"/>
      <c r="D10" s="109" t="s">
        <v>169</v>
      </c>
      <c r="E10" s="152">
        <f>E9</f>
        <v>85848</v>
      </c>
      <c r="F10" s="150">
        <f t="shared" si="0"/>
        <v>90000</v>
      </c>
      <c r="G10" s="610">
        <f t="shared" si="0"/>
        <v>85000</v>
      </c>
      <c r="H10" s="153" t="s">
        <v>314</v>
      </c>
      <c r="K10" s="126" t="s">
        <v>319</v>
      </c>
      <c r="L10" s="135">
        <v>8</v>
      </c>
      <c r="M10" s="1" t="s">
        <v>320</v>
      </c>
      <c r="N10" s="1" t="s">
        <v>321</v>
      </c>
      <c r="O10" s="1"/>
      <c r="P10" s="5"/>
      <c r="Q10" s="129" t="s">
        <v>114</v>
      </c>
    </row>
    <row r="11" spans="1:17" ht="16.5" x14ac:dyDescent="0.45">
      <c r="A11" s="109" t="s">
        <v>122</v>
      </c>
      <c r="B11" s="114" t="s">
        <v>324</v>
      </c>
      <c r="C11" s="115"/>
      <c r="D11" s="109" t="s">
        <v>169</v>
      </c>
      <c r="E11" s="152">
        <f>E5*1.3</f>
        <v>93002</v>
      </c>
      <c r="F11" s="150">
        <v>95000</v>
      </c>
      <c r="G11" s="610">
        <v>90000</v>
      </c>
      <c r="H11" s="151" t="s">
        <v>325</v>
      </c>
      <c r="K11" s="136"/>
      <c r="L11" s="6"/>
      <c r="M11" s="131" t="s">
        <v>316</v>
      </c>
      <c r="N11" s="131" t="s">
        <v>326</v>
      </c>
      <c r="O11" s="131"/>
      <c r="P11" s="132"/>
      <c r="Q11" s="137"/>
    </row>
    <row r="12" spans="1:17" ht="16.5" customHeight="1" x14ac:dyDescent="0.35">
      <c r="A12" s="109" t="s">
        <v>109</v>
      </c>
      <c r="B12" s="114" t="s">
        <v>327</v>
      </c>
      <c r="C12" s="115"/>
      <c r="D12" s="109" t="s">
        <v>169</v>
      </c>
      <c r="E12" s="152">
        <f>E5*1.5</f>
        <v>107310</v>
      </c>
      <c r="F12" s="150">
        <v>110000</v>
      </c>
      <c r="G12" s="610">
        <v>100000</v>
      </c>
      <c r="H12" s="151" t="s">
        <v>328</v>
      </c>
      <c r="K12" s="1055" t="s">
        <v>329</v>
      </c>
      <c r="L12" s="1056"/>
      <c r="M12" s="1056"/>
      <c r="N12" s="1056"/>
      <c r="O12" s="1056"/>
      <c r="P12" s="138">
        <f>P5/P6</f>
        <v>71540</v>
      </c>
      <c r="Q12" s="139" t="s">
        <v>330</v>
      </c>
    </row>
    <row r="13" spans="1:17" x14ac:dyDescent="0.35">
      <c r="A13" s="109"/>
      <c r="B13" s="114"/>
      <c r="C13" s="115"/>
      <c r="D13" s="109"/>
      <c r="E13" s="109"/>
      <c r="F13" s="150"/>
      <c r="G13" s="610"/>
      <c r="H13" s="113"/>
      <c r="K13" s="1055" t="s">
        <v>331</v>
      </c>
      <c r="L13" s="1056"/>
      <c r="M13" s="1056"/>
      <c r="N13" s="1056"/>
      <c r="O13" s="1056"/>
      <c r="P13" s="140">
        <f>P12/L7</f>
        <v>10220</v>
      </c>
      <c r="Q13" s="139" t="s">
        <v>332</v>
      </c>
    </row>
    <row r="14" spans="1:17" x14ac:dyDescent="0.35">
      <c r="A14" s="109" t="s">
        <v>107</v>
      </c>
      <c r="B14" s="114" t="s">
        <v>312</v>
      </c>
      <c r="C14" s="115"/>
      <c r="D14" s="109" t="s">
        <v>210</v>
      </c>
      <c r="E14" s="152">
        <f>E5/L7</f>
        <v>10220</v>
      </c>
      <c r="F14" s="150">
        <v>10500</v>
      </c>
      <c r="G14" s="610">
        <v>10000</v>
      </c>
      <c r="H14" s="154"/>
      <c r="K14" s="1055" t="s">
        <v>333</v>
      </c>
      <c r="L14" s="1056"/>
      <c r="M14" s="1056"/>
      <c r="N14" s="1056"/>
      <c r="O14" s="1056"/>
      <c r="P14" s="141">
        <f>P5/K21</f>
        <v>10338.150289017341</v>
      </c>
      <c r="Q14" s="142" t="s">
        <v>334</v>
      </c>
    </row>
    <row r="15" spans="1:17" x14ac:dyDescent="0.35">
      <c r="A15" s="109" t="s">
        <v>121</v>
      </c>
      <c r="B15" s="114" t="s">
        <v>56</v>
      </c>
      <c r="C15" s="115"/>
      <c r="D15" s="109" t="s">
        <v>210</v>
      </c>
      <c r="E15" s="152">
        <f>E6/L7</f>
        <v>12264</v>
      </c>
      <c r="F15" s="150">
        <v>12500</v>
      </c>
      <c r="G15" s="610">
        <v>12000</v>
      </c>
      <c r="H15" s="154"/>
      <c r="P15" s="143"/>
    </row>
    <row r="16" spans="1:17" x14ac:dyDescent="0.35">
      <c r="A16" s="109" t="s">
        <v>121</v>
      </c>
      <c r="B16" s="114" t="s">
        <v>57</v>
      </c>
      <c r="C16" s="115"/>
      <c r="D16" s="109" t="s">
        <v>210</v>
      </c>
      <c r="E16" s="152">
        <f>E15</f>
        <v>12264</v>
      </c>
      <c r="F16" s="150">
        <v>12500</v>
      </c>
      <c r="G16" s="610">
        <v>12000</v>
      </c>
      <c r="H16" s="154"/>
      <c r="K16" s="144">
        <v>12</v>
      </c>
      <c r="L16" s="156" t="s">
        <v>335</v>
      </c>
      <c r="M16" s="156"/>
      <c r="N16" s="157"/>
    </row>
    <row r="17" spans="1:15" x14ac:dyDescent="0.35">
      <c r="A17" s="109" t="s">
        <v>121</v>
      </c>
      <c r="B17" s="114" t="s">
        <v>58</v>
      </c>
      <c r="C17" s="115"/>
      <c r="D17" s="109" t="s">
        <v>210</v>
      </c>
      <c r="E17" s="152">
        <f t="shared" ref="E17:E19" si="1">E16</f>
        <v>12264</v>
      </c>
      <c r="F17" s="150">
        <v>12500</v>
      </c>
      <c r="G17" s="610">
        <v>12000</v>
      </c>
      <c r="H17" s="154"/>
      <c r="K17" s="7">
        <v>52</v>
      </c>
      <c r="L17" s="4" t="s">
        <v>336</v>
      </c>
      <c r="M17" s="4"/>
      <c r="N17" s="158"/>
    </row>
    <row r="18" spans="1:15" x14ac:dyDescent="0.35">
      <c r="A18" s="109" t="s">
        <v>121</v>
      </c>
      <c r="B18" s="114" t="s">
        <v>59</v>
      </c>
      <c r="C18" s="115"/>
      <c r="D18" s="109" t="s">
        <v>210</v>
      </c>
      <c r="E18" s="152">
        <f t="shared" si="1"/>
        <v>12264</v>
      </c>
      <c r="F18" s="150">
        <v>12500</v>
      </c>
      <c r="G18" s="610">
        <v>12000</v>
      </c>
      <c r="H18" s="154"/>
      <c r="K18" s="136">
        <v>40</v>
      </c>
      <c r="L18" s="1057" t="s">
        <v>337</v>
      </c>
      <c r="M18" s="1057"/>
      <c r="N18" s="1058"/>
    </row>
    <row r="19" spans="1:15" x14ac:dyDescent="0.35">
      <c r="A19" s="109" t="s">
        <v>121</v>
      </c>
      <c r="B19" s="114" t="s">
        <v>55</v>
      </c>
      <c r="C19" s="115"/>
      <c r="D19" s="109" t="s">
        <v>210</v>
      </c>
      <c r="E19" s="152">
        <f t="shared" si="1"/>
        <v>12264</v>
      </c>
      <c r="F19" s="150">
        <v>12500</v>
      </c>
      <c r="G19" s="610">
        <v>12000</v>
      </c>
      <c r="H19" s="154"/>
      <c r="K19" s="145">
        <f>K17/K16</f>
        <v>4.333333333333333</v>
      </c>
      <c r="L19" s="1049" t="s">
        <v>338</v>
      </c>
      <c r="M19" s="1049"/>
      <c r="N19" s="1050"/>
    </row>
    <row r="20" spans="1:15" x14ac:dyDescent="0.35">
      <c r="A20" s="109" t="s">
        <v>122</v>
      </c>
      <c r="B20" s="114" t="s">
        <v>324</v>
      </c>
      <c r="C20" s="115"/>
      <c r="D20" s="109" t="s">
        <v>210</v>
      </c>
      <c r="E20" s="152">
        <f>E11/L7</f>
        <v>13286</v>
      </c>
      <c r="F20" s="150">
        <v>13500</v>
      </c>
      <c r="G20" s="610">
        <v>12500</v>
      </c>
      <c r="H20" s="154"/>
      <c r="K20" s="146">
        <f>K18*K19</f>
        <v>173.33333333333331</v>
      </c>
      <c r="L20" s="1051" t="s">
        <v>339</v>
      </c>
      <c r="M20" s="1051"/>
      <c r="N20" s="1052"/>
    </row>
    <row r="21" spans="1:15" x14ac:dyDescent="0.35">
      <c r="A21" s="109" t="s">
        <v>109</v>
      </c>
      <c r="B21" s="114" t="s">
        <v>327</v>
      </c>
      <c r="C21" s="115"/>
      <c r="D21" s="109" t="s">
        <v>210</v>
      </c>
      <c r="E21" s="152">
        <f>E12/L7</f>
        <v>15330</v>
      </c>
      <c r="F21" s="150">
        <v>15500</v>
      </c>
      <c r="G21" s="610">
        <v>14000</v>
      </c>
      <c r="H21" s="154"/>
      <c r="K21" s="147">
        <f>ROUNDDOWN(K20,0)</f>
        <v>173</v>
      </c>
      <c r="L21" s="1053" t="s">
        <v>340</v>
      </c>
      <c r="M21" s="1053"/>
      <c r="N21" s="1054"/>
      <c r="O21" s="148" t="s">
        <v>115</v>
      </c>
    </row>
    <row r="23" spans="1:15" x14ac:dyDescent="0.35">
      <c r="A23" s="632" t="s">
        <v>510</v>
      </c>
      <c r="B23" s="162"/>
      <c r="C23" s="162"/>
      <c r="D23" s="162"/>
      <c r="E23" s="162"/>
      <c r="F23" s="162"/>
      <c r="G23" s="163"/>
    </row>
    <row r="24" spans="1:15" x14ac:dyDescent="0.35">
      <c r="A24" s="633" t="s">
        <v>511</v>
      </c>
      <c r="B24" s="188"/>
      <c r="C24" s="188"/>
      <c r="D24" s="188"/>
      <c r="E24" s="188"/>
      <c r="F24" s="188"/>
      <c r="G24" s="183"/>
    </row>
  </sheetData>
  <mergeCells count="15">
    <mergeCell ref="A1:H1"/>
    <mergeCell ref="A3:A4"/>
    <mergeCell ref="B3:B4"/>
    <mergeCell ref="C3:C4"/>
    <mergeCell ref="D3:D4"/>
    <mergeCell ref="E3:F3"/>
    <mergeCell ref="H3:H4"/>
    <mergeCell ref="L21:N21"/>
    <mergeCell ref="G3:G4"/>
    <mergeCell ref="K12:O12"/>
    <mergeCell ref="K13:O13"/>
    <mergeCell ref="K14:O14"/>
    <mergeCell ref="L18:N18"/>
    <mergeCell ref="L19:N19"/>
    <mergeCell ref="L20:N2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4CF0-FF6F-478D-BF54-21C78FFC38A9}">
  <sheetPr>
    <tabColor rgb="FFFFFF00"/>
  </sheetPr>
  <dimension ref="A1:K152"/>
  <sheetViews>
    <sheetView view="pageBreakPreview" zoomScale="90" zoomScaleNormal="100" zoomScaleSheetLayoutView="90" workbookViewId="0">
      <selection activeCell="G96" sqref="G96"/>
    </sheetView>
  </sheetViews>
  <sheetFormatPr defaultRowHeight="14.5" x14ac:dyDescent="0.35"/>
  <cols>
    <col min="1" max="1" width="4.7265625" style="166" customWidth="1"/>
    <col min="2" max="2" width="35.7265625" style="100" customWidth="1"/>
    <col min="3" max="3" width="12.1796875" style="100" customWidth="1"/>
    <col min="4" max="5" width="15.1796875" style="100" customWidth="1"/>
    <col min="6" max="6" width="5.7265625" style="100" customWidth="1"/>
    <col min="7" max="7" width="17.453125" style="100" customWidth="1"/>
    <col min="8" max="8" width="12.81640625" style="100" customWidth="1"/>
    <col min="9" max="9" width="12" style="100" customWidth="1"/>
    <col min="10" max="10" width="0.1796875" customWidth="1"/>
  </cols>
  <sheetData>
    <row r="1" spans="1:11" s="38" customFormat="1" ht="15.5" x14ac:dyDescent="0.35">
      <c r="A1" s="1059" t="s">
        <v>521</v>
      </c>
      <c r="B1" s="1059"/>
      <c r="C1" s="1059"/>
      <c r="D1" s="1059"/>
      <c r="E1" s="1059"/>
      <c r="F1" s="1059"/>
      <c r="G1" s="1059"/>
      <c r="H1" s="1059"/>
      <c r="I1" s="1059"/>
      <c r="J1" s="111"/>
    </row>
    <row r="2" spans="1:11" s="38" customFormat="1" ht="8.25" customHeight="1" x14ac:dyDescent="0.35">
      <c r="A2" s="112"/>
    </row>
    <row r="3" spans="1:11" s="38" customFormat="1" ht="15" customHeight="1" x14ac:dyDescent="0.35">
      <c r="A3" s="1060" t="s">
        <v>61</v>
      </c>
      <c r="B3" s="1060" t="s">
        <v>62</v>
      </c>
      <c r="C3" s="1060" t="s">
        <v>50</v>
      </c>
      <c r="D3" s="1190" t="s">
        <v>508</v>
      </c>
      <c r="E3" s="1062"/>
      <c r="F3" s="1063"/>
      <c r="G3" s="1190" t="s">
        <v>509</v>
      </c>
      <c r="H3" s="1062"/>
      <c r="I3" s="1063"/>
    </row>
    <row r="4" spans="1:11" s="38" customFormat="1" ht="15.5" x14ac:dyDescent="0.35">
      <c r="A4" s="1060"/>
      <c r="B4" s="1060"/>
      <c r="C4" s="1060"/>
      <c r="D4" s="1064"/>
      <c r="E4" s="1065"/>
      <c r="F4" s="1066"/>
      <c r="G4" s="1064"/>
      <c r="H4" s="1065"/>
      <c r="I4" s="1066"/>
      <c r="J4" s="169"/>
    </row>
    <row r="5" spans="1:11" s="38" customFormat="1" ht="15.5" x14ac:dyDescent="0.35">
      <c r="A5" s="170" t="s">
        <v>21</v>
      </c>
      <c r="B5" s="171" t="s">
        <v>366</v>
      </c>
      <c r="C5" s="172"/>
      <c r="D5" s="161"/>
      <c r="E5" s="162"/>
      <c r="F5" s="163"/>
      <c r="G5" s="611"/>
      <c r="H5" s="612"/>
      <c r="I5" s="613"/>
      <c r="K5" s="631"/>
    </row>
    <row r="6" spans="1:11" s="38" customFormat="1" ht="15.5" x14ac:dyDescent="0.35">
      <c r="A6" s="173">
        <v>1</v>
      </c>
      <c r="B6" s="174" t="s">
        <v>439</v>
      </c>
      <c r="C6" s="173" t="s">
        <v>65</v>
      </c>
      <c r="D6" s="179">
        <v>300000</v>
      </c>
      <c r="F6" s="160"/>
      <c r="G6" s="614">
        <v>300000</v>
      </c>
      <c r="H6" s="615"/>
      <c r="I6" s="616"/>
    </row>
    <row r="7" spans="1:11" s="38" customFormat="1" ht="15.5" x14ac:dyDescent="0.35">
      <c r="A7" s="173">
        <v>2</v>
      </c>
      <c r="B7" s="174" t="s">
        <v>344</v>
      </c>
      <c r="C7" s="173" t="s">
        <v>65</v>
      </c>
      <c r="D7" s="179">
        <v>325000</v>
      </c>
      <c r="F7" s="160"/>
      <c r="G7" s="614">
        <v>325000</v>
      </c>
      <c r="H7" s="615"/>
      <c r="I7" s="616"/>
    </row>
    <row r="8" spans="1:11" s="38" customFormat="1" ht="15.5" x14ac:dyDescent="0.35">
      <c r="A8" s="173">
        <v>3</v>
      </c>
      <c r="B8" s="174" t="s">
        <v>433</v>
      </c>
      <c r="C8" s="173" t="s">
        <v>172</v>
      </c>
      <c r="D8" s="180">
        <v>750</v>
      </c>
      <c r="F8" s="160"/>
      <c r="G8" s="617">
        <v>750</v>
      </c>
      <c r="H8" s="615"/>
      <c r="I8" s="616"/>
    </row>
    <row r="9" spans="1:11" s="38" customFormat="1" ht="15.5" x14ac:dyDescent="0.35">
      <c r="A9" s="173">
        <v>4</v>
      </c>
      <c r="B9" s="174" t="s">
        <v>345</v>
      </c>
      <c r="C9" s="173" t="s">
        <v>65</v>
      </c>
      <c r="D9" s="179">
        <v>325000</v>
      </c>
      <c r="F9" s="160"/>
      <c r="G9" s="614">
        <v>325000</v>
      </c>
      <c r="H9" s="615"/>
      <c r="I9" s="616"/>
    </row>
    <row r="10" spans="1:11" s="38" customFormat="1" ht="15.5" x14ac:dyDescent="0.35">
      <c r="A10" s="173">
        <v>5</v>
      </c>
      <c r="B10" s="174" t="s">
        <v>119</v>
      </c>
      <c r="C10" s="173" t="s">
        <v>65</v>
      </c>
      <c r="D10" s="179">
        <v>280000</v>
      </c>
      <c r="F10" s="160"/>
      <c r="G10" s="614">
        <v>280000</v>
      </c>
      <c r="H10" s="615"/>
      <c r="I10" s="616"/>
    </row>
    <row r="11" spans="1:11" s="38" customFormat="1" ht="15.5" x14ac:dyDescent="0.35">
      <c r="A11" s="177">
        <v>6</v>
      </c>
      <c r="B11" s="178" t="s">
        <v>346</v>
      </c>
      <c r="C11" s="177" t="s">
        <v>347</v>
      </c>
      <c r="D11" s="181">
        <v>45000</v>
      </c>
      <c r="E11" s="182">
        <f>D11/40</f>
        <v>1125</v>
      </c>
      <c r="F11" s="183" t="s">
        <v>66</v>
      </c>
      <c r="G11" s="618">
        <v>45000</v>
      </c>
      <c r="H11" s="619">
        <f>G11/40</f>
        <v>1125</v>
      </c>
      <c r="I11" s="620" t="s">
        <v>66</v>
      </c>
    </row>
    <row r="12" spans="1:11" s="38" customFormat="1" ht="15.5" x14ac:dyDescent="0.35">
      <c r="A12" s="170" t="s">
        <v>22</v>
      </c>
      <c r="B12" s="171" t="s">
        <v>367</v>
      </c>
      <c r="C12" s="164"/>
      <c r="D12" s="165"/>
      <c r="E12" s="162"/>
      <c r="F12" s="163"/>
      <c r="G12" s="621"/>
      <c r="H12" s="612"/>
      <c r="I12" s="613"/>
    </row>
    <row r="13" spans="1:11" s="38" customFormat="1" ht="15.5" x14ac:dyDescent="0.35">
      <c r="A13" s="173">
        <v>1</v>
      </c>
      <c r="B13" s="174" t="s">
        <v>348</v>
      </c>
      <c r="C13" s="173" t="s">
        <v>67</v>
      </c>
      <c r="D13" s="184">
        <v>3000</v>
      </c>
      <c r="F13" s="160"/>
      <c r="G13" s="622">
        <v>3000</v>
      </c>
      <c r="H13" s="615"/>
      <c r="I13" s="616"/>
    </row>
    <row r="14" spans="1:11" s="38" customFormat="1" ht="15.5" x14ac:dyDescent="0.35">
      <c r="A14" s="173">
        <v>2</v>
      </c>
      <c r="B14" s="174" t="s">
        <v>349</v>
      </c>
      <c r="C14" s="173" t="s">
        <v>67</v>
      </c>
      <c r="D14" s="179">
        <v>7800</v>
      </c>
      <c r="F14" s="160"/>
      <c r="G14" s="614">
        <v>7800</v>
      </c>
      <c r="H14" s="615"/>
      <c r="I14" s="616"/>
    </row>
    <row r="15" spans="1:11" s="38" customFormat="1" ht="15.5" x14ac:dyDescent="0.35">
      <c r="A15" s="173">
        <v>3</v>
      </c>
      <c r="B15" s="174" t="s">
        <v>259</v>
      </c>
      <c r="C15" s="173"/>
      <c r="D15" s="179"/>
      <c r="F15" s="160"/>
      <c r="G15" s="614"/>
      <c r="H15" s="615"/>
      <c r="I15" s="616"/>
    </row>
    <row r="16" spans="1:11" s="38" customFormat="1" ht="15.5" x14ac:dyDescent="0.35">
      <c r="A16" s="173"/>
      <c r="B16" s="174" t="s">
        <v>350</v>
      </c>
      <c r="C16" s="173" t="s">
        <v>70</v>
      </c>
      <c r="D16" s="179">
        <v>22500</v>
      </c>
      <c r="F16" s="160"/>
      <c r="G16" s="614">
        <v>22500</v>
      </c>
      <c r="H16" s="615"/>
      <c r="I16" s="616"/>
    </row>
    <row r="17" spans="1:9" s="38" customFormat="1" ht="15.5" x14ac:dyDescent="0.35">
      <c r="A17" s="173"/>
      <c r="B17" s="174" t="s">
        <v>351</v>
      </c>
      <c r="C17" s="173" t="s">
        <v>70</v>
      </c>
      <c r="D17" s="179">
        <v>24300</v>
      </c>
      <c r="F17" s="160"/>
      <c r="G17" s="614">
        <v>24300</v>
      </c>
      <c r="H17" s="615"/>
      <c r="I17" s="616"/>
    </row>
    <row r="18" spans="1:9" s="38" customFormat="1" ht="15.5" x14ac:dyDescent="0.35">
      <c r="A18" s="173"/>
      <c r="B18" s="174" t="s">
        <v>352</v>
      </c>
      <c r="C18" s="173" t="s">
        <v>70</v>
      </c>
      <c r="D18" s="179">
        <v>27000</v>
      </c>
      <c r="F18" s="160"/>
      <c r="G18" s="614">
        <v>27000</v>
      </c>
      <c r="H18" s="615"/>
      <c r="I18" s="616"/>
    </row>
    <row r="19" spans="1:9" s="38" customFormat="1" ht="15.5" x14ac:dyDescent="0.35">
      <c r="A19" s="173"/>
      <c r="B19" s="174" t="s">
        <v>353</v>
      </c>
      <c r="C19" s="173" t="s">
        <v>70</v>
      </c>
      <c r="D19" s="179">
        <v>45000</v>
      </c>
      <c r="F19" s="160"/>
      <c r="G19" s="614">
        <v>45000</v>
      </c>
      <c r="H19" s="615"/>
      <c r="I19" s="616"/>
    </row>
    <row r="20" spans="1:9" s="38" customFormat="1" ht="15.5" x14ac:dyDescent="0.35">
      <c r="A20" s="173">
        <v>4</v>
      </c>
      <c r="B20" s="174" t="s">
        <v>354</v>
      </c>
      <c r="C20" s="173"/>
      <c r="D20" s="179"/>
      <c r="F20" s="160"/>
      <c r="G20" s="614"/>
      <c r="H20" s="615"/>
      <c r="I20" s="616"/>
    </row>
    <row r="21" spans="1:9" s="38" customFormat="1" ht="15.5" x14ac:dyDescent="0.35">
      <c r="A21" s="173"/>
      <c r="B21" s="174" t="s">
        <v>355</v>
      </c>
      <c r="C21" s="173" t="s">
        <v>71</v>
      </c>
      <c r="D21" s="179">
        <v>36000</v>
      </c>
      <c r="F21" s="160"/>
      <c r="G21" s="614">
        <v>36000</v>
      </c>
      <c r="H21" s="615"/>
      <c r="I21" s="616"/>
    </row>
    <row r="22" spans="1:9" s="38" customFormat="1" ht="15.5" x14ac:dyDescent="0.35">
      <c r="A22" s="173"/>
      <c r="B22" s="174" t="s">
        <v>356</v>
      </c>
      <c r="C22" s="173" t="s">
        <v>71</v>
      </c>
      <c r="D22" s="179">
        <v>40000</v>
      </c>
      <c r="F22" s="160"/>
      <c r="G22" s="614">
        <v>40000</v>
      </c>
      <c r="H22" s="615"/>
      <c r="I22" s="616"/>
    </row>
    <row r="23" spans="1:9" s="38" customFormat="1" ht="15.5" x14ac:dyDescent="0.35">
      <c r="A23" s="173"/>
      <c r="B23" s="174" t="s">
        <v>357</v>
      </c>
      <c r="C23" s="173" t="s">
        <v>71</v>
      </c>
      <c r="D23" s="179">
        <v>65000</v>
      </c>
      <c r="F23" s="160"/>
      <c r="G23" s="614">
        <v>65000</v>
      </c>
      <c r="H23" s="615"/>
      <c r="I23" s="616"/>
    </row>
    <row r="24" spans="1:9" s="38" customFormat="1" ht="15.5" x14ac:dyDescent="0.35">
      <c r="A24" s="177"/>
      <c r="B24" s="178" t="s">
        <v>358</v>
      </c>
      <c r="C24" s="177" t="s">
        <v>71</v>
      </c>
      <c r="D24" s="181">
        <v>58000</v>
      </c>
      <c r="E24" s="188"/>
      <c r="F24" s="183"/>
      <c r="G24" s="618">
        <v>58000</v>
      </c>
      <c r="H24" s="623"/>
      <c r="I24" s="620"/>
    </row>
    <row r="25" spans="1:9" s="38" customFormat="1" ht="15.5" x14ac:dyDescent="0.35">
      <c r="A25" s="170" t="s">
        <v>23</v>
      </c>
      <c r="B25" s="171" t="s">
        <v>368</v>
      </c>
      <c r="C25" s="164"/>
      <c r="D25" s="165"/>
      <c r="E25" s="162"/>
      <c r="F25" s="163"/>
      <c r="G25" s="621"/>
      <c r="H25" s="612"/>
      <c r="I25" s="613"/>
    </row>
    <row r="26" spans="1:9" s="38" customFormat="1" ht="15.5" x14ac:dyDescent="0.35">
      <c r="A26" s="173">
        <v>1</v>
      </c>
      <c r="B26" s="174" t="s">
        <v>68</v>
      </c>
      <c r="C26" s="174"/>
      <c r="D26" s="159"/>
      <c r="F26" s="160"/>
      <c r="G26" s="624"/>
      <c r="H26" s="615"/>
      <c r="I26" s="616"/>
    </row>
    <row r="27" spans="1:9" s="38" customFormat="1" ht="15.5" x14ac:dyDescent="0.35">
      <c r="A27" s="173"/>
      <c r="B27" s="174" t="s">
        <v>429</v>
      </c>
      <c r="C27" s="173" t="s">
        <v>65</v>
      </c>
      <c r="D27" s="179">
        <v>4800000</v>
      </c>
      <c r="F27" s="160"/>
      <c r="G27" s="614">
        <v>4800000</v>
      </c>
      <c r="H27" s="615"/>
      <c r="I27" s="616"/>
    </row>
    <row r="28" spans="1:9" s="38" customFormat="1" ht="15.5" x14ac:dyDescent="0.35">
      <c r="A28" s="173"/>
      <c r="B28" s="174" t="s">
        <v>428</v>
      </c>
      <c r="C28" s="173" t="s">
        <v>65</v>
      </c>
      <c r="D28" s="179">
        <v>3000000</v>
      </c>
      <c r="F28" s="160"/>
      <c r="G28" s="614">
        <v>3000000</v>
      </c>
      <c r="H28" s="615"/>
      <c r="I28" s="616"/>
    </row>
    <row r="29" spans="1:9" s="38" customFormat="1" ht="15.5" x14ac:dyDescent="0.35">
      <c r="A29" s="173"/>
      <c r="B29" s="174" t="s">
        <v>430</v>
      </c>
      <c r="C29" s="173" t="s">
        <v>65</v>
      </c>
      <c r="D29" s="179">
        <v>3000000</v>
      </c>
      <c r="F29" s="160"/>
      <c r="G29" s="614">
        <v>3000000</v>
      </c>
      <c r="H29" s="615"/>
      <c r="I29" s="616"/>
    </row>
    <row r="30" spans="1:9" s="38" customFormat="1" ht="15.5" x14ac:dyDescent="0.35">
      <c r="A30" s="173">
        <v>2</v>
      </c>
      <c r="B30" s="174" t="s">
        <v>69</v>
      </c>
      <c r="C30" s="174"/>
      <c r="D30" s="159"/>
      <c r="F30" s="160"/>
      <c r="G30" s="624"/>
      <c r="H30" s="615"/>
      <c r="I30" s="616"/>
    </row>
    <row r="31" spans="1:9" s="38" customFormat="1" ht="15.5" x14ac:dyDescent="0.35">
      <c r="A31" s="173"/>
      <c r="B31" s="174" t="s">
        <v>359</v>
      </c>
      <c r="C31" s="173" t="s">
        <v>365</v>
      </c>
      <c r="D31" s="179">
        <v>22500</v>
      </c>
      <c r="F31" s="160"/>
      <c r="G31" s="614">
        <v>22500</v>
      </c>
      <c r="H31" s="615"/>
      <c r="I31" s="616"/>
    </row>
    <row r="32" spans="1:9" s="38" customFormat="1" ht="15.5" x14ac:dyDescent="0.35">
      <c r="A32" s="173"/>
      <c r="B32" s="174" t="s">
        <v>360</v>
      </c>
      <c r="C32" s="173" t="s">
        <v>365</v>
      </c>
      <c r="D32" s="179">
        <v>20000</v>
      </c>
      <c r="F32" s="160"/>
      <c r="G32" s="614">
        <v>20000</v>
      </c>
      <c r="H32" s="615"/>
      <c r="I32" s="616"/>
    </row>
    <row r="33" spans="1:9" s="38" customFormat="1" ht="15.5" x14ac:dyDescent="0.35">
      <c r="A33" s="173"/>
      <c r="B33" s="174" t="s">
        <v>361</v>
      </c>
      <c r="C33" s="173" t="s">
        <v>365</v>
      </c>
      <c r="D33" s="179">
        <v>34000</v>
      </c>
      <c r="F33" s="160"/>
      <c r="G33" s="614">
        <v>34000</v>
      </c>
      <c r="H33" s="615"/>
      <c r="I33" s="616"/>
    </row>
    <row r="34" spans="1:9" s="38" customFormat="1" ht="15.5" x14ac:dyDescent="0.35">
      <c r="A34" s="173"/>
      <c r="B34" s="174" t="s">
        <v>362</v>
      </c>
      <c r="C34" s="173" t="s">
        <v>65</v>
      </c>
      <c r="D34" s="179">
        <v>1890000</v>
      </c>
      <c r="F34" s="160"/>
      <c r="G34" s="614">
        <v>1890000</v>
      </c>
      <c r="H34" s="615"/>
      <c r="I34" s="616"/>
    </row>
    <row r="35" spans="1:9" s="38" customFormat="1" ht="15.5" x14ac:dyDescent="0.35">
      <c r="A35" s="173"/>
      <c r="B35" s="174" t="s">
        <v>363</v>
      </c>
      <c r="C35" s="173" t="s">
        <v>65</v>
      </c>
      <c r="D35" s="179">
        <v>99000</v>
      </c>
      <c r="F35" s="160"/>
      <c r="G35" s="614">
        <v>99000</v>
      </c>
      <c r="H35" s="615"/>
      <c r="I35" s="616"/>
    </row>
    <row r="36" spans="1:9" s="38" customFormat="1" ht="15.5" x14ac:dyDescent="0.35">
      <c r="A36" s="177"/>
      <c r="B36" s="178" t="s">
        <v>364</v>
      </c>
      <c r="C36" s="177" t="s">
        <v>365</v>
      </c>
      <c r="D36" s="181">
        <v>15975</v>
      </c>
      <c r="E36" s="188"/>
      <c r="F36" s="183"/>
      <c r="G36" s="618">
        <v>15975</v>
      </c>
      <c r="H36" s="623"/>
      <c r="I36" s="620"/>
    </row>
    <row r="37" spans="1:9" s="38" customFormat="1" ht="15.5" x14ac:dyDescent="0.35">
      <c r="A37" s="170" t="s">
        <v>32</v>
      </c>
      <c r="B37" s="171" t="s">
        <v>369</v>
      </c>
      <c r="C37" s="164"/>
      <c r="D37" s="165"/>
      <c r="E37" s="162"/>
      <c r="F37" s="163"/>
      <c r="G37" s="621"/>
      <c r="H37" s="612"/>
      <c r="I37" s="613"/>
    </row>
    <row r="38" spans="1:9" s="38" customFormat="1" ht="15.5" x14ac:dyDescent="0.35">
      <c r="A38" s="173">
        <v>1</v>
      </c>
      <c r="B38" s="174" t="s">
        <v>72</v>
      </c>
      <c r="C38" s="174"/>
      <c r="D38" s="159"/>
      <c r="F38" s="160"/>
      <c r="G38" s="624"/>
      <c r="H38" s="615"/>
      <c r="I38" s="616"/>
    </row>
    <row r="39" spans="1:9" s="38" customFormat="1" ht="15.5" x14ac:dyDescent="0.35">
      <c r="A39" s="173"/>
      <c r="B39" s="174" t="s">
        <v>370</v>
      </c>
      <c r="C39" s="173" t="s">
        <v>75</v>
      </c>
      <c r="D39" s="179">
        <v>55000</v>
      </c>
      <c r="E39" s="167">
        <f>D39/26</f>
        <v>2115.3846153846152</v>
      </c>
      <c r="F39" s="185" t="s">
        <v>34</v>
      </c>
      <c r="G39" s="614">
        <v>55000</v>
      </c>
      <c r="H39" s="625"/>
      <c r="I39" s="626" t="s">
        <v>451</v>
      </c>
    </row>
    <row r="40" spans="1:9" s="38" customFormat="1" ht="15.5" x14ac:dyDescent="0.35">
      <c r="A40" s="173"/>
      <c r="B40" s="174" t="s">
        <v>371</v>
      </c>
      <c r="C40" s="173" t="s">
        <v>75</v>
      </c>
      <c r="D40" s="179">
        <v>55000</v>
      </c>
      <c r="E40" s="167">
        <f>D40/26</f>
        <v>2115.3846153846152</v>
      </c>
      <c r="F40" s="185" t="s">
        <v>34</v>
      </c>
      <c r="G40" s="614">
        <v>55000</v>
      </c>
      <c r="H40" s="625"/>
      <c r="I40" s="626" t="s">
        <v>451</v>
      </c>
    </row>
    <row r="41" spans="1:9" s="38" customFormat="1" ht="15.5" x14ac:dyDescent="0.35">
      <c r="A41" s="173"/>
      <c r="B41" s="174" t="s">
        <v>372</v>
      </c>
      <c r="C41" s="173" t="s">
        <v>75</v>
      </c>
      <c r="D41" s="179">
        <v>55000</v>
      </c>
      <c r="E41" s="167">
        <f>D41/8</f>
        <v>6875</v>
      </c>
      <c r="F41" s="186" t="s">
        <v>34</v>
      </c>
      <c r="G41" s="614">
        <v>55000</v>
      </c>
      <c r="H41" s="625"/>
      <c r="I41" s="627" t="s">
        <v>451</v>
      </c>
    </row>
    <row r="42" spans="1:9" s="38" customFormat="1" ht="15.5" x14ac:dyDescent="0.35">
      <c r="A42" s="173"/>
      <c r="B42" s="174" t="s">
        <v>373</v>
      </c>
      <c r="C42" s="173" t="s">
        <v>75</v>
      </c>
      <c r="D42" s="179">
        <v>55000</v>
      </c>
      <c r="E42" s="167">
        <f>D42/6</f>
        <v>9166.6666666666661</v>
      </c>
      <c r="F42" s="186" t="s">
        <v>34</v>
      </c>
      <c r="G42" s="614">
        <v>55000</v>
      </c>
      <c r="H42" s="625"/>
      <c r="I42" s="627" t="s">
        <v>451</v>
      </c>
    </row>
    <row r="43" spans="1:9" s="38" customFormat="1" ht="15.5" x14ac:dyDescent="0.35">
      <c r="A43" s="173"/>
      <c r="B43" s="174" t="s">
        <v>374</v>
      </c>
      <c r="C43" s="173" t="s">
        <v>75</v>
      </c>
      <c r="D43" s="179">
        <v>55000</v>
      </c>
      <c r="F43" s="186"/>
      <c r="G43" s="614">
        <v>55000</v>
      </c>
      <c r="H43" s="615"/>
      <c r="I43" s="627" t="s">
        <v>451</v>
      </c>
    </row>
    <row r="44" spans="1:9" s="38" customFormat="1" ht="15.5" x14ac:dyDescent="0.35">
      <c r="A44" s="173">
        <v>2</v>
      </c>
      <c r="B44" s="174" t="s">
        <v>73</v>
      </c>
      <c r="C44" s="173" t="s">
        <v>75</v>
      </c>
      <c r="D44" s="179">
        <v>115000</v>
      </c>
      <c r="F44" s="160"/>
      <c r="G44" s="614">
        <v>115000</v>
      </c>
      <c r="H44" s="615"/>
      <c r="I44" s="616"/>
    </row>
    <row r="45" spans="1:9" s="38" customFormat="1" ht="15.5" x14ac:dyDescent="0.35">
      <c r="A45" s="173">
        <v>3</v>
      </c>
      <c r="B45" s="174" t="s">
        <v>449</v>
      </c>
      <c r="C45" s="173" t="s">
        <v>75</v>
      </c>
      <c r="D45" s="179">
        <v>240000</v>
      </c>
      <c r="E45" s="168">
        <f>D45/3</f>
        <v>80000</v>
      </c>
      <c r="F45" s="160" t="s">
        <v>34</v>
      </c>
      <c r="G45" s="614">
        <v>240000</v>
      </c>
      <c r="H45" s="628"/>
      <c r="I45" s="616" t="s">
        <v>451</v>
      </c>
    </row>
    <row r="46" spans="1:9" s="38" customFormat="1" ht="15.5" x14ac:dyDescent="0.35">
      <c r="A46" s="177">
        <v>5</v>
      </c>
      <c r="B46" s="178" t="s">
        <v>450</v>
      </c>
      <c r="C46" s="177" t="s">
        <v>66</v>
      </c>
      <c r="D46" s="181">
        <v>18000</v>
      </c>
      <c r="E46" s="188"/>
      <c r="F46" s="183"/>
      <c r="G46" s="618">
        <v>18000</v>
      </c>
      <c r="H46" s="623"/>
      <c r="I46" s="620" t="s">
        <v>664</v>
      </c>
    </row>
    <row r="47" spans="1:9" s="38" customFormat="1" ht="15.5" x14ac:dyDescent="0.35">
      <c r="A47" s="170" t="s">
        <v>35</v>
      </c>
      <c r="B47" s="171" t="s">
        <v>375</v>
      </c>
      <c r="C47" s="164"/>
      <c r="D47" s="165"/>
      <c r="E47" s="162"/>
      <c r="F47" s="163"/>
      <c r="G47" s="621"/>
      <c r="H47" s="612"/>
      <c r="I47" s="613"/>
    </row>
    <row r="48" spans="1:9" s="38" customFormat="1" ht="15.5" x14ac:dyDescent="0.35">
      <c r="A48" s="173">
        <v>1</v>
      </c>
      <c r="B48" s="174" t="s">
        <v>637</v>
      </c>
      <c r="C48" s="173" t="s">
        <v>66</v>
      </c>
      <c r="D48" s="179">
        <v>10500</v>
      </c>
      <c r="F48" s="160"/>
      <c r="G48" s="614">
        <v>10500</v>
      </c>
      <c r="H48" s="615"/>
      <c r="I48" s="616"/>
    </row>
    <row r="49" spans="1:9" s="38" customFormat="1" ht="15.5" x14ac:dyDescent="0.35">
      <c r="A49" s="173">
        <v>2</v>
      </c>
      <c r="B49" s="174" t="s">
        <v>376</v>
      </c>
      <c r="C49" s="173" t="s">
        <v>66</v>
      </c>
      <c r="D49" s="179">
        <v>13000</v>
      </c>
      <c r="F49" s="160"/>
      <c r="G49" s="614">
        <v>13000</v>
      </c>
      <c r="H49" s="615"/>
      <c r="I49" s="616"/>
    </row>
    <row r="50" spans="1:9" s="38" customFormat="1" ht="15.5" x14ac:dyDescent="0.35">
      <c r="A50" s="173">
        <v>3</v>
      </c>
      <c r="B50" s="174" t="s">
        <v>74</v>
      </c>
      <c r="C50" s="173" t="s">
        <v>66</v>
      </c>
      <c r="D50" s="179">
        <v>12500</v>
      </c>
      <c r="F50" s="160"/>
      <c r="G50" s="614">
        <v>12500</v>
      </c>
      <c r="H50" s="615"/>
      <c r="I50" s="616"/>
    </row>
    <row r="51" spans="1:9" s="38" customFormat="1" ht="15.5" x14ac:dyDescent="0.35">
      <c r="A51" s="173">
        <v>4</v>
      </c>
      <c r="B51" s="174" t="s">
        <v>377</v>
      </c>
      <c r="C51" s="173" t="s">
        <v>66</v>
      </c>
      <c r="D51" s="179">
        <v>18000</v>
      </c>
      <c r="F51" s="160"/>
      <c r="G51" s="614">
        <v>17500</v>
      </c>
      <c r="H51" s="615"/>
      <c r="I51" s="616"/>
    </row>
    <row r="52" spans="1:9" s="38" customFormat="1" ht="15.5" x14ac:dyDescent="0.35">
      <c r="A52" s="173">
        <v>5</v>
      </c>
      <c r="B52" s="174" t="s">
        <v>462</v>
      </c>
      <c r="C52" s="173" t="s">
        <v>365</v>
      </c>
      <c r="D52" s="179">
        <v>25000</v>
      </c>
      <c r="E52" s="168">
        <f>D52/4</f>
        <v>6250</v>
      </c>
      <c r="F52" s="160" t="s">
        <v>70</v>
      </c>
      <c r="G52" s="614">
        <v>25000</v>
      </c>
      <c r="H52" s="628">
        <f>G52/4</f>
        <v>6250</v>
      </c>
      <c r="I52" s="616" t="s">
        <v>70</v>
      </c>
    </row>
    <row r="53" spans="1:9" s="38" customFormat="1" ht="15.5" x14ac:dyDescent="0.35">
      <c r="A53" s="177">
        <v>5</v>
      </c>
      <c r="B53" s="178" t="s">
        <v>462</v>
      </c>
      <c r="C53" s="177" t="s">
        <v>365</v>
      </c>
      <c r="D53" s="181">
        <v>18000</v>
      </c>
      <c r="E53" s="182">
        <f>D53/4</f>
        <v>4500</v>
      </c>
      <c r="F53" s="183" t="s">
        <v>70</v>
      </c>
      <c r="G53" s="618">
        <v>18000</v>
      </c>
      <c r="H53" s="619">
        <f>G53/4</f>
        <v>4500</v>
      </c>
      <c r="I53" s="620" t="s">
        <v>70</v>
      </c>
    </row>
    <row r="54" spans="1:9" s="38" customFormat="1" ht="15.5" x14ac:dyDescent="0.35">
      <c r="A54" s="170" t="s">
        <v>36</v>
      </c>
      <c r="B54" s="171" t="s">
        <v>378</v>
      </c>
      <c r="C54" s="164"/>
      <c r="D54" s="165"/>
      <c r="E54" s="162"/>
      <c r="F54" s="163"/>
      <c r="G54" s="621"/>
      <c r="H54" s="612"/>
      <c r="I54" s="613"/>
    </row>
    <row r="55" spans="1:9" s="38" customFormat="1" ht="15.5" x14ac:dyDescent="0.35">
      <c r="A55" s="173">
        <v>1</v>
      </c>
      <c r="B55" s="174" t="s">
        <v>382</v>
      </c>
      <c r="C55" s="173"/>
      <c r="D55" s="179"/>
      <c r="F55" s="160"/>
      <c r="G55" s="614"/>
      <c r="H55" s="615"/>
      <c r="I55" s="616"/>
    </row>
    <row r="56" spans="1:9" s="38" customFormat="1" ht="15.5" x14ac:dyDescent="0.35">
      <c r="A56" s="173"/>
      <c r="B56" s="174" t="s">
        <v>379</v>
      </c>
      <c r="C56" s="173" t="s">
        <v>365</v>
      </c>
      <c r="D56" s="179">
        <v>19500</v>
      </c>
      <c r="E56" s="168">
        <f>D56/4</f>
        <v>4875</v>
      </c>
      <c r="F56" s="160" t="s">
        <v>70</v>
      </c>
      <c r="G56" s="614">
        <v>19500</v>
      </c>
      <c r="H56" s="628">
        <f>G56/4</f>
        <v>4875</v>
      </c>
      <c r="I56" s="616" t="s">
        <v>70</v>
      </c>
    </row>
    <row r="57" spans="1:9" s="38" customFormat="1" ht="15.5" x14ac:dyDescent="0.35">
      <c r="A57" s="173"/>
      <c r="B57" s="174" t="s">
        <v>380</v>
      </c>
      <c r="C57" s="173" t="s">
        <v>365</v>
      </c>
      <c r="D57" s="179">
        <v>25000</v>
      </c>
      <c r="E57" s="168">
        <f t="shared" ref="E57:E70" si="0">D57/4</f>
        <v>6250</v>
      </c>
      <c r="F57" s="160" t="s">
        <v>70</v>
      </c>
      <c r="G57" s="614">
        <v>25000</v>
      </c>
      <c r="H57" s="628">
        <f t="shared" ref="H57:H70" si="1">G57/4</f>
        <v>6250</v>
      </c>
      <c r="I57" s="616" t="s">
        <v>70</v>
      </c>
    </row>
    <row r="58" spans="1:9" s="38" customFormat="1" ht="15.5" x14ac:dyDescent="0.35">
      <c r="A58" s="173"/>
      <c r="B58" s="174" t="s">
        <v>381</v>
      </c>
      <c r="C58" s="173" t="s">
        <v>365</v>
      </c>
      <c r="D58" s="179">
        <v>31000</v>
      </c>
      <c r="E58" s="168">
        <f t="shared" si="0"/>
        <v>7750</v>
      </c>
      <c r="F58" s="160" t="s">
        <v>70</v>
      </c>
      <c r="G58" s="614">
        <v>31000</v>
      </c>
      <c r="H58" s="628">
        <f t="shared" si="1"/>
        <v>7750</v>
      </c>
      <c r="I58" s="616" t="s">
        <v>70</v>
      </c>
    </row>
    <row r="59" spans="1:9" s="38" customFormat="1" ht="15.5" x14ac:dyDescent="0.35">
      <c r="A59" s="173"/>
      <c r="B59" s="174" t="s">
        <v>383</v>
      </c>
      <c r="C59" s="173" t="s">
        <v>365</v>
      </c>
      <c r="D59" s="179">
        <v>40000</v>
      </c>
      <c r="E59" s="168">
        <f t="shared" si="0"/>
        <v>10000</v>
      </c>
      <c r="F59" s="160" t="s">
        <v>70</v>
      </c>
      <c r="G59" s="614">
        <v>40000</v>
      </c>
      <c r="H59" s="628">
        <f t="shared" si="1"/>
        <v>10000</v>
      </c>
      <c r="I59" s="616" t="s">
        <v>70</v>
      </c>
    </row>
    <row r="60" spans="1:9" s="38" customFormat="1" ht="15.5" x14ac:dyDescent="0.35">
      <c r="A60" s="173"/>
      <c r="B60" s="174" t="s">
        <v>384</v>
      </c>
      <c r="C60" s="173" t="s">
        <v>365</v>
      </c>
      <c r="D60" s="179">
        <v>46000</v>
      </c>
      <c r="E60" s="168">
        <f t="shared" si="0"/>
        <v>11500</v>
      </c>
      <c r="F60" s="160" t="s">
        <v>70</v>
      </c>
      <c r="G60" s="614">
        <v>46000</v>
      </c>
      <c r="H60" s="628">
        <f t="shared" si="1"/>
        <v>11500</v>
      </c>
      <c r="I60" s="616" t="s">
        <v>70</v>
      </c>
    </row>
    <row r="61" spans="1:9" s="38" customFormat="1" ht="15.5" x14ac:dyDescent="0.35">
      <c r="A61" s="173"/>
      <c r="B61" s="174" t="s">
        <v>385</v>
      </c>
      <c r="C61" s="173" t="s">
        <v>365</v>
      </c>
      <c r="D61" s="179">
        <v>56000</v>
      </c>
      <c r="E61" s="168">
        <f t="shared" si="0"/>
        <v>14000</v>
      </c>
      <c r="F61" s="160" t="s">
        <v>70</v>
      </c>
      <c r="G61" s="614">
        <v>56000</v>
      </c>
      <c r="H61" s="628">
        <f t="shared" si="1"/>
        <v>14000</v>
      </c>
      <c r="I61" s="616" t="s">
        <v>70</v>
      </c>
    </row>
    <row r="62" spans="1:9" s="38" customFormat="1" ht="15.5" x14ac:dyDescent="0.35">
      <c r="A62" s="173"/>
      <c r="B62" s="174" t="s">
        <v>388</v>
      </c>
      <c r="C62" s="173" t="s">
        <v>365</v>
      </c>
      <c r="D62" s="179">
        <v>81000</v>
      </c>
      <c r="E62" s="168">
        <f t="shared" si="0"/>
        <v>20250</v>
      </c>
      <c r="F62" s="160" t="s">
        <v>70</v>
      </c>
      <c r="G62" s="614">
        <v>81000</v>
      </c>
      <c r="H62" s="628">
        <f t="shared" si="1"/>
        <v>20250</v>
      </c>
      <c r="I62" s="616" t="s">
        <v>70</v>
      </c>
    </row>
    <row r="63" spans="1:9" s="38" customFormat="1" ht="15.5" x14ac:dyDescent="0.35">
      <c r="A63" s="173"/>
      <c r="B63" s="174" t="s">
        <v>386</v>
      </c>
      <c r="C63" s="173" t="s">
        <v>365</v>
      </c>
      <c r="D63" s="179">
        <v>105000</v>
      </c>
      <c r="E63" s="168">
        <f t="shared" si="0"/>
        <v>26250</v>
      </c>
      <c r="F63" s="160" t="s">
        <v>70</v>
      </c>
      <c r="G63" s="614">
        <v>105000</v>
      </c>
      <c r="H63" s="628">
        <f t="shared" si="1"/>
        <v>26250</v>
      </c>
      <c r="I63" s="616" t="s">
        <v>70</v>
      </c>
    </row>
    <row r="64" spans="1:9" s="38" customFormat="1" ht="15.5" x14ac:dyDescent="0.35">
      <c r="A64" s="173"/>
      <c r="B64" s="174" t="s">
        <v>387</v>
      </c>
      <c r="C64" s="173" t="s">
        <v>365</v>
      </c>
      <c r="D64" s="179">
        <v>180000</v>
      </c>
      <c r="E64" s="168">
        <f t="shared" si="0"/>
        <v>45000</v>
      </c>
      <c r="F64" s="160" t="s">
        <v>70</v>
      </c>
      <c r="G64" s="614">
        <v>180000</v>
      </c>
      <c r="H64" s="628">
        <f t="shared" si="1"/>
        <v>45000</v>
      </c>
      <c r="I64" s="616" t="s">
        <v>70</v>
      </c>
    </row>
    <row r="65" spans="1:9" s="38" customFormat="1" ht="15.5" x14ac:dyDescent="0.35">
      <c r="A65" s="173"/>
      <c r="B65" s="174" t="s">
        <v>389</v>
      </c>
      <c r="C65" s="173" t="s">
        <v>365</v>
      </c>
      <c r="D65" s="179">
        <v>27000</v>
      </c>
      <c r="E65" s="168">
        <f t="shared" si="0"/>
        <v>6750</v>
      </c>
      <c r="F65" s="160" t="s">
        <v>70</v>
      </c>
      <c r="G65" s="614">
        <v>27000</v>
      </c>
      <c r="H65" s="628">
        <f t="shared" si="1"/>
        <v>6750</v>
      </c>
      <c r="I65" s="616" t="s">
        <v>70</v>
      </c>
    </row>
    <row r="66" spans="1:9" s="38" customFormat="1" ht="15.5" x14ac:dyDescent="0.35">
      <c r="A66" s="173"/>
      <c r="B66" s="174" t="s">
        <v>390</v>
      </c>
      <c r="C66" s="173" t="s">
        <v>365</v>
      </c>
      <c r="D66" s="179">
        <v>28500</v>
      </c>
      <c r="E66" s="168">
        <f t="shared" si="0"/>
        <v>7125</v>
      </c>
      <c r="F66" s="160" t="s">
        <v>70</v>
      </c>
      <c r="G66" s="614">
        <v>28500</v>
      </c>
      <c r="H66" s="628">
        <f t="shared" si="1"/>
        <v>7125</v>
      </c>
      <c r="I66" s="616" t="s">
        <v>70</v>
      </c>
    </row>
    <row r="67" spans="1:9" s="38" customFormat="1" ht="15.5" x14ac:dyDescent="0.35">
      <c r="A67" s="173"/>
      <c r="B67" s="174" t="s">
        <v>391</v>
      </c>
      <c r="C67" s="173" t="s">
        <v>365</v>
      </c>
      <c r="D67" s="179">
        <v>41000</v>
      </c>
      <c r="E67" s="168">
        <f t="shared" si="0"/>
        <v>10250</v>
      </c>
      <c r="F67" s="160" t="s">
        <v>70</v>
      </c>
      <c r="G67" s="614">
        <v>41000</v>
      </c>
      <c r="H67" s="628">
        <f t="shared" si="1"/>
        <v>10250</v>
      </c>
      <c r="I67" s="616" t="s">
        <v>70</v>
      </c>
    </row>
    <row r="68" spans="1:9" s="38" customFormat="1" ht="15.5" x14ac:dyDescent="0.35">
      <c r="A68" s="173"/>
      <c r="B68" s="174" t="s">
        <v>392</v>
      </c>
      <c r="C68" s="173" t="s">
        <v>365</v>
      </c>
      <c r="D68" s="179">
        <v>48000</v>
      </c>
      <c r="E68" s="168">
        <f t="shared" si="0"/>
        <v>12000</v>
      </c>
      <c r="F68" s="160" t="s">
        <v>70</v>
      </c>
      <c r="G68" s="614">
        <v>48000</v>
      </c>
      <c r="H68" s="628">
        <f t="shared" si="1"/>
        <v>12000</v>
      </c>
      <c r="I68" s="616" t="s">
        <v>70</v>
      </c>
    </row>
    <row r="69" spans="1:9" s="38" customFormat="1" ht="15.5" x14ac:dyDescent="0.35">
      <c r="A69" s="173"/>
      <c r="B69" s="174" t="s">
        <v>393</v>
      </c>
      <c r="C69" s="173" t="s">
        <v>365</v>
      </c>
      <c r="D69" s="179">
        <v>65000</v>
      </c>
      <c r="E69" s="168">
        <f t="shared" si="0"/>
        <v>16250</v>
      </c>
      <c r="F69" s="160" t="s">
        <v>70</v>
      </c>
      <c r="G69" s="614">
        <v>65000</v>
      </c>
      <c r="H69" s="628">
        <f t="shared" si="1"/>
        <v>16250</v>
      </c>
      <c r="I69" s="616" t="s">
        <v>70</v>
      </c>
    </row>
    <row r="70" spans="1:9" s="38" customFormat="1" ht="15.5" x14ac:dyDescent="0.35">
      <c r="A70" s="177"/>
      <c r="B70" s="178" t="s">
        <v>394</v>
      </c>
      <c r="C70" s="177" t="s">
        <v>365</v>
      </c>
      <c r="D70" s="181">
        <v>98000</v>
      </c>
      <c r="E70" s="182">
        <f t="shared" si="0"/>
        <v>24500</v>
      </c>
      <c r="F70" s="183" t="s">
        <v>70</v>
      </c>
      <c r="G70" s="618">
        <v>98000</v>
      </c>
      <c r="H70" s="619">
        <f t="shared" si="1"/>
        <v>24500</v>
      </c>
      <c r="I70" s="620" t="s">
        <v>70</v>
      </c>
    </row>
    <row r="71" spans="1:9" s="38" customFormat="1" ht="15.5" x14ac:dyDescent="0.35">
      <c r="A71" s="170" t="s">
        <v>40</v>
      </c>
      <c r="B71" s="171" t="s">
        <v>395</v>
      </c>
      <c r="C71" s="164"/>
      <c r="D71" s="165"/>
      <c r="E71" s="162"/>
      <c r="F71" s="163"/>
      <c r="G71" s="621"/>
      <c r="H71" s="612"/>
      <c r="I71" s="613"/>
    </row>
    <row r="72" spans="1:9" s="38" customFormat="1" ht="15.5" x14ac:dyDescent="0.35">
      <c r="A72" s="173">
        <v>1</v>
      </c>
      <c r="B72" s="174" t="s">
        <v>76</v>
      </c>
      <c r="C72" s="173" t="s">
        <v>71</v>
      </c>
      <c r="D72" s="179">
        <v>62000</v>
      </c>
      <c r="F72" s="160"/>
      <c r="G72" s="614">
        <v>62000</v>
      </c>
      <c r="H72" s="615"/>
      <c r="I72" s="616"/>
    </row>
    <row r="73" spans="1:9" s="38" customFormat="1" ht="15.5" x14ac:dyDescent="0.35">
      <c r="A73" s="173">
        <v>2</v>
      </c>
      <c r="B73" s="174" t="s">
        <v>396</v>
      </c>
      <c r="C73" s="173" t="s">
        <v>71</v>
      </c>
      <c r="D73" s="179">
        <v>64000</v>
      </c>
      <c r="F73" s="160"/>
      <c r="G73" s="614">
        <v>64000</v>
      </c>
      <c r="H73" s="615"/>
      <c r="I73" s="616"/>
    </row>
    <row r="74" spans="1:9" s="38" customFormat="1" ht="15.5" x14ac:dyDescent="0.35">
      <c r="A74" s="173">
        <v>3</v>
      </c>
      <c r="B74" s="174" t="s">
        <v>397</v>
      </c>
      <c r="C74" s="173"/>
      <c r="D74" s="179"/>
      <c r="F74" s="160"/>
      <c r="G74" s="614"/>
      <c r="H74" s="615"/>
      <c r="I74" s="616"/>
    </row>
    <row r="75" spans="1:9" s="38" customFormat="1" ht="15.5" x14ac:dyDescent="0.35">
      <c r="A75" s="173"/>
      <c r="B75" s="174" t="s">
        <v>398</v>
      </c>
      <c r="C75" s="173" t="s">
        <v>71</v>
      </c>
      <c r="D75" s="179">
        <v>80000</v>
      </c>
      <c r="F75" s="160"/>
      <c r="G75" s="614">
        <v>80000</v>
      </c>
      <c r="H75" s="615"/>
      <c r="I75" s="616"/>
    </row>
    <row r="76" spans="1:9" s="38" customFormat="1" ht="15.5" x14ac:dyDescent="0.35">
      <c r="A76" s="173"/>
      <c r="B76" s="174" t="s">
        <v>399</v>
      </c>
      <c r="C76" s="173" t="s">
        <v>71</v>
      </c>
      <c r="D76" s="179">
        <v>115000</v>
      </c>
      <c r="F76" s="160"/>
      <c r="G76" s="614">
        <v>115000</v>
      </c>
      <c r="H76" s="615"/>
      <c r="I76" s="616"/>
    </row>
    <row r="77" spans="1:9" s="38" customFormat="1" ht="15.5" x14ac:dyDescent="0.35">
      <c r="A77" s="173"/>
      <c r="B77" s="174" t="s">
        <v>400</v>
      </c>
      <c r="C77" s="173" t="s">
        <v>71</v>
      </c>
      <c r="D77" s="179">
        <v>155000</v>
      </c>
      <c r="F77" s="160"/>
      <c r="G77" s="614">
        <v>155000</v>
      </c>
      <c r="H77" s="615"/>
      <c r="I77" s="616"/>
    </row>
    <row r="78" spans="1:9" s="38" customFormat="1" ht="15.5" x14ac:dyDescent="0.35">
      <c r="A78" s="177">
        <v>4</v>
      </c>
      <c r="B78" s="178" t="s">
        <v>468</v>
      </c>
      <c r="C78" s="177" t="s">
        <v>365</v>
      </c>
      <c r="D78" s="181">
        <v>12000</v>
      </c>
      <c r="E78" s="182">
        <f>D78/2</f>
        <v>6000</v>
      </c>
      <c r="F78" s="183" t="s">
        <v>70</v>
      </c>
      <c r="G78" s="618">
        <v>12000</v>
      </c>
      <c r="H78" s="619">
        <f>G78/2</f>
        <v>6000</v>
      </c>
      <c r="I78" s="620" t="s">
        <v>70</v>
      </c>
    </row>
    <row r="79" spans="1:9" s="38" customFormat="1" ht="15.5" x14ac:dyDescent="0.35">
      <c r="A79" s="170" t="s">
        <v>42</v>
      </c>
      <c r="B79" s="171" t="s">
        <v>401</v>
      </c>
      <c r="C79" s="164"/>
      <c r="D79" s="165"/>
      <c r="E79" s="162"/>
      <c r="F79" s="163"/>
      <c r="G79" s="621"/>
      <c r="H79" s="612"/>
      <c r="I79" s="613"/>
    </row>
    <row r="80" spans="1:9" s="38" customFormat="1" ht="15.5" x14ac:dyDescent="0.35">
      <c r="A80" s="173">
        <v>1</v>
      </c>
      <c r="B80" s="174" t="s">
        <v>402</v>
      </c>
      <c r="C80" s="173"/>
      <c r="D80" s="179"/>
      <c r="F80" s="160"/>
      <c r="G80" s="614"/>
      <c r="H80" s="615"/>
      <c r="I80" s="616"/>
    </row>
    <row r="81" spans="1:9" s="38" customFormat="1" ht="15.5" x14ac:dyDescent="0.35">
      <c r="A81" s="173"/>
      <c r="B81" s="174" t="s">
        <v>404</v>
      </c>
      <c r="C81" s="173" t="s">
        <v>66</v>
      </c>
      <c r="D81" s="179">
        <v>40000</v>
      </c>
      <c r="F81" s="160"/>
      <c r="G81" s="614">
        <v>40000</v>
      </c>
      <c r="H81" s="615"/>
      <c r="I81" s="616"/>
    </row>
    <row r="82" spans="1:9" s="38" customFormat="1" ht="15.5" x14ac:dyDescent="0.35">
      <c r="A82" s="173"/>
      <c r="B82" s="174" t="s">
        <v>405</v>
      </c>
      <c r="C82" s="173" t="s">
        <v>71</v>
      </c>
      <c r="D82" s="179">
        <v>3000</v>
      </c>
      <c r="F82" s="160"/>
      <c r="G82" s="614">
        <v>3000</v>
      </c>
      <c r="H82" s="615"/>
      <c r="I82" s="616"/>
    </row>
    <row r="83" spans="1:9" s="38" customFormat="1" ht="15.5" x14ac:dyDescent="0.35">
      <c r="A83" s="173"/>
      <c r="B83" s="174" t="s">
        <v>406</v>
      </c>
      <c r="C83" s="173" t="s">
        <v>66</v>
      </c>
      <c r="D83" s="179">
        <v>55000</v>
      </c>
      <c r="F83" s="160"/>
      <c r="G83" s="614">
        <v>55000</v>
      </c>
      <c r="H83" s="615"/>
      <c r="I83" s="616"/>
    </row>
    <row r="84" spans="1:9" s="38" customFormat="1" ht="15.5" x14ac:dyDescent="0.35">
      <c r="A84" s="173"/>
      <c r="B84" s="174" t="s">
        <v>407</v>
      </c>
      <c r="C84" s="173" t="s">
        <v>66</v>
      </c>
      <c r="D84" s="179">
        <v>70000</v>
      </c>
      <c r="F84" s="160"/>
      <c r="G84" s="614">
        <v>70000</v>
      </c>
      <c r="H84" s="615"/>
      <c r="I84" s="616"/>
    </row>
    <row r="85" spans="1:9" s="38" customFormat="1" ht="15.5" x14ac:dyDescent="0.35">
      <c r="A85" s="173"/>
      <c r="B85" s="174" t="s">
        <v>408</v>
      </c>
      <c r="C85" s="173" t="s">
        <v>34</v>
      </c>
      <c r="D85" s="179">
        <v>10000</v>
      </c>
      <c r="F85" s="160"/>
      <c r="G85" s="614">
        <v>10000</v>
      </c>
      <c r="H85" s="615"/>
      <c r="I85" s="616"/>
    </row>
    <row r="86" spans="1:9" s="38" customFormat="1" ht="15.5" x14ac:dyDescent="0.35">
      <c r="A86" s="173">
        <v>2</v>
      </c>
      <c r="B86" s="174" t="s">
        <v>77</v>
      </c>
      <c r="C86" s="173"/>
      <c r="D86" s="179"/>
      <c r="F86" s="160"/>
      <c r="G86" s="614"/>
      <c r="H86" s="615"/>
      <c r="I86" s="616"/>
    </row>
    <row r="87" spans="1:9" s="38" customFormat="1" ht="15.5" x14ac:dyDescent="0.35">
      <c r="A87" s="173"/>
      <c r="B87" s="174" t="s">
        <v>409</v>
      </c>
      <c r="C87" s="173" t="s">
        <v>66</v>
      </c>
      <c r="D87" s="179">
        <v>26000</v>
      </c>
      <c r="F87" s="160"/>
      <c r="G87" s="614">
        <v>26000</v>
      </c>
      <c r="H87" s="615"/>
      <c r="I87" s="616"/>
    </row>
    <row r="88" spans="1:9" s="38" customFormat="1" ht="15.5" x14ac:dyDescent="0.35">
      <c r="A88" s="173"/>
      <c r="B88" s="174" t="s">
        <v>483</v>
      </c>
      <c r="C88" s="173" t="s">
        <v>80</v>
      </c>
      <c r="D88" s="179">
        <v>110000</v>
      </c>
      <c r="E88" s="168">
        <f t="shared" ref="E88:E90" si="2">D88/5</f>
        <v>22000</v>
      </c>
      <c r="F88" s="160" t="s">
        <v>66</v>
      </c>
      <c r="G88" s="614">
        <v>525000</v>
      </c>
      <c r="H88" s="628"/>
      <c r="I88" s="616" t="s">
        <v>710</v>
      </c>
    </row>
    <row r="89" spans="1:9" s="38" customFormat="1" ht="15.5" x14ac:dyDescent="0.35">
      <c r="A89" s="173"/>
      <c r="B89" s="174"/>
      <c r="C89" s="173"/>
      <c r="D89" s="179"/>
      <c r="E89" s="168"/>
      <c r="F89" s="160"/>
      <c r="G89" s="614">
        <v>110000</v>
      </c>
      <c r="H89" s="628"/>
      <c r="I89" s="616" t="s">
        <v>718</v>
      </c>
    </row>
    <row r="90" spans="1:9" s="38" customFormat="1" ht="15.5" x14ac:dyDescent="0.35">
      <c r="A90" s="173"/>
      <c r="B90" s="174" t="s">
        <v>484</v>
      </c>
      <c r="C90" s="173" t="s">
        <v>80</v>
      </c>
      <c r="D90" s="179">
        <v>140000</v>
      </c>
      <c r="E90" s="168">
        <f t="shared" si="2"/>
        <v>28000</v>
      </c>
      <c r="F90" s="160" t="s">
        <v>66</v>
      </c>
      <c r="G90" s="614">
        <v>680000</v>
      </c>
      <c r="H90" s="628"/>
      <c r="I90" s="616" t="s">
        <v>710</v>
      </c>
    </row>
    <row r="91" spans="1:9" s="38" customFormat="1" ht="15.5" x14ac:dyDescent="0.35">
      <c r="A91" s="173"/>
      <c r="B91" s="174"/>
      <c r="C91" s="173"/>
      <c r="D91" s="179"/>
      <c r="E91" s="168"/>
      <c r="F91" s="160"/>
      <c r="G91" s="614">
        <v>140000</v>
      </c>
      <c r="H91" s="628"/>
      <c r="I91" s="616" t="s">
        <v>718</v>
      </c>
    </row>
    <row r="92" spans="1:9" s="38" customFormat="1" ht="15.5" x14ac:dyDescent="0.35">
      <c r="A92" s="173"/>
      <c r="B92" s="174" t="s">
        <v>485</v>
      </c>
      <c r="C92" s="173" t="s">
        <v>80</v>
      </c>
      <c r="D92" s="179">
        <v>125000</v>
      </c>
      <c r="E92" s="168">
        <f>D92/5</f>
        <v>25000</v>
      </c>
      <c r="F92" s="160" t="s">
        <v>66</v>
      </c>
      <c r="G92" s="614">
        <v>600000</v>
      </c>
      <c r="H92" s="628"/>
      <c r="I92" s="616" t="s">
        <v>710</v>
      </c>
    </row>
    <row r="93" spans="1:9" s="38" customFormat="1" ht="15.5" x14ac:dyDescent="0.35">
      <c r="A93" s="173"/>
      <c r="B93" s="174"/>
      <c r="C93" s="173"/>
      <c r="D93" s="179"/>
      <c r="E93" s="168"/>
      <c r="F93" s="160"/>
      <c r="G93" s="614">
        <v>125000</v>
      </c>
      <c r="H93" s="628"/>
      <c r="I93" s="616" t="s">
        <v>718</v>
      </c>
    </row>
    <row r="94" spans="1:9" s="38" customFormat="1" ht="15.5" x14ac:dyDescent="0.35">
      <c r="A94" s="173"/>
      <c r="B94" s="174" t="s">
        <v>486</v>
      </c>
      <c r="C94" s="173" t="s">
        <v>80</v>
      </c>
      <c r="D94" s="179">
        <v>180000</v>
      </c>
      <c r="E94" s="168">
        <f>D94/5</f>
        <v>36000</v>
      </c>
      <c r="F94" s="160" t="s">
        <v>66</v>
      </c>
      <c r="G94" s="614">
        <v>875000</v>
      </c>
      <c r="H94" s="628"/>
      <c r="I94" s="616" t="s">
        <v>710</v>
      </c>
    </row>
    <row r="95" spans="1:9" s="38" customFormat="1" ht="15.5" x14ac:dyDescent="0.35">
      <c r="A95" s="173"/>
      <c r="B95" s="174"/>
      <c r="C95" s="173"/>
      <c r="D95" s="179"/>
      <c r="E95" s="168"/>
      <c r="F95" s="160"/>
      <c r="G95" s="614">
        <v>180000</v>
      </c>
      <c r="H95" s="628"/>
      <c r="I95" s="616" t="s">
        <v>718</v>
      </c>
    </row>
    <row r="96" spans="1:9" s="38" customFormat="1" ht="15.5" x14ac:dyDescent="0.35">
      <c r="A96" s="173">
        <v>3</v>
      </c>
      <c r="B96" s="174" t="s">
        <v>410</v>
      </c>
      <c r="C96" s="173"/>
      <c r="D96" s="179"/>
      <c r="F96" s="160"/>
      <c r="G96" s="614"/>
      <c r="H96" s="615"/>
      <c r="I96" s="616"/>
    </row>
    <row r="97" spans="1:9" s="38" customFormat="1" ht="15.5" x14ac:dyDescent="0.35">
      <c r="A97" s="173"/>
      <c r="B97" s="174" t="s">
        <v>403</v>
      </c>
      <c r="C97" s="173" t="s">
        <v>66</v>
      </c>
      <c r="D97" s="179">
        <v>19000</v>
      </c>
      <c r="F97" s="160"/>
      <c r="G97" s="614">
        <v>19000</v>
      </c>
      <c r="H97" s="615"/>
      <c r="I97" s="616"/>
    </row>
    <row r="98" spans="1:9" s="38" customFormat="1" ht="15.5" x14ac:dyDescent="0.35">
      <c r="A98" s="173"/>
      <c r="B98" s="174" t="s">
        <v>482</v>
      </c>
      <c r="C98" s="173" t="s">
        <v>66</v>
      </c>
      <c r="D98" s="179">
        <v>52000</v>
      </c>
      <c r="F98" s="160"/>
      <c r="G98" s="614">
        <v>52000</v>
      </c>
      <c r="H98" s="615"/>
      <c r="I98" s="616"/>
    </row>
    <row r="99" spans="1:9" s="38" customFormat="1" ht="15.5" x14ac:dyDescent="0.35">
      <c r="A99" s="173"/>
      <c r="B99" s="174" t="s">
        <v>413</v>
      </c>
      <c r="C99" s="173" t="s">
        <v>66</v>
      </c>
      <c r="D99" s="179">
        <v>64000</v>
      </c>
      <c r="F99" s="160"/>
      <c r="G99" s="614">
        <v>64000</v>
      </c>
      <c r="H99" s="615"/>
      <c r="I99" s="616"/>
    </row>
    <row r="100" spans="1:9" s="38" customFormat="1" ht="15.5" x14ac:dyDescent="0.35">
      <c r="A100" s="173"/>
      <c r="B100" s="174" t="s">
        <v>412</v>
      </c>
      <c r="C100" s="173" t="s">
        <v>81</v>
      </c>
      <c r="D100" s="179">
        <v>18000</v>
      </c>
      <c r="F100" s="160"/>
      <c r="G100" s="614">
        <v>18000</v>
      </c>
      <c r="H100" s="615"/>
      <c r="I100" s="616"/>
    </row>
    <row r="101" spans="1:9" s="38" customFormat="1" ht="15.5" x14ac:dyDescent="0.35">
      <c r="A101" s="177"/>
      <c r="B101" s="178" t="s">
        <v>411</v>
      </c>
      <c r="C101" s="177" t="s">
        <v>81</v>
      </c>
      <c r="D101" s="181">
        <v>12000</v>
      </c>
      <c r="E101" s="188"/>
      <c r="F101" s="183"/>
      <c r="G101" s="618">
        <v>12000</v>
      </c>
      <c r="H101" s="623"/>
      <c r="I101" s="620"/>
    </row>
    <row r="102" spans="1:9" s="38" customFormat="1" ht="15.5" x14ac:dyDescent="0.35">
      <c r="A102" s="170" t="s">
        <v>96</v>
      </c>
      <c r="B102" s="171" t="s">
        <v>414</v>
      </c>
      <c r="C102" s="164"/>
      <c r="D102" s="165"/>
      <c r="E102" s="162"/>
      <c r="F102" s="163"/>
      <c r="G102" s="621"/>
      <c r="H102" s="612"/>
      <c r="I102" s="613"/>
    </row>
    <row r="103" spans="1:9" s="38" customFormat="1" ht="15.5" x14ac:dyDescent="0.35">
      <c r="A103" s="173">
        <v>1</v>
      </c>
      <c r="B103" s="174" t="s">
        <v>78</v>
      </c>
      <c r="C103" s="174"/>
      <c r="D103" s="159"/>
      <c r="F103" s="160"/>
      <c r="G103" s="624"/>
      <c r="H103" s="615"/>
      <c r="I103" s="616"/>
    </row>
    <row r="104" spans="1:9" s="38" customFormat="1" ht="15.5" x14ac:dyDescent="0.35">
      <c r="A104" s="173"/>
      <c r="B104" s="174" t="s">
        <v>475</v>
      </c>
      <c r="C104" s="173" t="s">
        <v>75</v>
      </c>
      <c r="D104" s="179">
        <v>100000</v>
      </c>
      <c r="F104" s="160"/>
      <c r="G104" s="614">
        <v>100000</v>
      </c>
      <c r="H104" s="615"/>
      <c r="I104" s="616"/>
    </row>
    <row r="105" spans="1:9" s="38" customFormat="1" ht="15.5" x14ac:dyDescent="0.35">
      <c r="A105" s="173"/>
      <c r="B105" s="174" t="s">
        <v>476</v>
      </c>
      <c r="C105" s="173" t="s">
        <v>75</v>
      </c>
      <c r="D105" s="179">
        <v>120000</v>
      </c>
      <c r="F105" s="160"/>
      <c r="G105" s="614">
        <v>120000</v>
      </c>
      <c r="H105" s="615"/>
      <c r="I105" s="616"/>
    </row>
    <row r="106" spans="1:9" s="38" customFormat="1" ht="15.5" x14ac:dyDescent="0.35">
      <c r="A106" s="173">
        <v>2</v>
      </c>
      <c r="B106" s="174" t="s">
        <v>417</v>
      </c>
      <c r="C106" s="174"/>
      <c r="D106" s="159"/>
      <c r="F106" s="160"/>
      <c r="G106" s="624"/>
      <c r="H106" s="615"/>
      <c r="I106" s="616"/>
    </row>
    <row r="107" spans="1:9" s="38" customFormat="1" ht="15.5" x14ac:dyDescent="0.35">
      <c r="A107" s="173"/>
      <c r="B107" s="174" t="s">
        <v>415</v>
      </c>
      <c r="C107" s="173" t="s">
        <v>75</v>
      </c>
      <c r="D107" s="179">
        <v>95000</v>
      </c>
      <c r="F107" s="160"/>
      <c r="G107" s="614">
        <v>95000</v>
      </c>
      <c r="H107" s="615"/>
      <c r="I107" s="616"/>
    </row>
    <row r="108" spans="1:9" s="38" customFormat="1" ht="15.5" x14ac:dyDescent="0.35">
      <c r="A108" s="173"/>
      <c r="B108" s="174" t="s">
        <v>416</v>
      </c>
      <c r="C108" s="173" t="s">
        <v>75</v>
      </c>
      <c r="D108" s="179">
        <v>120000</v>
      </c>
      <c r="F108" s="160"/>
      <c r="G108" s="614">
        <v>120000</v>
      </c>
      <c r="H108" s="615"/>
      <c r="I108" s="616"/>
    </row>
    <row r="109" spans="1:9" s="38" customFormat="1" ht="15.5" x14ac:dyDescent="0.35">
      <c r="A109" s="173">
        <v>3</v>
      </c>
      <c r="B109" s="174" t="s">
        <v>79</v>
      </c>
      <c r="C109" s="174"/>
      <c r="D109" s="159"/>
      <c r="F109" s="160"/>
      <c r="G109" s="624"/>
      <c r="H109" s="615"/>
      <c r="I109" s="616"/>
    </row>
    <row r="110" spans="1:9" s="38" customFormat="1" ht="15.5" x14ac:dyDescent="0.35">
      <c r="A110" s="173"/>
      <c r="B110" s="174" t="s">
        <v>415</v>
      </c>
      <c r="C110" s="173" t="s">
        <v>75</v>
      </c>
      <c r="D110" s="179">
        <v>90000</v>
      </c>
      <c r="F110" s="160"/>
      <c r="G110" s="614">
        <v>90000</v>
      </c>
      <c r="H110" s="615"/>
      <c r="I110" s="616"/>
    </row>
    <row r="111" spans="1:9" s="38" customFormat="1" ht="15.5" x14ac:dyDescent="0.35">
      <c r="A111" s="173"/>
      <c r="B111" s="174" t="s">
        <v>416</v>
      </c>
      <c r="C111" s="173" t="s">
        <v>75</v>
      </c>
      <c r="D111" s="179">
        <v>115000</v>
      </c>
      <c r="F111" s="160"/>
      <c r="G111" s="614">
        <v>115000</v>
      </c>
      <c r="H111" s="615"/>
      <c r="I111" s="616"/>
    </row>
    <row r="112" spans="1:9" s="38" customFormat="1" ht="15.5" x14ac:dyDescent="0.35">
      <c r="A112" s="177">
        <v>4</v>
      </c>
      <c r="B112" s="178" t="s">
        <v>481</v>
      </c>
      <c r="C112" s="177" t="s">
        <v>75</v>
      </c>
      <c r="D112" s="580">
        <v>520000</v>
      </c>
      <c r="E112" s="188"/>
      <c r="F112" s="183"/>
      <c r="G112" s="629">
        <v>520000</v>
      </c>
      <c r="H112" s="623"/>
      <c r="I112" s="620"/>
    </row>
    <row r="113" spans="1:9" s="38" customFormat="1" ht="15.5" x14ac:dyDescent="0.35">
      <c r="A113" s="175" t="s">
        <v>98</v>
      </c>
      <c r="B113" s="176" t="s">
        <v>418</v>
      </c>
      <c r="C113" s="173"/>
      <c r="D113" s="179"/>
      <c r="F113" s="160"/>
      <c r="G113" s="614"/>
      <c r="H113" s="615"/>
      <c r="I113" s="616"/>
    </row>
    <row r="114" spans="1:9" s="38" customFormat="1" ht="15.5" x14ac:dyDescent="0.35">
      <c r="A114" s="173">
        <v>1</v>
      </c>
      <c r="B114" s="174" t="s">
        <v>422</v>
      </c>
      <c r="C114" s="173" t="s">
        <v>67</v>
      </c>
      <c r="D114" s="179">
        <v>2110000</v>
      </c>
      <c r="F114" s="160"/>
      <c r="G114" s="614">
        <v>2110000</v>
      </c>
      <c r="H114" s="615"/>
      <c r="I114" s="616"/>
    </row>
    <row r="115" spans="1:9" s="38" customFormat="1" ht="15.5" x14ac:dyDescent="0.35">
      <c r="A115" s="173">
        <v>2</v>
      </c>
      <c r="B115" s="174" t="s">
        <v>423</v>
      </c>
      <c r="C115" s="173" t="s">
        <v>67</v>
      </c>
      <c r="D115" s="179">
        <v>480000</v>
      </c>
      <c r="F115" s="160"/>
      <c r="G115" s="614">
        <v>480000</v>
      </c>
      <c r="H115" s="615"/>
      <c r="I115" s="616"/>
    </row>
    <row r="116" spans="1:9" s="38" customFormat="1" ht="15.5" x14ac:dyDescent="0.35">
      <c r="A116" s="173">
        <v>3</v>
      </c>
      <c r="B116" s="174" t="s">
        <v>489</v>
      </c>
      <c r="C116" s="173" t="s">
        <v>67</v>
      </c>
      <c r="D116" s="179">
        <v>900000</v>
      </c>
      <c r="F116" s="160"/>
      <c r="G116" s="614">
        <v>900000</v>
      </c>
      <c r="H116" s="615"/>
      <c r="I116" s="616"/>
    </row>
    <row r="117" spans="1:9" s="38" customFormat="1" ht="15.5" x14ac:dyDescent="0.35">
      <c r="A117" s="173">
        <v>4</v>
      </c>
      <c r="B117" s="174" t="s">
        <v>82</v>
      </c>
      <c r="C117" s="173"/>
      <c r="D117" s="179"/>
      <c r="F117" s="160"/>
      <c r="G117" s="614"/>
      <c r="H117" s="615"/>
      <c r="I117" s="616"/>
    </row>
    <row r="118" spans="1:9" s="38" customFormat="1" ht="15.5" x14ac:dyDescent="0.35">
      <c r="A118" s="173"/>
      <c r="B118" s="174" t="s">
        <v>419</v>
      </c>
      <c r="C118" s="173" t="s">
        <v>67</v>
      </c>
      <c r="D118" s="179">
        <v>25000</v>
      </c>
      <c r="F118" s="160"/>
      <c r="G118" s="614">
        <v>25000</v>
      </c>
      <c r="H118" s="615"/>
      <c r="I118" s="616"/>
    </row>
    <row r="119" spans="1:9" s="38" customFormat="1" ht="15.5" x14ac:dyDescent="0.35">
      <c r="A119" s="173"/>
      <c r="B119" s="174" t="s">
        <v>420</v>
      </c>
      <c r="C119" s="173" t="s">
        <v>67</v>
      </c>
      <c r="D119" s="179">
        <v>4750</v>
      </c>
      <c r="F119" s="160"/>
      <c r="G119" s="614">
        <v>4750</v>
      </c>
      <c r="H119" s="615"/>
      <c r="I119" s="616"/>
    </row>
    <row r="120" spans="1:9" s="38" customFormat="1" ht="15.5" x14ac:dyDescent="0.35">
      <c r="A120" s="173"/>
      <c r="B120" s="174" t="s">
        <v>421</v>
      </c>
      <c r="C120" s="173" t="s">
        <v>67</v>
      </c>
      <c r="D120" s="179">
        <v>30000</v>
      </c>
      <c r="F120" s="160"/>
      <c r="G120" s="614">
        <v>30000</v>
      </c>
      <c r="H120" s="615"/>
      <c r="I120" s="616"/>
    </row>
    <row r="121" spans="1:9" s="38" customFormat="1" ht="15.5" x14ac:dyDescent="0.35">
      <c r="A121" s="170" t="s">
        <v>173</v>
      </c>
      <c r="B121" s="171" t="s">
        <v>424</v>
      </c>
      <c r="C121" s="164"/>
      <c r="D121" s="165"/>
      <c r="E121" s="162"/>
      <c r="F121" s="163"/>
      <c r="G121" s="621"/>
      <c r="H121" s="612"/>
      <c r="I121" s="613"/>
    </row>
    <row r="122" spans="1:9" s="38" customFormat="1" ht="15.5" x14ac:dyDescent="0.35">
      <c r="A122" s="173">
        <v>1</v>
      </c>
      <c r="B122" s="174" t="s">
        <v>444</v>
      </c>
      <c r="C122" s="173" t="s">
        <v>66</v>
      </c>
      <c r="D122" s="179">
        <v>20000</v>
      </c>
      <c r="F122" s="160"/>
      <c r="G122" s="614">
        <v>20000</v>
      </c>
      <c r="H122" s="615"/>
      <c r="I122" s="616"/>
    </row>
    <row r="123" spans="1:9" s="38" customFormat="1" ht="15.5" x14ac:dyDescent="0.35">
      <c r="A123" s="173">
        <v>2</v>
      </c>
      <c r="B123" s="174" t="s">
        <v>83</v>
      </c>
      <c r="C123" s="173" t="s">
        <v>66</v>
      </c>
      <c r="D123" s="179">
        <v>25000</v>
      </c>
      <c r="F123" s="160"/>
      <c r="G123" s="614">
        <v>25000</v>
      </c>
      <c r="H123" s="615"/>
      <c r="I123" s="616"/>
    </row>
    <row r="124" spans="1:9" s="38" customFormat="1" ht="15.5" x14ac:dyDescent="0.35">
      <c r="A124" s="173">
        <v>3</v>
      </c>
      <c r="B124" s="174" t="s">
        <v>84</v>
      </c>
      <c r="C124" s="173" t="s">
        <v>66</v>
      </c>
      <c r="D124" s="179">
        <v>21000</v>
      </c>
      <c r="F124" s="160"/>
      <c r="G124" s="614">
        <v>21000</v>
      </c>
      <c r="H124" s="615"/>
      <c r="I124" s="616"/>
    </row>
    <row r="125" spans="1:9" s="38" customFormat="1" ht="15.5" x14ac:dyDescent="0.35">
      <c r="A125" s="173">
        <v>4</v>
      </c>
      <c r="B125" s="174" t="s">
        <v>85</v>
      </c>
      <c r="C125" s="173" t="s">
        <v>66</v>
      </c>
      <c r="D125" s="179">
        <v>30000</v>
      </c>
      <c r="F125" s="160"/>
      <c r="G125" s="614">
        <v>30000</v>
      </c>
      <c r="H125" s="615"/>
      <c r="I125" s="616"/>
    </row>
    <row r="126" spans="1:9" s="38" customFormat="1" ht="15.5" x14ac:dyDescent="0.35">
      <c r="A126" s="177">
        <v>5</v>
      </c>
      <c r="B126" s="178" t="s">
        <v>474</v>
      </c>
      <c r="C126" s="177" t="s">
        <v>67</v>
      </c>
      <c r="D126" s="181">
        <v>800</v>
      </c>
      <c r="E126" s="188"/>
      <c r="F126" s="183"/>
      <c r="G126" s="618">
        <v>800</v>
      </c>
      <c r="H126" s="623"/>
      <c r="I126" s="620"/>
    </row>
    <row r="127" spans="1:9" s="38" customFormat="1" ht="15.5" x14ac:dyDescent="0.35">
      <c r="A127" s="175" t="s">
        <v>174</v>
      </c>
      <c r="B127" s="176" t="s">
        <v>425</v>
      </c>
      <c r="C127" s="173"/>
      <c r="D127" s="179"/>
      <c r="F127" s="160"/>
      <c r="G127" s="614"/>
      <c r="H127" s="615"/>
      <c r="I127" s="616"/>
    </row>
    <row r="128" spans="1:9" s="38" customFormat="1" ht="15.5" x14ac:dyDescent="0.35">
      <c r="A128" s="173">
        <v>1</v>
      </c>
      <c r="B128" s="174" t="s">
        <v>257</v>
      </c>
      <c r="C128" s="173" t="s">
        <v>70</v>
      </c>
      <c r="D128" s="179">
        <v>110000</v>
      </c>
      <c r="F128" s="160"/>
      <c r="G128" s="614">
        <v>425000</v>
      </c>
      <c r="H128" s="615"/>
      <c r="I128" s="616" t="s">
        <v>365</v>
      </c>
    </row>
    <row r="129" spans="1:9" s="38" customFormat="1" ht="15.5" x14ac:dyDescent="0.35">
      <c r="A129" s="173">
        <f>+A128+1</f>
        <v>2</v>
      </c>
      <c r="B129" s="174" t="s">
        <v>232</v>
      </c>
      <c r="C129" s="173" t="s">
        <v>75</v>
      </c>
      <c r="D129" s="179">
        <v>400000</v>
      </c>
      <c r="F129" s="160"/>
      <c r="G129" s="614">
        <v>400000</v>
      </c>
      <c r="H129" s="615"/>
      <c r="I129" s="616"/>
    </row>
    <row r="130" spans="1:9" s="38" customFormat="1" ht="15.5" x14ac:dyDescent="0.35">
      <c r="A130" s="173">
        <f t="shared" ref="A130:A132" si="3">+A129+1</f>
        <v>3</v>
      </c>
      <c r="B130" s="174" t="s">
        <v>233</v>
      </c>
      <c r="C130" s="173" t="s">
        <v>75</v>
      </c>
      <c r="D130" s="179">
        <v>450000</v>
      </c>
      <c r="F130" s="160"/>
      <c r="G130" s="614">
        <v>450000</v>
      </c>
      <c r="H130" s="615"/>
      <c r="I130" s="616"/>
    </row>
    <row r="131" spans="1:9" s="38" customFormat="1" ht="15.5" x14ac:dyDescent="0.35">
      <c r="A131" s="173">
        <f t="shared" si="3"/>
        <v>4</v>
      </c>
      <c r="B131" s="174" t="s">
        <v>255</v>
      </c>
      <c r="C131" s="173" t="s">
        <v>70</v>
      </c>
      <c r="D131" s="179">
        <v>120000</v>
      </c>
      <c r="F131" s="160"/>
      <c r="G131" s="614">
        <v>500000</v>
      </c>
      <c r="H131" s="615"/>
      <c r="I131" s="616" t="s">
        <v>688</v>
      </c>
    </row>
    <row r="132" spans="1:9" s="38" customFormat="1" ht="15.5" x14ac:dyDescent="0.35">
      <c r="A132" s="173">
        <f t="shared" si="3"/>
        <v>5</v>
      </c>
      <c r="B132" s="174" t="s">
        <v>253</v>
      </c>
      <c r="C132" s="173" t="s">
        <v>70</v>
      </c>
      <c r="D132" s="179">
        <v>9000</v>
      </c>
      <c r="F132" s="160"/>
      <c r="G132" s="614">
        <v>35000</v>
      </c>
      <c r="H132" s="615"/>
      <c r="I132" s="616" t="s">
        <v>688</v>
      </c>
    </row>
    <row r="133" spans="1:9" s="38" customFormat="1" ht="15.5" x14ac:dyDescent="0.35">
      <c r="A133" s="173">
        <v>6</v>
      </c>
      <c r="B133" s="174" t="s">
        <v>86</v>
      </c>
      <c r="C133" s="173" t="s">
        <v>81</v>
      </c>
      <c r="D133" s="179">
        <v>14000</v>
      </c>
      <c r="F133" s="160"/>
      <c r="G133" s="614">
        <v>14000</v>
      </c>
      <c r="H133" s="615"/>
      <c r="I133" s="616"/>
    </row>
    <row r="134" spans="1:9" s="38" customFormat="1" ht="15.5" x14ac:dyDescent="0.35">
      <c r="A134" s="173">
        <v>7</v>
      </c>
      <c r="B134" s="174" t="s">
        <v>699</v>
      </c>
      <c r="C134" s="173" t="s">
        <v>70</v>
      </c>
      <c r="D134" s="179">
        <v>125000</v>
      </c>
      <c r="F134" s="160"/>
      <c r="G134" s="614">
        <v>500000</v>
      </c>
      <c r="H134" s="615"/>
      <c r="I134" s="616" t="s">
        <v>365</v>
      </c>
    </row>
    <row r="135" spans="1:9" s="38" customFormat="1" ht="15.5" x14ac:dyDescent="0.35">
      <c r="A135" s="173">
        <v>8</v>
      </c>
      <c r="B135" s="174" t="s">
        <v>234</v>
      </c>
      <c r="C135" s="173" t="s">
        <v>81</v>
      </c>
      <c r="D135" s="179">
        <v>30000</v>
      </c>
      <c r="F135" s="160"/>
      <c r="G135" s="614">
        <v>30000</v>
      </c>
      <c r="H135" s="615"/>
      <c r="I135" s="616"/>
    </row>
    <row r="136" spans="1:9" s="38" customFormat="1" ht="15.5" x14ac:dyDescent="0.35">
      <c r="A136" s="173">
        <v>9</v>
      </c>
      <c r="B136" s="174" t="s">
        <v>258</v>
      </c>
      <c r="C136" s="173" t="s">
        <v>478</v>
      </c>
      <c r="D136" s="179">
        <v>35000</v>
      </c>
      <c r="F136" s="160"/>
      <c r="G136" s="614">
        <v>35000</v>
      </c>
      <c r="H136" s="615"/>
      <c r="I136" s="616"/>
    </row>
    <row r="137" spans="1:9" s="38" customFormat="1" ht="15.5" x14ac:dyDescent="0.35">
      <c r="A137" s="173">
        <v>10</v>
      </c>
      <c r="B137" s="174" t="s">
        <v>87</v>
      </c>
      <c r="C137" s="173" t="s">
        <v>75</v>
      </c>
      <c r="D137" s="179">
        <v>600000</v>
      </c>
      <c r="F137" s="160"/>
      <c r="G137" s="614">
        <v>600000</v>
      </c>
      <c r="H137" s="615"/>
      <c r="I137" s="616"/>
    </row>
    <row r="138" spans="1:9" s="38" customFormat="1" ht="15.5" x14ac:dyDescent="0.35">
      <c r="A138" s="173">
        <v>11</v>
      </c>
      <c r="B138" s="174" t="s">
        <v>250</v>
      </c>
      <c r="C138" s="173" t="s">
        <v>39</v>
      </c>
      <c r="D138" s="179">
        <v>60000</v>
      </c>
      <c r="F138" s="160"/>
      <c r="G138" s="614">
        <v>60000</v>
      </c>
      <c r="H138" s="615"/>
      <c r="I138" s="616"/>
    </row>
    <row r="139" spans="1:9" s="38" customFormat="1" ht="15.5" x14ac:dyDescent="0.35">
      <c r="A139" s="177">
        <v>12</v>
      </c>
      <c r="B139" s="178" t="s">
        <v>88</v>
      </c>
      <c r="C139" s="177" t="s">
        <v>65</v>
      </c>
      <c r="D139" s="181">
        <v>17000</v>
      </c>
      <c r="E139" s="187">
        <f>D139/1000</f>
        <v>17</v>
      </c>
      <c r="F139" s="183" t="s">
        <v>132</v>
      </c>
      <c r="G139" s="618">
        <v>17000</v>
      </c>
      <c r="H139" s="630">
        <f>G139/1000</f>
        <v>17</v>
      </c>
      <c r="I139" s="620" t="s">
        <v>132</v>
      </c>
    </row>
    <row r="140" spans="1:9" ht="8.25" customHeight="1" x14ac:dyDescent="0.35">
      <c r="C140" s="166"/>
    </row>
    <row r="141" spans="1:9" ht="15.5" x14ac:dyDescent="0.35">
      <c r="A141" s="632" t="s">
        <v>510</v>
      </c>
      <c r="B141" s="162"/>
      <c r="C141" s="162"/>
      <c r="D141" s="162"/>
      <c r="E141" s="162"/>
      <c r="F141" s="162"/>
      <c r="G141" s="163"/>
    </row>
    <row r="142" spans="1:9" ht="15.5" x14ac:dyDescent="0.35">
      <c r="A142" s="633" t="s">
        <v>511</v>
      </c>
      <c r="B142" s="188"/>
      <c r="C142" s="188"/>
      <c r="D142" s="188"/>
      <c r="E142" s="188"/>
      <c r="F142" s="188"/>
      <c r="G142" s="183"/>
    </row>
    <row r="143" spans="1:9" x14ac:dyDescent="0.35">
      <c r="C143" s="166"/>
    </row>
    <row r="144" spans="1:9" x14ac:dyDescent="0.35">
      <c r="C144" s="166"/>
    </row>
    <row r="145" spans="3:3" x14ac:dyDescent="0.35">
      <c r="C145" s="166"/>
    </row>
    <row r="146" spans="3:3" x14ac:dyDescent="0.35">
      <c r="C146" s="166"/>
    </row>
    <row r="147" spans="3:3" x14ac:dyDescent="0.35">
      <c r="C147" s="166"/>
    </row>
    <row r="148" spans="3:3" x14ac:dyDescent="0.35">
      <c r="C148" s="166"/>
    </row>
    <row r="149" spans="3:3" x14ac:dyDescent="0.35">
      <c r="C149" s="166"/>
    </row>
    <row r="150" spans="3:3" x14ac:dyDescent="0.35">
      <c r="C150" s="166"/>
    </row>
    <row r="151" spans="3:3" x14ac:dyDescent="0.35">
      <c r="C151" s="166"/>
    </row>
    <row r="152" spans="3:3" x14ac:dyDescent="0.35">
      <c r="C152" s="166"/>
    </row>
  </sheetData>
  <mergeCells count="6">
    <mergeCell ref="G3:I4"/>
    <mergeCell ref="A1:I1"/>
    <mergeCell ref="A3:A4"/>
    <mergeCell ref="B3:B4"/>
    <mergeCell ref="C3:C4"/>
    <mergeCell ref="D3:F4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7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16FE-541C-446C-8DFF-6ACE804021FB}">
  <sheetPr>
    <tabColor rgb="FFFFFF00"/>
  </sheetPr>
  <dimension ref="A1:G43"/>
  <sheetViews>
    <sheetView view="pageBreakPreview" zoomScale="85" zoomScaleNormal="100" zoomScaleSheetLayoutView="85" workbookViewId="0">
      <selection activeCell="G36" sqref="G36"/>
    </sheetView>
  </sheetViews>
  <sheetFormatPr defaultColWidth="8.81640625" defaultRowHeight="15.5" x14ac:dyDescent="0.45"/>
  <cols>
    <col min="1" max="1" width="5.7265625" style="3" customWidth="1"/>
    <col min="2" max="2" width="17.1796875" style="3" customWidth="1"/>
    <col min="3" max="3" width="3.7265625" style="3" customWidth="1"/>
    <col min="4" max="4" width="33.26953125" style="3" customWidth="1"/>
    <col min="5" max="5" width="10.81640625" style="3" customWidth="1"/>
    <col min="6" max="6" width="16.54296875" style="3" customWidth="1"/>
    <col min="7" max="7" width="21" style="3" customWidth="1"/>
    <col min="8" max="16384" width="8.81640625" style="3"/>
  </cols>
  <sheetData>
    <row r="1" spans="1:7" ht="16.5" x14ac:dyDescent="0.45">
      <c r="A1" s="1067" t="s">
        <v>591</v>
      </c>
      <c r="B1" s="1067"/>
      <c r="C1" s="1067"/>
      <c r="D1" s="1067"/>
      <c r="E1" s="1067"/>
      <c r="F1" s="1067"/>
      <c r="G1" s="1067"/>
    </row>
    <row r="2" spans="1:7" ht="16.5" x14ac:dyDescent="0.45">
      <c r="A2" s="9"/>
      <c r="B2" s="9"/>
      <c r="C2" s="9"/>
      <c r="D2" s="9"/>
      <c r="E2" s="9"/>
      <c r="F2" s="9"/>
      <c r="G2" s="9"/>
    </row>
    <row r="3" spans="1:7" ht="16.5" x14ac:dyDescent="0.45">
      <c r="A3" s="40" t="str">
        <f>+Rekapitulasi!A4</f>
        <v>PEKERJAAN</v>
      </c>
      <c r="B3" s="39"/>
      <c r="C3" s="39" t="str">
        <f>[5]Rekap!D4</f>
        <v>:</v>
      </c>
      <c r="D3" s="40" t="str">
        <f>+Rekapitulasi!D4</f>
        <v>PEMBANGUNAN GEDUNG A (STRUKTUR DAN ARSITEKTUR)</v>
      </c>
      <c r="E3" s="39"/>
      <c r="F3" s="9"/>
      <c r="G3" s="9"/>
    </row>
    <row r="4" spans="1:7" ht="16.5" x14ac:dyDescent="0.45">
      <c r="A4" s="40" t="str">
        <f>+Rekapitulasi!A5</f>
        <v>LOKASI</v>
      </c>
      <c r="B4" s="39"/>
      <c r="C4" s="39" t="str">
        <f>[5]Rekap!D5</f>
        <v>:</v>
      </c>
      <c r="D4" s="40" t="str">
        <f>+Rekapitulasi!D5</f>
        <v>DINAS ABC</v>
      </c>
      <c r="E4" s="39"/>
      <c r="F4" s="9"/>
      <c r="G4" s="9"/>
    </row>
    <row r="5" spans="1:7" ht="16.5" x14ac:dyDescent="0.45">
      <c r="A5" s="40" t="str">
        <f>+Rekapitulasi!A6</f>
        <v>KABUPATEN</v>
      </c>
      <c r="B5" s="39"/>
      <c r="C5" s="39" t="str">
        <f>[5]Rekap!D6</f>
        <v>:</v>
      </c>
      <c r="D5" s="40" t="str">
        <f>+Rekapitulasi!D6</f>
        <v>MAJALENGKA</v>
      </c>
      <c r="E5" s="39"/>
      <c r="F5" s="9"/>
      <c r="G5" s="9"/>
    </row>
    <row r="6" spans="1:7" ht="16.5" x14ac:dyDescent="0.45">
      <c r="A6" s="40" t="str">
        <f>+Rekapitulasi!A7</f>
        <v>TAHUN ANGGARAN</v>
      </c>
      <c r="B6" s="39"/>
      <c r="C6" s="39" t="str">
        <f>[5]Rekap!D7</f>
        <v>:</v>
      </c>
      <c r="D6" s="40">
        <f>+Rekapitulasi!D7</f>
        <v>2019</v>
      </c>
      <c r="E6" s="39"/>
      <c r="F6" s="9"/>
      <c r="G6" s="9"/>
    </row>
    <row r="7" spans="1:7" ht="16.5" x14ac:dyDescent="0.45">
      <c r="A7" s="12"/>
      <c r="B7" s="9"/>
      <c r="C7" s="9"/>
      <c r="D7" s="9"/>
      <c r="E7" s="9"/>
      <c r="F7" s="9"/>
      <c r="G7" s="9"/>
    </row>
    <row r="8" spans="1:7" ht="16.5" x14ac:dyDescent="0.45">
      <c r="A8" s="1014" t="s">
        <v>13</v>
      </c>
      <c r="B8" s="1014" t="s">
        <v>49</v>
      </c>
      <c r="C8" s="1014"/>
      <c r="D8" s="1014"/>
      <c r="E8" s="1068" t="s">
        <v>50</v>
      </c>
      <c r="F8" s="189" t="s">
        <v>590</v>
      </c>
      <c r="G8" s="189" t="s">
        <v>592</v>
      </c>
    </row>
    <row r="9" spans="1:7" ht="16.5" x14ac:dyDescent="0.45">
      <c r="A9" s="1014"/>
      <c r="B9" s="1014"/>
      <c r="C9" s="1014"/>
      <c r="D9" s="1014"/>
      <c r="E9" s="1068"/>
      <c r="F9" s="189" t="s">
        <v>105</v>
      </c>
      <c r="G9" s="189" t="s">
        <v>105</v>
      </c>
    </row>
    <row r="10" spans="1:7" ht="16.5" x14ac:dyDescent="0.45">
      <c r="A10" s="109">
        <v>1</v>
      </c>
      <c r="B10" s="193" t="s">
        <v>216</v>
      </c>
      <c r="C10" s="117"/>
      <c r="D10" s="194"/>
      <c r="E10" s="191" t="s">
        <v>210</v>
      </c>
      <c r="F10" s="192">
        <v>3250000</v>
      </c>
      <c r="G10" s="751">
        <v>3250000</v>
      </c>
    </row>
    <row r="11" spans="1:7" ht="16.5" x14ac:dyDescent="0.45">
      <c r="A11" s="109">
        <f>+A10+1</f>
        <v>2</v>
      </c>
      <c r="B11" s="193" t="s">
        <v>217</v>
      </c>
      <c r="C11" s="117"/>
      <c r="D11" s="194"/>
      <c r="E11" s="191" t="s">
        <v>210</v>
      </c>
      <c r="F11" s="192">
        <v>22500</v>
      </c>
      <c r="G11" s="751">
        <v>22500</v>
      </c>
    </row>
    <row r="12" spans="1:7" ht="16.5" x14ac:dyDescent="0.45">
      <c r="A12" s="109">
        <f>+A11+1</f>
        <v>3</v>
      </c>
      <c r="B12" s="193" t="s">
        <v>218</v>
      </c>
      <c r="C12" s="117"/>
      <c r="D12" s="194"/>
      <c r="E12" s="191" t="s">
        <v>210</v>
      </c>
      <c r="F12" s="192">
        <v>225000</v>
      </c>
      <c r="G12" s="751">
        <v>225000</v>
      </c>
    </row>
    <row r="13" spans="1:7" ht="16.5" x14ac:dyDescent="0.45">
      <c r="A13" s="109">
        <f>+A12+1</f>
        <v>4</v>
      </c>
      <c r="B13" s="193" t="s">
        <v>219</v>
      </c>
      <c r="C13" s="117"/>
      <c r="D13" s="194"/>
      <c r="E13" s="191" t="s">
        <v>210</v>
      </c>
      <c r="F13" s="192">
        <v>45000</v>
      </c>
      <c r="G13" s="751">
        <v>45000</v>
      </c>
    </row>
    <row r="14" spans="1:7" ht="16.5" x14ac:dyDescent="0.45">
      <c r="A14" s="109">
        <f t="shared" ref="A14:A30" si="0">+A13+1</f>
        <v>5</v>
      </c>
      <c r="B14" s="193" t="s">
        <v>212</v>
      </c>
      <c r="C14" s="117"/>
      <c r="D14" s="194"/>
      <c r="E14" s="191" t="s">
        <v>210</v>
      </c>
      <c r="F14" s="192">
        <v>185000</v>
      </c>
      <c r="G14" s="751">
        <v>185000</v>
      </c>
    </row>
    <row r="15" spans="1:7" ht="16.5" x14ac:dyDescent="0.45">
      <c r="A15" s="109">
        <f t="shared" si="0"/>
        <v>6</v>
      </c>
      <c r="B15" s="193" t="s">
        <v>211</v>
      </c>
      <c r="C15" s="117"/>
      <c r="D15" s="194"/>
      <c r="E15" s="191" t="s">
        <v>210</v>
      </c>
      <c r="F15" s="192">
        <v>30000</v>
      </c>
      <c r="G15" s="751">
        <v>30000</v>
      </c>
    </row>
    <row r="16" spans="1:7" ht="16.5" x14ac:dyDescent="0.45">
      <c r="A16" s="109">
        <f t="shared" si="0"/>
        <v>7</v>
      </c>
      <c r="B16" s="193" t="s">
        <v>220</v>
      </c>
      <c r="C16" s="117"/>
      <c r="D16" s="194"/>
      <c r="E16" s="191" t="s">
        <v>210</v>
      </c>
      <c r="F16" s="192">
        <v>100000</v>
      </c>
      <c r="G16" s="751">
        <v>100000</v>
      </c>
    </row>
    <row r="17" spans="1:7" ht="16.5" x14ac:dyDescent="0.45">
      <c r="A17" s="109">
        <f t="shared" si="0"/>
        <v>8</v>
      </c>
      <c r="B17" s="193" t="s">
        <v>221</v>
      </c>
      <c r="C17" s="117"/>
      <c r="D17" s="194"/>
      <c r="E17" s="191" t="s">
        <v>210</v>
      </c>
      <c r="F17" s="192">
        <v>90000</v>
      </c>
      <c r="G17" s="751">
        <v>90000</v>
      </c>
    </row>
    <row r="18" spans="1:7" ht="16.5" x14ac:dyDescent="0.45">
      <c r="A18" s="109">
        <f t="shared" si="0"/>
        <v>9</v>
      </c>
      <c r="B18" s="193" t="s">
        <v>436</v>
      </c>
      <c r="C18" s="117"/>
      <c r="D18" s="194"/>
      <c r="E18" s="191" t="s">
        <v>210</v>
      </c>
      <c r="F18" s="192">
        <v>250000</v>
      </c>
      <c r="G18" s="751">
        <v>250000</v>
      </c>
    </row>
    <row r="19" spans="1:7" ht="16.5" x14ac:dyDescent="0.45">
      <c r="A19" s="109">
        <f t="shared" si="0"/>
        <v>10</v>
      </c>
      <c r="B19" s="193" t="s">
        <v>437</v>
      </c>
      <c r="C19" s="117"/>
      <c r="D19" s="194"/>
      <c r="E19" s="191" t="s">
        <v>210</v>
      </c>
      <c r="F19" s="192">
        <v>400000</v>
      </c>
      <c r="G19" s="751">
        <v>400000</v>
      </c>
    </row>
    <row r="20" spans="1:7" ht="16.5" x14ac:dyDescent="0.45">
      <c r="A20" s="109">
        <f t="shared" si="0"/>
        <v>11</v>
      </c>
      <c r="B20" s="193" t="s">
        <v>222</v>
      </c>
      <c r="C20" s="117"/>
      <c r="D20" s="194"/>
      <c r="E20" s="191" t="s">
        <v>210</v>
      </c>
      <c r="F20" s="192">
        <v>200000</v>
      </c>
      <c r="G20" s="751">
        <v>200000</v>
      </c>
    </row>
    <row r="21" spans="1:7" ht="16.5" x14ac:dyDescent="0.45">
      <c r="A21" s="109">
        <f t="shared" si="0"/>
        <v>12</v>
      </c>
      <c r="B21" s="193" t="s">
        <v>214</v>
      </c>
      <c r="C21" s="117"/>
      <c r="D21" s="194"/>
      <c r="E21" s="191" t="s">
        <v>210</v>
      </c>
      <c r="F21" s="192">
        <v>195000</v>
      </c>
      <c r="G21" s="751">
        <v>195000</v>
      </c>
    </row>
    <row r="22" spans="1:7" ht="16.5" x14ac:dyDescent="0.45">
      <c r="A22" s="109">
        <f t="shared" si="0"/>
        <v>13</v>
      </c>
      <c r="B22" s="193" t="s">
        <v>213</v>
      </c>
      <c r="C22" s="117"/>
      <c r="D22" s="194"/>
      <c r="E22" s="191" t="s">
        <v>210</v>
      </c>
      <c r="F22" s="192">
        <v>300000</v>
      </c>
      <c r="G22" s="751">
        <v>300000</v>
      </c>
    </row>
    <row r="23" spans="1:7" ht="16.5" x14ac:dyDescent="0.45">
      <c r="A23" s="109">
        <f t="shared" si="0"/>
        <v>14</v>
      </c>
      <c r="B23" s="193" t="s">
        <v>223</v>
      </c>
      <c r="C23" s="117"/>
      <c r="D23" s="194"/>
      <c r="E23" s="191" t="s">
        <v>210</v>
      </c>
      <c r="F23" s="192">
        <v>300000</v>
      </c>
      <c r="G23" s="751">
        <v>300000</v>
      </c>
    </row>
    <row r="24" spans="1:7" ht="16.5" x14ac:dyDescent="0.45">
      <c r="A24" s="109">
        <f t="shared" si="0"/>
        <v>15</v>
      </c>
      <c r="B24" s="193" t="s">
        <v>224</v>
      </c>
      <c r="C24" s="117"/>
      <c r="D24" s="194"/>
      <c r="E24" s="191" t="s">
        <v>210</v>
      </c>
      <c r="F24" s="192">
        <v>40000</v>
      </c>
      <c r="G24" s="751">
        <v>40000</v>
      </c>
    </row>
    <row r="25" spans="1:7" ht="16.5" x14ac:dyDescent="0.45">
      <c r="A25" s="109">
        <f t="shared" si="0"/>
        <v>16</v>
      </c>
      <c r="B25" s="193" t="s">
        <v>225</v>
      </c>
      <c r="C25" s="117"/>
      <c r="D25" s="194"/>
      <c r="E25" s="191" t="s">
        <v>210</v>
      </c>
      <c r="F25" s="192">
        <v>90000</v>
      </c>
      <c r="G25" s="751">
        <v>90000</v>
      </c>
    </row>
    <row r="26" spans="1:7" ht="16.5" x14ac:dyDescent="0.45">
      <c r="A26" s="109">
        <f t="shared" si="0"/>
        <v>17</v>
      </c>
      <c r="B26" s="193" t="s">
        <v>226</v>
      </c>
      <c r="C26" s="117"/>
      <c r="D26" s="194"/>
      <c r="E26" s="191" t="s">
        <v>210</v>
      </c>
      <c r="F26" s="192">
        <v>2000000</v>
      </c>
      <c r="G26" s="751">
        <v>2000000</v>
      </c>
    </row>
    <row r="27" spans="1:7" ht="16.5" x14ac:dyDescent="0.45">
      <c r="A27" s="109">
        <f t="shared" si="0"/>
        <v>18</v>
      </c>
      <c r="B27" s="193" t="s">
        <v>227</v>
      </c>
      <c r="C27" s="117"/>
      <c r="D27" s="194"/>
      <c r="E27" s="191" t="s">
        <v>210</v>
      </c>
      <c r="F27" s="192">
        <v>100000</v>
      </c>
      <c r="G27" s="751">
        <v>100000</v>
      </c>
    </row>
    <row r="28" spans="1:7" ht="16.5" x14ac:dyDescent="0.45">
      <c r="A28" s="109">
        <f t="shared" si="0"/>
        <v>19</v>
      </c>
      <c r="B28" s="193" t="s">
        <v>228</v>
      </c>
      <c r="C28" s="117"/>
      <c r="D28" s="194"/>
      <c r="E28" s="191" t="s">
        <v>210</v>
      </c>
      <c r="F28" s="192">
        <v>1500000</v>
      </c>
      <c r="G28" s="751">
        <v>1500000</v>
      </c>
    </row>
    <row r="29" spans="1:7" ht="16.5" x14ac:dyDescent="0.45">
      <c r="A29" s="109">
        <f t="shared" si="0"/>
        <v>20</v>
      </c>
      <c r="B29" s="193" t="s">
        <v>229</v>
      </c>
      <c r="C29" s="117"/>
      <c r="D29" s="194"/>
      <c r="E29" s="191" t="s">
        <v>210</v>
      </c>
      <c r="F29" s="192">
        <v>25000</v>
      </c>
      <c r="G29" s="751">
        <v>25000</v>
      </c>
    </row>
    <row r="30" spans="1:7" ht="16.5" x14ac:dyDescent="0.45">
      <c r="A30" s="109">
        <f t="shared" si="0"/>
        <v>21</v>
      </c>
      <c r="B30" s="193" t="s">
        <v>230</v>
      </c>
      <c r="C30" s="117"/>
      <c r="D30" s="194"/>
      <c r="E30" s="191" t="s">
        <v>210</v>
      </c>
      <c r="F30" s="192">
        <v>300000</v>
      </c>
      <c r="G30" s="751">
        <v>300000</v>
      </c>
    </row>
    <row r="31" spans="1:7" ht="16.5" x14ac:dyDescent="0.45">
      <c r="A31" s="109">
        <v>22</v>
      </c>
      <c r="B31" s="114" t="s">
        <v>231</v>
      </c>
      <c r="C31" s="117"/>
      <c r="D31" s="194"/>
      <c r="E31" s="109" t="s">
        <v>210</v>
      </c>
      <c r="F31" s="192">
        <v>550000</v>
      </c>
      <c r="G31" s="751">
        <v>550000</v>
      </c>
    </row>
    <row r="32" spans="1:7" ht="16.5" x14ac:dyDescent="0.45">
      <c r="A32" s="109">
        <v>23</v>
      </c>
      <c r="B32" s="114" t="s">
        <v>595</v>
      </c>
      <c r="C32" s="117"/>
      <c r="D32" s="194"/>
      <c r="E32" s="109" t="s">
        <v>175</v>
      </c>
      <c r="F32" s="192">
        <v>20000000</v>
      </c>
      <c r="G32" s="751">
        <v>18000000</v>
      </c>
    </row>
    <row r="33" spans="1:7" ht="16.5" x14ac:dyDescent="0.45">
      <c r="A33" s="109">
        <v>24</v>
      </c>
      <c r="B33" s="114" t="s">
        <v>594</v>
      </c>
      <c r="C33" s="117"/>
      <c r="D33" s="194"/>
      <c r="E33" s="109" t="s">
        <v>175</v>
      </c>
      <c r="F33" s="192">
        <v>500000</v>
      </c>
      <c r="G33" s="751">
        <v>475000</v>
      </c>
    </row>
    <row r="34" spans="1:7" ht="16.5" x14ac:dyDescent="0.45">
      <c r="A34" s="109">
        <v>25</v>
      </c>
      <c r="B34" s="114" t="s">
        <v>596</v>
      </c>
      <c r="C34" s="117"/>
      <c r="D34" s="194"/>
      <c r="E34" s="109" t="s">
        <v>175</v>
      </c>
      <c r="F34" s="192">
        <v>15000000</v>
      </c>
      <c r="G34" s="751">
        <v>15000000</v>
      </c>
    </row>
    <row r="35" spans="1:7" ht="16.5" x14ac:dyDescent="0.45">
      <c r="A35" s="109">
        <v>26</v>
      </c>
      <c r="B35" s="114" t="s">
        <v>621</v>
      </c>
      <c r="C35" s="117"/>
      <c r="D35" s="194"/>
      <c r="E35" s="109" t="s">
        <v>318</v>
      </c>
      <c r="F35" s="192">
        <v>150000</v>
      </c>
      <c r="G35" s="751">
        <v>150000</v>
      </c>
    </row>
    <row r="36" spans="1:7" ht="16.5" x14ac:dyDescent="0.45">
      <c r="A36" s="10"/>
      <c r="B36" s="10"/>
      <c r="C36" s="39"/>
      <c r="D36" s="10"/>
      <c r="E36" s="39"/>
      <c r="F36" s="39"/>
      <c r="G36" s="39"/>
    </row>
    <row r="37" spans="1:7" ht="16.5" x14ac:dyDescent="0.45">
      <c r="A37" s="632" t="s">
        <v>510</v>
      </c>
      <c r="B37" s="162"/>
      <c r="C37" s="162"/>
      <c r="D37" s="162"/>
      <c r="E37" s="162"/>
      <c r="F37" s="162"/>
      <c r="G37" s="163"/>
    </row>
    <row r="38" spans="1:7" ht="16.5" x14ac:dyDescent="0.45">
      <c r="A38" s="633" t="s">
        <v>511</v>
      </c>
      <c r="B38" s="188"/>
      <c r="C38" s="188"/>
      <c r="D38" s="188"/>
      <c r="E38" s="188"/>
      <c r="F38" s="188"/>
      <c r="G38" s="183"/>
    </row>
    <row r="39" spans="1:7" ht="16.5" x14ac:dyDescent="0.45">
      <c r="A39" s="10"/>
      <c r="B39" s="10"/>
      <c r="C39" s="10"/>
      <c r="D39" s="10"/>
      <c r="E39" s="10"/>
      <c r="F39" s="10"/>
      <c r="G39" s="10"/>
    </row>
    <row r="40" spans="1:7" ht="16.5" x14ac:dyDescent="0.45">
      <c r="A40" s="10"/>
      <c r="B40" s="10"/>
      <c r="C40" s="10"/>
      <c r="D40" s="10"/>
      <c r="E40" s="10"/>
      <c r="F40" s="10"/>
      <c r="G40" s="10"/>
    </row>
    <row r="41" spans="1:7" ht="16.5" x14ac:dyDescent="0.45">
      <c r="A41" s="10"/>
      <c r="B41" s="10"/>
      <c r="C41" s="10"/>
      <c r="D41" s="10"/>
      <c r="E41" s="10"/>
      <c r="F41" s="10"/>
      <c r="G41" s="10"/>
    </row>
    <row r="42" spans="1:7" ht="16.5" x14ac:dyDescent="0.45">
      <c r="A42" s="10"/>
      <c r="B42" s="10"/>
      <c r="C42" s="10"/>
      <c r="D42" s="10"/>
      <c r="E42" s="10"/>
      <c r="F42" s="10"/>
      <c r="G42" s="10"/>
    </row>
    <row r="43" spans="1:7" ht="16.5" x14ac:dyDescent="0.45">
      <c r="A43" s="10"/>
      <c r="B43" s="10"/>
      <c r="C43" s="10"/>
      <c r="D43" s="10"/>
      <c r="E43" s="10"/>
      <c r="F43" s="10"/>
      <c r="G43" s="10"/>
    </row>
  </sheetData>
  <mergeCells count="4">
    <mergeCell ref="A8:A9"/>
    <mergeCell ref="B8:D9"/>
    <mergeCell ref="E8:E9"/>
    <mergeCell ref="A1:G1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85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Rekapitulasi</vt:lpstr>
      <vt:lpstr>RAB</vt:lpstr>
      <vt:lpstr>Analisa Upah</vt:lpstr>
      <vt:lpstr>Harga Bahan</vt:lpstr>
      <vt:lpstr>Harga Alat</vt:lpstr>
      <vt:lpstr>Analisa </vt:lpstr>
      <vt:lpstr>RAP</vt:lpstr>
      <vt:lpstr>Analisa RAP I</vt:lpstr>
      <vt:lpstr>Analisa RAP II</vt:lpstr>
      <vt:lpstr>Analisa RAP III</vt:lpstr>
      <vt:lpstr>Analisa RAP IV</vt:lpstr>
      <vt:lpstr>Analisa RAP V</vt:lpstr>
      <vt:lpstr>Analisa RAP VI</vt:lpstr>
      <vt:lpstr>Analisa RAP VII</vt:lpstr>
      <vt:lpstr>Analisa RAP VIII</vt:lpstr>
      <vt:lpstr>Analisa RAP IX</vt:lpstr>
      <vt:lpstr>Analisa Upah RAP</vt:lpstr>
      <vt:lpstr>Harga Bahan RAP</vt:lpstr>
      <vt:lpstr>Harga Alat RAP</vt:lpstr>
      <vt:lpstr>'Analisa Upah'!Print_Area</vt:lpstr>
      <vt:lpstr>'Analisa Upah RAP'!Print_Area</vt:lpstr>
      <vt:lpstr>'Harga Alat'!Print_Area</vt:lpstr>
      <vt:lpstr>'Harga Alat RAP'!Print_Area</vt:lpstr>
      <vt:lpstr>'Harga Bahan RAP'!Print_Area</vt:lpstr>
      <vt:lpstr>Rekapitulasi!Print_Area</vt:lpstr>
      <vt:lpstr>'Analisa '!Print_Titles</vt:lpstr>
      <vt:lpstr>'Analisa RAP I'!Print_Titles</vt:lpstr>
      <vt:lpstr>'Harga Bahan'!Print_Titles</vt:lpstr>
      <vt:lpstr>'Harga Bahan RAP'!Print_Titles</vt:lpstr>
      <vt:lpstr>RAB!Print_Titles</vt:lpstr>
      <vt:lpstr>RAP!Print_Titles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karsima2</dc:creator>
  <cp:lastModifiedBy>pri yatna</cp:lastModifiedBy>
  <cp:lastPrinted>2022-03-18T01:05:47Z</cp:lastPrinted>
  <dcterms:created xsi:type="dcterms:W3CDTF">2016-05-12T06:52:17Z</dcterms:created>
  <dcterms:modified xsi:type="dcterms:W3CDTF">2025-12-16T11:54:09Z</dcterms:modified>
</cp:coreProperties>
</file>